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  <sheet state="visible" name="classes" sheetId="2" r:id="rId6"/>
    <sheet state="visible" name="usos list" sheetId="3" r:id="rId7"/>
  </sheets>
  <definedNames/>
  <calcPr/>
</workbook>
</file>

<file path=xl/sharedStrings.xml><?xml version="1.0" encoding="utf-8"?>
<sst xmlns="http://schemas.openxmlformats.org/spreadsheetml/2006/main" count="155" uniqueCount="89">
  <si>
    <t>class</t>
  </si>
  <si>
    <t>date</t>
  </si>
  <si>
    <t>presenter ID</t>
  </si>
  <si>
    <t>name</t>
  </si>
  <si>
    <t>surname</t>
  </si>
  <si>
    <t>Paper title</t>
  </si>
  <si>
    <t>Paper link</t>
  </si>
  <si>
    <t>K-18762</t>
  </si>
  <si>
    <t>/additional slots for people registered late</t>
  </si>
  <si>
    <t>topic</t>
  </si>
  <si>
    <t>teacher</t>
  </si>
  <si>
    <t>Working with spatial data 1 (R classes, reading, visualisation)</t>
  </si>
  <si>
    <t>dr Kubara</t>
  </si>
  <si>
    <t>Working with spatial data 2 (integration of different types of spatial data)</t>
  </si>
  <si>
    <t>mgr Kot</t>
  </si>
  <si>
    <t>Working with spatial data 3 (spatial weight matrices, radial zoning, knn)</t>
  </si>
  <si>
    <t>Working with spatial data 4 (DEGURBA)</t>
  </si>
  <si>
    <t>Supervised ML</t>
  </si>
  <si>
    <t>prof Kopczewska</t>
  </si>
  <si>
    <t>Supervised ML (rf, ann, spatial and radial weight matrices)</t>
  </si>
  <si>
    <t>Supervised ML (geographically weighted random forest)</t>
  </si>
  <si>
    <t>Supervised ML (convolutional neural networks)</t>
  </si>
  <si>
    <t>Supervised ML in space (causality-based ML models)</t>
  </si>
  <si>
    <t>Unsupervised ML (clustering of geolocated points)</t>
  </si>
  <si>
    <t>Unsupervised ML (measuring spatial agglomeration)</t>
  </si>
  <si>
    <t>Unsupervised ML in space (surface modelling methods)</t>
  </si>
  <si>
    <t>Unsupervised ML in space (comparison of spatial distributions)</t>
  </si>
  <si>
    <t>Unsupervised ML in space (spatial association rules)</t>
  </si>
  <si>
    <t>Kriging as a method for extrapolating the results of ML from points to surfacesdr Zabarina</t>
  </si>
  <si>
    <t>nr albumu</t>
  </si>
  <si>
    <t>nazwisko</t>
  </si>
  <si>
    <t>imiona</t>
  </si>
  <si>
    <t>aktywny</t>
  </si>
  <si>
    <t>grupy</t>
  </si>
  <si>
    <t>Adilkhan</t>
  </si>
  <si>
    <t>Amir</t>
  </si>
  <si>
    <t>tak</t>
  </si>
  <si>
    <t>KON1</t>
  </si>
  <si>
    <t>Amrute</t>
  </si>
  <si>
    <t>Shrivallabh</t>
  </si>
  <si>
    <t>Baharsyah</t>
  </si>
  <si>
    <t>Wahyu Try</t>
  </si>
  <si>
    <t>Bai</t>
  </si>
  <si>
    <t>Weidong</t>
  </si>
  <si>
    <t>Banach</t>
  </si>
  <si>
    <t>Paula Izabela</t>
  </si>
  <si>
    <t>Ebiri</t>
  </si>
  <si>
    <t>Yücel Tan</t>
  </si>
  <si>
    <t>Eng</t>
  </si>
  <si>
    <t>Kah Hui</t>
  </si>
  <si>
    <t>Engel</t>
  </si>
  <si>
    <t>Aleksandra</t>
  </si>
  <si>
    <t>Herniczek</t>
  </si>
  <si>
    <t>Zuzanna Zofia</t>
  </si>
  <si>
    <t>Hoang</t>
  </si>
  <si>
    <t>Trang Thi Phuong</t>
  </si>
  <si>
    <t>c</t>
  </si>
  <si>
    <t>Jaworski</t>
  </si>
  <si>
    <t>Adam Piotr</t>
  </si>
  <si>
    <t>Kędzierska-Głodek</t>
  </si>
  <si>
    <t>Anna</t>
  </si>
  <si>
    <t>Koç</t>
  </si>
  <si>
    <t>Mustafa Kaan</t>
  </si>
  <si>
    <t>Kowalczyk</t>
  </si>
  <si>
    <t>Łukasz</t>
  </si>
  <si>
    <t>Li</t>
  </si>
  <si>
    <t>Xiao</t>
  </si>
  <si>
    <t>Łazuga</t>
  </si>
  <si>
    <t>Adrianna</t>
  </si>
  <si>
    <t>Marvan</t>
  </si>
  <si>
    <t>Ondřej</t>
  </si>
  <si>
    <t>Nguyen Bang</t>
  </si>
  <si>
    <t>Tam</t>
  </si>
  <si>
    <t>Okhrimenko</t>
  </si>
  <si>
    <t>Kostiantyn</t>
  </si>
  <si>
    <t>Özdil</t>
  </si>
  <si>
    <t>Dilara</t>
  </si>
  <si>
    <t>Pochmara</t>
  </si>
  <si>
    <t>Adam</t>
  </si>
  <si>
    <t>Rerek</t>
  </si>
  <si>
    <t>Suk</t>
  </si>
  <si>
    <t>Changjo</t>
  </si>
  <si>
    <t>Tran</t>
  </si>
  <si>
    <t>Giang Phuong</t>
  </si>
  <si>
    <t>Winiarz</t>
  </si>
  <si>
    <t>Julia</t>
  </si>
  <si>
    <t>Wójcik</t>
  </si>
  <si>
    <t>Artur Szymon</t>
  </si>
  <si>
    <t>tba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</si>
</sst>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theme="1"/>
      <name val="Helvetica Neue"/>
    </font>
    <font>
      <sz val="11.0"/>
      <color rgb="FF1D2125"/>
      <name val="Arial"/>
    </font>
    <font>
      <sz val="11.0"/>
      <color rgb="FF1D2125"/>
      <name val="-apple-system"/>
    </font>
    <font>
      <sz val="8.0"/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horizontal="right" shrinkToFit="0" vertical="top" wrapText="0"/>
    </xf>
    <xf borderId="1" fillId="2" fontId="2" numFmtId="0" xfId="0" applyAlignment="1" applyBorder="1" applyFont="1">
      <alignment shrinkToFit="0" vertical="top" wrapText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1" fillId="3" fontId="2" numFmtId="0" xfId="0" applyAlignment="1" applyBorder="1" applyFill="1" applyFont="1">
      <alignment vertical="top"/>
    </xf>
    <xf borderId="1" fillId="2" fontId="2" numFmtId="0" xfId="0" applyAlignment="1" applyBorder="1" applyFont="1">
      <alignment horizontal="right" vertical="top"/>
    </xf>
    <xf borderId="1" fillId="0" fontId="5" numFmtId="0" xfId="0" applyAlignment="1" applyBorder="1" applyFont="1">
      <alignment vertical="top"/>
    </xf>
    <xf borderId="1" fillId="2" fontId="2" numFmtId="0" xfId="0" applyAlignment="1" applyBorder="1" applyFont="1">
      <alignment vertical="top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rkusz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9" displayName="Tabela1" name="Tabela1" id="1">
  <tableColumns count="7">
    <tableColumn name="class" id="1"/>
    <tableColumn name="date" id="2"/>
    <tableColumn name="presenter ID" id="3"/>
    <tableColumn name="name" id="4"/>
    <tableColumn name="surname" id="5"/>
    <tableColumn name="Paper title" id="6"/>
    <tableColumn name="Paper link" id="7"/>
  </tableColumns>
  <tableStyleInfo name="Arkusz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6" max="6" width="34.0"/>
    <col customWidth="1" min="7" max="7" width="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2.0</v>
      </c>
      <c r="B2" s="3">
        <f>VLOOKUP(A2,classes!$A$1:$B$16,2,FALSE)</f>
        <v>46078</v>
      </c>
      <c r="C2" s="4">
        <v>473090.0</v>
      </c>
      <c r="D2" s="5" t="str">
        <f>VLOOKUP(C2,'usos list'!$A$1:$E$35,2,FALSE)</f>
        <v>Eng</v>
      </c>
      <c r="E2" s="5" t="str">
        <f>VLOOKUP(C2,'usos list'!$A$1:$E$35,3,FALSE)</f>
        <v>Kah Hui</v>
      </c>
    </row>
    <row r="3" ht="22.5" customHeight="1">
      <c r="A3" s="2">
        <v>2.0</v>
      </c>
      <c r="B3" s="3">
        <f>VLOOKUP(A3,classes!$A$1:$B$16,2,FALSE)</f>
        <v>46078</v>
      </c>
      <c r="C3" s="4">
        <v>476913.0</v>
      </c>
      <c r="D3" s="5" t="str">
        <f>VLOOKUP(C3,'usos list'!$A$1:$E$35,2,FALSE)</f>
        <v>Adilkhan</v>
      </c>
      <c r="E3" s="5" t="str">
        <f>VLOOKUP(C3,'usos list'!$A$1:$E$35,3,FALSE)</f>
        <v>Amir</v>
      </c>
    </row>
    <row r="4" ht="22.5" customHeight="1">
      <c r="A4" s="2">
        <v>3.0</v>
      </c>
      <c r="B4" s="3">
        <f>VLOOKUP(A4,classes!$A$1:$B$16,2,FALSE)</f>
        <v>46085</v>
      </c>
      <c r="C4" s="6">
        <v>453877.0</v>
      </c>
      <c r="D4" s="5" t="str">
        <f>VLOOKUP(C4,'usos list'!$A$1:$E$35,2,FALSE)</f>
        <v>Winiarz</v>
      </c>
      <c r="E4" s="5" t="str">
        <f>VLOOKUP(C4,'usos list'!$A$1:$E$35,3,FALSE)</f>
        <v>Julia</v>
      </c>
    </row>
    <row r="5" ht="22.5" customHeight="1">
      <c r="A5" s="2">
        <v>3.0</v>
      </c>
      <c r="B5" s="3">
        <f>VLOOKUP(A5,classes!$A$1:$B$16,2,FALSE)</f>
        <v>46085</v>
      </c>
      <c r="C5" s="6">
        <v>332945.0</v>
      </c>
      <c r="D5" s="5" t="str">
        <f>VLOOKUP(C5,'usos list'!$A$1:$E$35,2,FALSE)</f>
        <v>Kędzierska-Głodek</v>
      </c>
      <c r="E5" s="5" t="str">
        <f>VLOOKUP(C5,'usos list'!$A$1:$E$35,3,FALSE)</f>
        <v>Anna</v>
      </c>
    </row>
    <row r="6" ht="22.5" customHeight="1">
      <c r="A6" s="2">
        <v>4.0</v>
      </c>
      <c r="B6" s="3">
        <f>VLOOKUP(A6,classes!$A$1:$B$16,2,FALSE)</f>
        <v>46092</v>
      </c>
      <c r="C6" s="4">
        <v>453939.0</v>
      </c>
      <c r="D6" s="5" t="str">
        <f>VLOOKUP(C6,'usos list'!$A$1:$E$35,2,FALSE)</f>
        <v>Rerek</v>
      </c>
      <c r="E6" s="5" t="str">
        <f>VLOOKUP(C6,'usos list'!$A$1:$E$35,3,FALSE)</f>
        <v>Aleksandra</v>
      </c>
    </row>
    <row r="7" ht="22.5" customHeight="1">
      <c r="A7" s="2">
        <v>4.0</v>
      </c>
      <c r="B7" s="3">
        <f>VLOOKUP(A7,classes!$A$1:$B$16,2,FALSE)</f>
        <v>46092</v>
      </c>
      <c r="C7" s="6">
        <v>394691.0</v>
      </c>
      <c r="D7" s="5" t="str">
        <f>VLOOKUP(C7,'usos list'!$A$1:$E$35,2,FALSE)</f>
        <v>Pochmara</v>
      </c>
      <c r="E7" s="5" t="str">
        <f>VLOOKUP(C7,'usos list'!$A$1:$E$35,3,FALSE)</f>
        <v>Adam</v>
      </c>
    </row>
    <row r="8" ht="22.5" customHeight="1">
      <c r="A8" s="2">
        <v>5.0</v>
      </c>
      <c r="B8" s="3">
        <f>VLOOKUP(A8,classes!$A$1:$B$16,2,FALSE)</f>
        <v>46099</v>
      </c>
      <c r="C8" s="4">
        <v>433380.0</v>
      </c>
      <c r="D8" s="5" t="str">
        <f>VLOOKUP(C8,'usos list'!$A$1:$E$35,2,FALSE)</f>
        <v>Herniczek</v>
      </c>
      <c r="E8" s="5" t="str">
        <f>VLOOKUP(C8,'usos list'!$A$1:$E$35,3,FALSE)</f>
        <v>Zuzanna Zofia</v>
      </c>
    </row>
    <row r="9" ht="22.5" customHeight="1">
      <c r="A9" s="2">
        <v>5.0</v>
      </c>
      <c r="B9" s="3">
        <f>VLOOKUP(A9,classes!$A$1:$B$16,2,FALSE)</f>
        <v>46099</v>
      </c>
      <c r="C9" s="6">
        <v>476929.0</v>
      </c>
      <c r="D9" s="5" t="str">
        <f>VLOOKUP(C9,'usos list'!$A$1:$E$35,2,FALSE)</f>
        <v>Hoang</v>
      </c>
      <c r="E9" s="5" t="str">
        <f>VLOOKUP(C9,'usos list'!$A$1:$E$35,3,FALSE)</f>
        <v>Trang Thi Phuong</v>
      </c>
    </row>
    <row r="10" ht="22.5" customHeight="1">
      <c r="A10" s="2">
        <v>6.0</v>
      </c>
      <c r="B10" s="3">
        <f>VLOOKUP(A10,classes!$A$1:$B$16,2,FALSE)</f>
        <v>46106</v>
      </c>
      <c r="C10" s="6">
        <v>475308.0</v>
      </c>
      <c r="D10" s="5" t="str">
        <f>VLOOKUP(C10,'usos list'!$A$1:$E$35,2,FALSE)</f>
        <v>Nguyen Bang</v>
      </c>
      <c r="E10" s="5" t="str">
        <f>VLOOKUP(C10,'usos list'!$A$1:$E$35,3,FALSE)</f>
        <v>Tam</v>
      </c>
    </row>
    <row r="11" ht="22.5" customHeight="1">
      <c r="A11" s="2">
        <v>6.0</v>
      </c>
      <c r="B11" s="3">
        <f>VLOOKUP(A11,classes!$A$1:$B$16,2,FALSE)</f>
        <v>46106</v>
      </c>
      <c r="C11" s="4">
        <v>477001.0</v>
      </c>
      <c r="D11" s="5" t="str">
        <f>VLOOKUP(C11,'usos list'!$A$1:$E$35,2,FALSE)</f>
        <v>Marvan</v>
      </c>
      <c r="E11" s="5" t="str">
        <f>VLOOKUP(C11,'usos list'!$A$1:$E$35,3,FALSE)</f>
        <v>Ondřej</v>
      </c>
    </row>
    <row r="12" ht="22.5" customHeight="1">
      <c r="A12" s="2">
        <v>7.0</v>
      </c>
      <c r="B12" s="3">
        <f>VLOOKUP(A12,classes!$A$1:$B$16,2,FALSE)</f>
        <v>46113</v>
      </c>
      <c r="C12" s="7" t="s">
        <v>7</v>
      </c>
      <c r="D12" s="5" t="str">
        <f>VLOOKUP(C12,'usos list'!$A$1:$E$35,2,FALSE)</f>
        <v>Suk</v>
      </c>
      <c r="E12" s="5" t="str">
        <f>VLOOKUP(C12,'usos list'!$A$1:$E$35,3,FALSE)</f>
        <v>Changjo</v>
      </c>
    </row>
    <row r="13" ht="22.5" customHeight="1">
      <c r="A13" s="2">
        <v>7.0</v>
      </c>
      <c r="B13" s="3">
        <f>VLOOKUP(A13,classes!$A$1:$B$16,2,FALSE)</f>
        <v>46113</v>
      </c>
      <c r="C13" s="6">
        <v>440186.0</v>
      </c>
      <c r="D13" s="5" t="str">
        <f>VLOOKUP(C13,'usos list'!$A$1:$E$35,2,FALSE)</f>
        <v>Banach</v>
      </c>
      <c r="E13" s="5" t="str">
        <f>VLOOKUP(C13,'usos list'!$A$1:$E$35,3,FALSE)</f>
        <v>Paula Izabela</v>
      </c>
    </row>
    <row r="14" ht="22.5" customHeight="1">
      <c r="A14" s="2">
        <v>8.0</v>
      </c>
      <c r="B14" s="3">
        <f>VLOOKUP(A14,classes!$A$1:$B$16,2,FALSE)</f>
        <v>46127</v>
      </c>
      <c r="C14" s="6">
        <v>487988.0</v>
      </c>
      <c r="D14" s="5" t="str">
        <f>VLOOKUP(C14,'usos list'!$A$1:$E$35,2,FALSE)</f>
        <v>Baharsyah</v>
      </c>
      <c r="E14" s="5" t="str">
        <f>VLOOKUP(C14,'usos list'!$A$1:$E$35,3,FALSE)</f>
        <v>Wahyu Try</v>
      </c>
    </row>
    <row r="15" ht="22.5" customHeight="1">
      <c r="A15" s="2">
        <v>8.0</v>
      </c>
      <c r="B15" s="3">
        <f>VLOOKUP(A15,classes!$A$1:$B$16,2,FALSE)</f>
        <v>46127</v>
      </c>
      <c r="C15" s="6">
        <v>487801.0</v>
      </c>
      <c r="D15" s="5" t="str">
        <f>VLOOKUP(C15,'usos list'!$A$1:$E$35,2,FALSE)</f>
        <v>Tran</v>
      </c>
      <c r="E15" s="5" t="str">
        <f>VLOOKUP(C15,'usos list'!$A$1:$E$35,3,FALSE)</f>
        <v>Giang Phuong</v>
      </c>
    </row>
    <row r="16" ht="22.5" customHeight="1">
      <c r="A16" s="2">
        <v>9.0</v>
      </c>
      <c r="B16" s="3">
        <f>VLOOKUP(A16,classes!$A$1:$B$16,2,FALSE)</f>
        <v>46134</v>
      </c>
      <c r="C16" s="6">
        <v>453658.0</v>
      </c>
      <c r="D16" s="5" t="str">
        <f>VLOOKUP(C16,'usos list'!$A$1:$E$35,2,FALSE)</f>
        <v>Jaworski</v>
      </c>
      <c r="E16" s="5" t="str">
        <f>VLOOKUP(C16,'usos list'!$A$1:$E$35,3,FALSE)</f>
        <v>Adam Piotr</v>
      </c>
    </row>
    <row r="17" ht="22.5" customHeight="1">
      <c r="A17" s="2">
        <v>9.0</v>
      </c>
      <c r="B17" s="3">
        <f>VLOOKUP(A17,classes!$A$1:$B$16,2,FALSE)</f>
        <v>46134</v>
      </c>
      <c r="C17" s="6">
        <v>429248.0</v>
      </c>
      <c r="D17" s="5" t="str">
        <f>VLOOKUP(C17,'usos list'!$A$1:$E$35,2,FALSE)</f>
        <v>Engel</v>
      </c>
      <c r="E17" s="5" t="str">
        <f>VLOOKUP(C17,'usos list'!$A$1:$E$35,3,FALSE)</f>
        <v>Aleksandra</v>
      </c>
    </row>
    <row r="18" ht="22.5" customHeight="1">
      <c r="A18" s="2">
        <v>10.0</v>
      </c>
      <c r="B18" s="3">
        <f>VLOOKUP(A18,classes!$A$1:$B$16,2,FALSE)</f>
        <v>46141</v>
      </c>
      <c r="C18" s="6">
        <v>474544.0</v>
      </c>
      <c r="D18" s="5" t="str">
        <f>VLOOKUP(C18,'usos list'!$A$1:$E$35,2,FALSE)</f>
        <v>Özdil</v>
      </c>
      <c r="E18" s="5" t="str">
        <f>VLOOKUP(C18,'usos list'!$A$1:$E$35,3,FALSE)</f>
        <v>Dilara</v>
      </c>
    </row>
    <row r="19" ht="22.5" customHeight="1">
      <c r="A19" s="2">
        <v>10.0</v>
      </c>
      <c r="B19" s="3">
        <f>VLOOKUP(A19,classes!$A$1:$B$16,2,FALSE)</f>
        <v>46141</v>
      </c>
      <c r="C19" s="6">
        <v>473533.0</v>
      </c>
      <c r="D19" s="5" t="str">
        <f>VLOOKUP(C19,'usos list'!$A$1:$E$35,2,FALSE)</f>
        <v>Li</v>
      </c>
      <c r="E19" s="5" t="str">
        <f>VLOOKUP(C19,'usos list'!$A$1:$E$35,3,FALSE)</f>
        <v>Xiao</v>
      </c>
    </row>
    <row r="20" ht="22.5" customHeight="1">
      <c r="A20" s="2">
        <v>11.0</v>
      </c>
      <c r="B20" s="3">
        <f>VLOOKUP(A20,classes!$A$1:$B$16,2,FALSE)</f>
        <v>46178</v>
      </c>
      <c r="C20" s="6">
        <v>473494.0</v>
      </c>
      <c r="D20" s="5" t="str">
        <f>VLOOKUP(C20,'usos list'!$A$1:$E$35,2,FALSE)</f>
        <v>Okhrimenko</v>
      </c>
      <c r="E20" s="5" t="str">
        <f>VLOOKUP(C20,'usos list'!$A$1:$E$35,3,FALSE)</f>
        <v>Kostiantyn</v>
      </c>
    </row>
    <row r="21" ht="22.5" customHeight="1">
      <c r="A21" s="2">
        <v>11.0</v>
      </c>
      <c r="B21" s="3">
        <f>VLOOKUP(A21,classes!$A$1:$B$16,2,FALSE)</f>
        <v>46178</v>
      </c>
      <c r="C21" s="6">
        <v>476683.0</v>
      </c>
      <c r="D21" s="5" t="str">
        <f>VLOOKUP(C21,'usos list'!$A$1:$E$35,2,FALSE)</f>
        <v>Bai</v>
      </c>
      <c r="E21" s="5" t="str">
        <f>VLOOKUP(C21,'usos list'!$A$1:$E$35,3,FALSE)</f>
        <v>Weidong</v>
      </c>
    </row>
    <row r="22" ht="22.5" customHeight="1">
      <c r="A22" s="2">
        <v>12.0</v>
      </c>
      <c r="B22" s="3">
        <f>VLOOKUP(A22,classes!$A$1:$B$16,2,FALSE)</f>
        <v>46155</v>
      </c>
      <c r="C22" s="6">
        <v>476456.0</v>
      </c>
      <c r="D22" s="5" t="str">
        <f>VLOOKUP(C22,'usos list'!$A$1:$E$35,2,FALSE)</f>
        <v>Koç</v>
      </c>
      <c r="E22" s="5" t="str">
        <f>VLOOKUP(C22,'usos list'!$A$1:$E$35,3,FALSE)</f>
        <v>Mustafa Kaan</v>
      </c>
    </row>
    <row r="23" ht="22.5" customHeight="1">
      <c r="A23" s="2">
        <v>12.0</v>
      </c>
      <c r="B23" s="3">
        <f>VLOOKUP(A23,classes!$A$1:$B$16,2,FALSE)</f>
        <v>46155</v>
      </c>
      <c r="C23" s="6">
        <v>394608.0</v>
      </c>
      <c r="D23" s="5" t="str">
        <f>VLOOKUP(C23,'usos list'!$A$1:$E$35,2,FALSE)</f>
        <v>Wójcik</v>
      </c>
      <c r="E23" s="5" t="str">
        <f>VLOOKUP(C23,'usos list'!$A$1:$E$35,3,FALSE)</f>
        <v>Artur Szymon</v>
      </c>
    </row>
    <row r="24" ht="22.5" customHeight="1">
      <c r="A24" s="2">
        <v>13.0</v>
      </c>
      <c r="B24" s="3">
        <f>VLOOKUP(A24,classes!$A$1:$B$16,2,FALSE)</f>
        <v>46162</v>
      </c>
      <c r="C24" s="6">
        <v>473659.0</v>
      </c>
      <c r="D24" s="5" t="str">
        <f>VLOOKUP(C24,'usos list'!$A$1:$E$35,2,FALSE)</f>
        <v>Ebiri</v>
      </c>
      <c r="E24" s="5" t="str">
        <f>VLOOKUP(C24,'usos list'!$A$1:$E$35,3,FALSE)</f>
        <v>Yücel Tan</v>
      </c>
    </row>
    <row r="25" ht="22.5" customHeight="1">
      <c r="A25" s="2">
        <v>13.0</v>
      </c>
      <c r="B25" s="3">
        <f>VLOOKUP(A25,classes!$A$1:$B$16,2,FALSE)</f>
        <v>46162</v>
      </c>
      <c r="C25" s="6">
        <v>431021.0</v>
      </c>
      <c r="D25" s="5" t="str">
        <f>VLOOKUP(C25,'usos list'!$A$1:$E$35,2,FALSE)</f>
        <v>Amrute</v>
      </c>
      <c r="E25" s="5" t="str">
        <f>VLOOKUP(C25,'usos list'!$A$1:$E$35,3,FALSE)</f>
        <v>Shrivallabh</v>
      </c>
    </row>
    <row r="26" ht="22.5" customHeight="1">
      <c r="A26" s="2">
        <v>14.0</v>
      </c>
      <c r="B26" s="3">
        <f>VLOOKUP(A26,classes!$A$1:$B$16,2,FALSE)</f>
        <v>46169</v>
      </c>
      <c r="C26" s="6">
        <v>439999.0</v>
      </c>
      <c r="D26" s="5" t="str">
        <f>VLOOKUP(C26,'usos list'!$A$1:$E$35,2,FALSE)</f>
        <v>Kowalczyk</v>
      </c>
      <c r="E26" s="5" t="str">
        <f>VLOOKUP(C26,'usos list'!$A$1:$E$35,3,FALSE)</f>
        <v>Łukasz</v>
      </c>
    </row>
    <row r="27" ht="22.5" customHeight="1">
      <c r="A27" s="2">
        <v>14.0</v>
      </c>
      <c r="B27" s="3">
        <f>VLOOKUP(A27,classes!$A$1:$B$16,2,FALSE)</f>
        <v>46169</v>
      </c>
      <c r="C27" s="6">
        <v>418397.0</v>
      </c>
      <c r="D27" s="5" t="str">
        <f>VLOOKUP(C27,'usos list'!$A$1:$E$35,2,FALSE)</f>
        <v>Łazuga</v>
      </c>
      <c r="E27" s="5" t="str">
        <f>VLOOKUP(C27,'usos list'!$A$1:$E$35,3,FALSE)</f>
        <v>Adrianna</v>
      </c>
    </row>
    <row r="28" ht="22.5" customHeight="1">
      <c r="A28" s="2">
        <v>15.0</v>
      </c>
      <c r="B28" s="3">
        <f>VLOOKUP(A28,classes!$A$1:$B$16,2,FALSE)</f>
        <v>46176</v>
      </c>
      <c r="D28" s="5" t="str">
        <f>VLOOKUP(C28,'usos list'!$A$1:$E$35,2,FALSE)</f>
        <v>#N/A</v>
      </c>
      <c r="E28" s="5" t="str">
        <f>VLOOKUP(C28,'usos list'!$A$1:$E$35,3,FALSE)</f>
        <v>#N/A</v>
      </c>
      <c r="F28" s="4" t="s">
        <v>8</v>
      </c>
    </row>
    <row r="29" ht="22.5" customHeight="1">
      <c r="A29" s="2">
        <v>15.0</v>
      </c>
      <c r="B29" s="3">
        <f>VLOOKUP(A29,classes!$A$1:$B$16,2,FALSE)</f>
        <v>46176</v>
      </c>
      <c r="D29" s="5" t="str">
        <f>VLOOKUP(C29,'usos list'!$A$1:$E$35,2,FALSE)</f>
        <v>#N/A</v>
      </c>
      <c r="E29" s="5" t="str">
        <f>VLOOKUP(C29,'usos list'!$A$1:$E$35,3,FALSE)</f>
        <v>#N/A</v>
      </c>
    </row>
  </sheetData>
  <dataValidations>
    <dataValidation type="custom" allowBlank="1" showDropDown="1" sqref="A2:A29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9" t="s">
        <v>1</v>
      </c>
      <c r="C1" s="8" t="s">
        <v>9</v>
      </c>
      <c r="D1" s="8" t="s">
        <v>10</v>
      </c>
    </row>
    <row r="2">
      <c r="A2" s="10">
        <v>1.0</v>
      </c>
      <c r="B2" s="9">
        <v>46071.0</v>
      </c>
      <c r="C2" s="10" t="s">
        <v>11</v>
      </c>
      <c r="D2" s="10" t="s">
        <v>12</v>
      </c>
    </row>
    <row r="3">
      <c r="A3" s="10">
        <v>2.0</v>
      </c>
      <c r="B3" s="9">
        <v>46078.0</v>
      </c>
      <c r="C3" s="10" t="s">
        <v>13</v>
      </c>
      <c r="D3" s="10" t="s">
        <v>14</v>
      </c>
    </row>
    <row r="4">
      <c r="A4" s="10">
        <v>3.0</v>
      </c>
      <c r="B4" s="9">
        <v>46085.0</v>
      </c>
      <c r="C4" s="10" t="s">
        <v>15</v>
      </c>
      <c r="D4" s="10" t="s">
        <v>14</v>
      </c>
    </row>
    <row r="5">
      <c r="A5" s="10">
        <v>4.0</v>
      </c>
      <c r="B5" s="9">
        <v>46092.0</v>
      </c>
      <c r="C5" s="10" t="s">
        <v>16</v>
      </c>
      <c r="D5" s="10" t="s">
        <v>14</v>
      </c>
    </row>
    <row r="6">
      <c r="A6" s="10">
        <v>5.0</v>
      </c>
      <c r="B6" s="9">
        <v>46099.0</v>
      </c>
      <c r="C6" s="10" t="s">
        <v>17</v>
      </c>
      <c r="D6" s="10" t="s">
        <v>18</v>
      </c>
    </row>
    <row r="7">
      <c r="A7" s="10">
        <v>6.0</v>
      </c>
      <c r="B7" s="9">
        <v>46106.0</v>
      </c>
      <c r="C7" s="10" t="s">
        <v>19</v>
      </c>
      <c r="D7" s="10" t="s">
        <v>18</v>
      </c>
    </row>
    <row r="8">
      <c r="A8" s="10">
        <v>7.0</v>
      </c>
      <c r="B8" s="9">
        <v>46113.0</v>
      </c>
      <c r="C8" s="10" t="s">
        <v>20</v>
      </c>
      <c r="D8" s="10" t="s">
        <v>18</v>
      </c>
    </row>
    <row r="9">
      <c r="A9" s="10">
        <v>8.0</v>
      </c>
      <c r="B9" s="9">
        <v>46127.0</v>
      </c>
      <c r="C9" s="10" t="s">
        <v>21</v>
      </c>
      <c r="D9" s="10" t="s">
        <v>12</v>
      </c>
    </row>
    <row r="10">
      <c r="A10" s="10">
        <v>9.0</v>
      </c>
      <c r="B10" s="9">
        <v>46134.0</v>
      </c>
      <c r="C10" s="10" t="s">
        <v>22</v>
      </c>
      <c r="D10" s="10" t="s">
        <v>12</v>
      </c>
    </row>
    <row r="11">
      <c r="A11" s="10">
        <v>10.0</v>
      </c>
      <c r="B11" s="9">
        <v>46141.0</v>
      </c>
      <c r="C11" s="10" t="s">
        <v>23</v>
      </c>
      <c r="D11" s="10" t="s">
        <v>18</v>
      </c>
    </row>
    <row r="12">
      <c r="A12" s="10">
        <v>11.0</v>
      </c>
      <c r="B12" s="11">
        <v>46178.0</v>
      </c>
      <c r="C12" s="10" t="s">
        <v>24</v>
      </c>
      <c r="D12" s="10" t="s">
        <v>18</v>
      </c>
    </row>
    <row r="13">
      <c r="A13" s="10">
        <v>12.0</v>
      </c>
      <c r="B13" s="9">
        <v>46155.0</v>
      </c>
      <c r="C13" s="10" t="s">
        <v>25</v>
      </c>
      <c r="D13" s="10" t="s">
        <v>14</v>
      </c>
    </row>
    <row r="14">
      <c r="A14" s="10">
        <v>13.0</v>
      </c>
      <c r="B14" s="9">
        <v>46162.0</v>
      </c>
      <c r="C14" s="10" t="s">
        <v>26</v>
      </c>
      <c r="D14" s="10" t="s">
        <v>14</v>
      </c>
    </row>
    <row r="15">
      <c r="A15" s="10">
        <v>14.0</v>
      </c>
      <c r="B15" s="9">
        <v>46169.0</v>
      </c>
      <c r="C15" s="10" t="s">
        <v>27</v>
      </c>
      <c r="D15" s="10" t="s">
        <v>18</v>
      </c>
    </row>
    <row r="16">
      <c r="A16" s="10">
        <v>15.0</v>
      </c>
      <c r="B16" s="9">
        <v>46176.0</v>
      </c>
      <c r="C16" s="12" t="s">
        <v>28</v>
      </c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  <row r="1001">
      <c r="B1001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29</v>
      </c>
      <c r="B1" s="14" t="s">
        <v>30</v>
      </c>
      <c r="C1" s="14" t="s">
        <v>31</v>
      </c>
      <c r="D1" s="14" t="s">
        <v>32</v>
      </c>
      <c r="E1" s="14" t="s">
        <v>33</v>
      </c>
    </row>
    <row r="2">
      <c r="A2" s="15">
        <v>476913.0</v>
      </c>
      <c r="B2" s="16" t="s">
        <v>34</v>
      </c>
      <c r="C2" s="16" t="s">
        <v>35</v>
      </c>
      <c r="D2" s="16" t="s">
        <v>36</v>
      </c>
      <c r="E2" s="16" t="s">
        <v>37</v>
      </c>
    </row>
    <row r="3">
      <c r="A3" s="15">
        <v>431021.0</v>
      </c>
      <c r="B3" s="16" t="s">
        <v>38</v>
      </c>
      <c r="C3" s="16" t="s">
        <v>39</v>
      </c>
      <c r="D3" s="16" t="s">
        <v>36</v>
      </c>
      <c r="E3" s="16" t="s">
        <v>37</v>
      </c>
      <c r="F3" s="12">
        <v>1.0</v>
      </c>
    </row>
    <row r="4">
      <c r="A4" s="15">
        <v>487988.0</v>
      </c>
      <c r="B4" s="16" t="s">
        <v>40</v>
      </c>
      <c r="C4" s="16" t="s">
        <v>41</v>
      </c>
      <c r="D4" s="16" t="s">
        <v>36</v>
      </c>
      <c r="E4" s="16" t="s">
        <v>37</v>
      </c>
      <c r="F4" s="12">
        <v>2.0</v>
      </c>
    </row>
    <row r="5">
      <c r="A5" s="15">
        <v>476683.0</v>
      </c>
      <c r="B5" s="16" t="s">
        <v>42</v>
      </c>
      <c r="C5" s="16" t="s">
        <v>43</v>
      </c>
      <c r="D5" s="16" t="s">
        <v>36</v>
      </c>
      <c r="E5" s="16" t="s">
        <v>37</v>
      </c>
      <c r="F5" s="12">
        <v>3.0</v>
      </c>
    </row>
    <row r="6">
      <c r="A6" s="15">
        <v>440186.0</v>
      </c>
      <c r="B6" s="16" t="s">
        <v>44</v>
      </c>
      <c r="C6" s="16" t="s">
        <v>45</v>
      </c>
      <c r="D6" s="16" t="s">
        <v>36</v>
      </c>
      <c r="E6" s="16" t="s">
        <v>37</v>
      </c>
      <c r="F6" s="12">
        <v>4.0</v>
      </c>
    </row>
    <row r="7">
      <c r="A7" s="15">
        <v>473659.0</v>
      </c>
      <c r="B7" s="16" t="s">
        <v>46</v>
      </c>
      <c r="C7" s="16" t="s">
        <v>47</v>
      </c>
      <c r="D7" s="16" t="s">
        <v>36</v>
      </c>
      <c r="E7" s="16" t="s">
        <v>37</v>
      </c>
      <c r="F7" s="12">
        <v>5.0</v>
      </c>
    </row>
    <row r="8">
      <c r="A8" s="15">
        <v>473090.0</v>
      </c>
      <c r="B8" s="16" t="s">
        <v>48</v>
      </c>
      <c r="C8" s="16" t="s">
        <v>49</v>
      </c>
      <c r="D8" s="16" t="s">
        <v>36</v>
      </c>
      <c r="E8" s="16" t="s">
        <v>37</v>
      </c>
    </row>
    <row r="9">
      <c r="A9" s="15">
        <v>429248.0</v>
      </c>
      <c r="B9" s="16" t="s">
        <v>50</v>
      </c>
      <c r="C9" s="16" t="s">
        <v>51</v>
      </c>
      <c r="D9" s="16" t="s">
        <v>36</v>
      </c>
      <c r="E9" s="16" t="s">
        <v>37</v>
      </c>
      <c r="F9" s="12">
        <v>6.0</v>
      </c>
    </row>
    <row r="10">
      <c r="A10" s="15">
        <v>433380.0</v>
      </c>
      <c r="B10" s="16" t="s">
        <v>52</v>
      </c>
      <c r="C10" s="16" t="s">
        <v>53</v>
      </c>
      <c r="D10" s="16" t="s">
        <v>36</v>
      </c>
      <c r="E10" s="16" t="s">
        <v>37</v>
      </c>
    </row>
    <row r="11">
      <c r="A11" s="15">
        <v>476929.0</v>
      </c>
      <c r="B11" s="16" t="s">
        <v>54</v>
      </c>
      <c r="C11" s="16" t="s">
        <v>55</v>
      </c>
      <c r="D11" s="16" t="s">
        <v>36</v>
      </c>
      <c r="E11" s="16" t="s">
        <v>37</v>
      </c>
      <c r="F11" s="12">
        <v>7.0</v>
      </c>
      <c r="G11" s="12" t="s">
        <v>56</v>
      </c>
    </row>
    <row r="12">
      <c r="A12" s="15">
        <v>453658.0</v>
      </c>
      <c r="B12" s="16" t="s">
        <v>57</v>
      </c>
      <c r="C12" s="16" t="s">
        <v>58</v>
      </c>
      <c r="D12" s="16" t="s">
        <v>36</v>
      </c>
      <c r="E12" s="16" t="s">
        <v>37</v>
      </c>
      <c r="F12" s="12">
        <v>8.0</v>
      </c>
    </row>
    <row r="13">
      <c r="A13" s="15">
        <v>332945.0</v>
      </c>
      <c r="B13" s="16" t="s">
        <v>59</v>
      </c>
      <c r="C13" s="16" t="s">
        <v>60</v>
      </c>
      <c r="D13" s="16" t="s">
        <v>36</v>
      </c>
      <c r="E13" s="16" t="s">
        <v>37</v>
      </c>
      <c r="F13" s="12">
        <v>9.0</v>
      </c>
    </row>
    <row r="14">
      <c r="A14" s="15">
        <v>476456.0</v>
      </c>
      <c r="B14" s="16" t="s">
        <v>61</v>
      </c>
      <c r="C14" s="16" t="s">
        <v>62</v>
      </c>
      <c r="D14" s="16" t="s">
        <v>36</v>
      </c>
      <c r="E14" s="16" t="s">
        <v>37</v>
      </c>
      <c r="F14" s="12">
        <v>10.0</v>
      </c>
    </row>
    <row r="15">
      <c r="A15" s="15">
        <v>439999.0</v>
      </c>
      <c r="B15" s="16" t="s">
        <v>63</v>
      </c>
      <c r="C15" s="16" t="s">
        <v>64</v>
      </c>
      <c r="D15" s="16" t="s">
        <v>36</v>
      </c>
      <c r="E15" s="16" t="s">
        <v>37</v>
      </c>
      <c r="F15" s="12">
        <v>11.0</v>
      </c>
    </row>
    <row r="16">
      <c r="A16" s="15">
        <v>473533.0</v>
      </c>
      <c r="B16" s="16" t="s">
        <v>65</v>
      </c>
      <c r="C16" s="16" t="s">
        <v>66</v>
      </c>
      <c r="D16" s="16" t="s">
        <v>36</v>
      </c>
      <c r="E16" s="16" t="s">
        <v>37</v>
      </c>
      <c r="F16" s="12">
        <v>12.0</v>
      </c>
    </row>
    <row r="17">
      <c r="A17" s="15">
        <v>418397.0</v>
      </c>
      <c r="B17" s="16" t="s">
        <v>67</v>
      </c>
      <c r="C17" s="16" t="s">
        <v>68</v>
      </c>
      <c r="D17" s="16" t="s">
        <v>36</v>
      </c>
      <c r="E17" s="16" t="s">
        <v>37</v>
      </c>
      <c r="F17" s="12">
        <v>13.0</v>
      </c>
    </row>
    <row r="18">
      <c r="A18" s="15">
        <v>477001.0</v>
      </c>
      <c r="B18" s="16" t="s">
        <v>69</v>
      </c>
      <c r="C18" s="16" t="s">
        <v>70</v>
      </c>
      <c r="D18" s="16" t="s">
        <v>36</v>
      </c>
      <c r="E18" s="16" t="s">
        <v>37</v>
      </c>
    </row>
    <row r="19">
      <c r="A19" s="15">
        <v>475308.0</v>
      </c>
      <c r="B19" s="16" t="s">
        <v>71</v>
      </c>
      <c r="C19" s="16" t="s">
        <v>72</v>
      </c>
      <c r="D19" s="16" t="s">
        <v>36</v>
      </c>
      <c r="E19" s="16" t="s">
        <v>37</v>
      </c>
      <c r="F19" s="12">
        <v>14.0</v>
      </c>
    </row>
    <row r="20">
      <c r="A20" s="15">
        <v>473494.0</v>
      </c>
      <c r="B20" s="16" t="s">
        <v>73</v>
      </c>
      <c r="C20" s="16" t="s">
        <v>74</v>
      </c>
      <c r="D20" s="16" t="s">
        <v>36</v>
      </c>
      <c r="E20" s="16" t="s">
        <v>37</v>
      </c>
      <c r="F20" s="12">
        <v>15.0</v>
      </c>
    </row>
    <row r="21">
      <c r="A21" s="15">
        <v>474544.0</v>
      </c>
      <c r="B21" s="16" t="s">
        <v>75</v>
      </c>
      <c r="C21" s="16" t="s">
        <v>76</v>
      </c>
      <c r="D21" s="16" t="s">
        <v>36</v>
      </c>
      <c r="E21" s="16" t="s">
        <v>37</v>
      </c>
      <c r="F21" s="12">
        <v>16.0</v>
      </c>
    </row>
    <row r="22">
      <c r="A22" s="15">
        <v>394691.0</v>
      </c>
      <c r="B22" s="16" t="s">
        <v>77</v>
      </c>
      <c r="C22" s="16" t="s">
        <v>78</v>
      </c>
      <c r="D22" s="16" t="s">
        <v>36</v>
      </c>
      <c r="E22" s="16" t="s">
        <v>37</v>
      </c>
      <c r="F22" s="12">
        <v>17.0</v>
      </c>
    </row>
    <row r="23">
      <c r="A23" s="15">
        <v>453939.0</v>
      </c>
      <c r="B23" s="16" t="s">
        <v>79</v>
      </c>
      <c r="C23" s="16" t="s">
        <v>51</v>
      </c>
      <c r="D23" s="16" t="s">
        <v>36</v>
      </c>
      <c r="E23" s="16" t="s">
        <v>37</v>
      </c>
    </row>
    <row r="24">
      <c r="A24" s="17" t="s">
        <v>7</v>
      </c>
      <c r="B24" s="16" t="s">
        <v>80</v>
      </c>
      <c r="C24" s="16" t="s">
        <v>81</v>
      </c>
      <c r="D24" s="16" t="s">
        <v>36</v>
      </c>
      <c r="E24" s="16" t="s">
        <v>37</v>
      </c>
      <c r="F24" s="12">
        <v>18.0</v>
      </c>
    </row>
    <row r="25">
      <c r="A25" s="15">
        <v>487801.0</v>
      </c>
      <c r="B25" s="16" t="s">
        <v>82</v>
      </c>
      <c r="C25" s="16" t="s">
        <v>83</v>
      </c>
      <c r="D25" s="16" t="s">
        <v>36</v>
      </c>
      <c r="E25" s="16" t="s">
        <v>37</v>
      </c>
      <c r="F25" s="12">
        <v>19.0</v>
      </c>
    </row>
    <row r="26">
      <c r="A26" s="15">
        <v>453877.0</v>
      </c>
      <c r="B26" s="16" t="s">
        <v>84</v>
      </c>
      <c r="C26" s="16" t="s">
        <v>85</v>
      </c>
      <c r="D26" s="16" t="s">
        <v>36</v>
      </c>
      <c r="E26" s="16" t="s">
        <v>37</v>
      </c>
      <c r="F26" s="12">
        <v>20.0</v>
      </c>
    </row>
    <row r="27">
      <c r="A27" s="15">
        <v>394608.0</v>
      </c>
      <c r="B27" s="16" t="s">
        <v>86</v>
      </c>
      <c r="C27" s="16" t="s">
        <v>87</v>
      </c>
      <c r="D27" s="16" t="s">
        <v>36</v>
      </c>
      <c r="E27" s="16" t="s">
        <v>37</v>
      </c>
      <c r="F27" s="12">
        <v>21.0</v>
      </c>
    </row>
    <row r="28">
      <c r="A28" s="12">
        <v>123.0</v>
      </c>
      <c r="B28" s="12" t="s">
        <v>88</v>
      </c>
      <c r="C28" s="12" t="s">
        <v>88</v>
      </c>
    </row>
  </sheetData>
  <drawing r:id="rId1"/>
</worksheet>
</file>