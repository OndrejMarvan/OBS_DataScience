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Gantt" sheetId="3" state="visible" r:id="rId5"/>
  </sheets>
  <definedNames>
    <definedName function="false" hidden="true" localSheetId="1" name="_xlnm._FilterDatabase" vbProcedure="false">Tasks!$A$3:$K$50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<sst xmlns="http://schemas.openxmlformats.org/spreadsheetml/2006/main" count="319" uniqueCount="154">
  <si>
    <t xml:space="preserve">CIRCUITNINJA — SALES DASHBOARD</t>
  </si>
  <si>
    <t xml:space="preserve">Cíl: 1 000 000 Kč obratu do října 2026</t>
  </si>
  <si>
    <t xml:space="preserve">KPI</t>
  </si>
  <si>
    <t xml:space="preserve">Celkem úkolů</t>
  </si>
  <si>
    <t xml:space="preserve">Hotovo</t>
  </si>
  <si>
    <t xml:space="preserve">In Progress</t>
  </si>
  <si>
    <t xml:space="preserve">Celkový progress</t>
  </si>
  <si>
    <t xml:space="preserve">Rozdělení podle statusu</t>
  </si>
  <si>
    <t xml:space="preserve">Rozdělení podle trhu</t>
  </si>
  <si>
    <t xml:space="preserve">Úkolů</t>
  </si>
  <si>
    <t xml:space="preserve">Rozdělení podle osoby</t>
  </si>
  <si>
    <t xml:space="preserve">To Do</t>
  </si>
  <si>
    <t xml:space="preserve">Global</t>
  </si>
  <si>
    <t xml:space="preserve">Michael</t>
  </si>
  <si>
    <t xml:space="preserve">PL</t>
  </si>
  <si>
    <t xml:space="preserve">Ondřej</t>
  </si>
  <si>
    <t xml:space="preserve">Done</t>
  </si>
  <si>
    <t xml:space="preserve">CZ/SK</t>
  </si>
  <si>
    <t xml:space="preserve">Jakub</t>
  </si>
  <si>
    <t xml:space="preserve">Blocked</t>
  </si>
  <si>
    <t xml:space="preserve">Jenda</t>
  </si>
  <si>
    <t xml:space="preserve">Progress podle fáze</t>
  </si>
  <si>
    <t xml:space="preserve">Progress</t>
  </si>
  <si>
    <t xml:space="preserve">Jak používat:</t>
  </si>
  <si>
    <t xml:space="preserve">SETUP</t>
  </si>
  <si>
    <t xml:space="preserve">1. Přidávej úkoly do listu 'Tasks' — dashboard se aktualizuje automaticky</t>
  </si>
  <si>
    <t xml:space="preserve">PILOT</t>
  </si>
  <si>
    <t xml:space="preserve">2. Měň status přes dropdown (To Do → In Progress → Done)</t>
  </si>
  <si>
    <t xml:space="preserve">SCALE</t>
  </si>
  <si>
    <t xml:space="preserve">3. Gantt chart slouží pro vizuální přehled timeline</t>
  </si>
  <si>
    <t xml:space="preserve">KONFERENCE</t>
  </si>
  <si>
    <t xml:space="preserve">4. Filtry v Tasks listu umožňují filtrovat podle fáze, trhu, osoby</t>
  </si>
  <si>
    <t xml:space="preserve">5. Pro nový trh přidej řádky a zvol trh z dropdownu</t>
  </si>
  <si>
    <t xml:space="preserve">CIRCUITNINJA — SALES TASK TRACKER</t>
  </si>
  <si>
    <t xml:space="preserve">ID</t>
  </si>
  <si>
    <t xml:space="preserve">Fáze</t>
  </si>
  <si>
    <t xml:space="preserve">Trh</t>
  </si>
  <si>
    <t xml:space="preserve">Úkol</t>
  </si>
  <si>
    <t xml:space="preserve">Zodpovědný</t>
  </si>
  <si>
    <t xml:space="preserve">Priorita</t>
  </si>
  <si>
    <t xml:space="preserve">Status</t>
  </si>
  <si>
    <t xml:space="preserve">Start</t>
  </si>
  <si>
    <t xml:space="preserve">Deadline</t>
  </si>
  <si>
    <t xml:space="preserve">Dokončeno</t>
  </si>
  <si>
    <t xml:space="preserve">Poznámky</t>
  </si>
  <si>
    <t xml:space="preserve">Nastavení HubSpot CRM</t>
  </si>
  <si>
    <t xml:space="preserve">Vysoká</t>
  </si>
  <si>
    <t xml:space="preserve">2026-05-12</t>
  </si>
  <si>
    <t xml:space="preserve">2026-05-23</t>
  </si>
  <si>
    <t xml:space="preserve">Free tier</t>
  </si>
  <si>
    <t xml:space="preserve">Definice ICP (Ideal Customer Profile)</t>
  </si>
  <si>
    <t xml:space="preserve">2026-05-16</t>
  </si>
  <si>
    <t xml:space="preserve">Hardware dev, startupy, R&amp;D</t>
  </si>
  <si>
    <t xml:space="preserve">Příprava sales playbooku</t>
  </si>
  <si>
    <t xml:space="preserve">2026-05-19</t>
  </si>
  <si>
    <t xml:space="preserve">Šablona pro Jendu</t>
  </si>
  <si>
    <t xml:space="preserve">Nastavení Instantly.io</t>
  </si>
  <si>
    <t xml:space="preserve">Střední</t>
  </si>
  <si>
    <t xml:space="preserve">Cold email sekvence</t>
  </si>
  <si>
    <t xml:space="preserve">Lead list — Polsko (Apollo.io)</t>
  </si>
  <si>
    <t xml:space="preserve">200-300 kontaktů</t>
  </si>
  <si>
    <t xml:space="preserve">Email templaty — polský trh</t>
  </si>
  <si>
    <t xml:space="preserve">EN + PL verze</t>
  </si>
  <si>
    <t xml:space="preserve">Lead list — CZ/SK</t>
  </si>
  <si>
    <t xml:space="preserve">Stávající kontakty + nové</t>
  </si>
  <si>
    <t xml:space="preserve">Email templaty — CZ/SK trh</t>
  </si>
  <si>
    <t xml:space="preserve">Test — 100 kontaktů PL</t>
  </si>
  <si>
    <t xml:space="preserve">2026-05-26</t>
  </si>
  <si>
    <t xml:space="preserve">2026-06-06</t>
  </si>
  <si>
    <t xml:space="preserve">Instantly.io sekvence</t>
  </si>
  <si>
    <t xml:space="preserve">Test — 100 kontaktů CZ/SK</t>
  </si>
  <si>
    <t xml:space="preserve">Ladění messagingu</t>
  </si>
  <si>
    <t xml:space="preserve">2026-06-01</t>
  </si>
  <si>
    <t xml:space="preserve">Na základě response rate</t>
  </si>
  <si>
    <t xml:space="preserve">Vyhodnocení pilotu</t>
  </si>
  <si>
    <t xml:space="preserve">Go/No-Go rozhodnutí</t>
  </si>
  <si>
    <t xml:space="preserve">Outreach PL dle playbooku</t>
  </si>
  <si>
    <t xml:space="preserve">2026-06-08</t>
  </si>
  <si>
    <t xml:space="preserve">2026-09-30</t>
  </si>
  <si>
    <t xml:space="preserve">Průběžně</t>
  </si>
  <si>
    <t xml:space="preserve">Outreach CZ/SK dle playbooku</t>
  </si>
  <si>
    <t xml:space="preserve">Weekly review</t>
  </si>
  <si>
    <t xml:space="preserve">Každý pátek</t>
  </si>
  <si>
    <t xml:space="preserve">Hot leads → sales call</t>
  </si>
  <si>
    <t xml:space="preserve">Eskalace od Jendy</t>
  </si>
  <si>
    <t xml:space="preserve">Electronics Show 2026 — Varšava</t>
  </si>
  <si>
    <t xml:space="preserve">2026-05-21</t>
  </si>
  <si>
    <t xml:space="preserve">Registrace zdarma</t>
  </si>
  <si>
    <t xml:space="preserve">Embedded World 2027 — Norimberk</t>
  </si>
  <si>
    <t xml:space="preserve">Nízká</t>
  </si>
  <si>
    <t xml:space="preserve">2027-03-01</t>
  </si>
  <si>
    <t xml:space="preserve">2027-03-03</t>
  </si>
  <si>
    <t xml:space="preserve">Plánování dopředu</t>
  </si>
  <si>
    <t xml:space="preserve">CIRCUITNINJA — GANTT CHART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</si>
  <si>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</si>
  <si>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</si>
  <si>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</si>
  <si>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</si>
  <si>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</si>
  <si>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</si>
  <si>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</si>
  <si>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</si>
  <si>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</si>
  <si>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</si>
  <si>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</si>
  <si>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</si>
  <si>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</si>
  <si>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</si>
  <si>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</si>
  <si>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</si>
  <si>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</si>
  <si>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</si>
  <si>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</si>
  <si>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</si>
  <si>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</si>
  <si>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</si>
  <si>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</si>
  <si>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</si>
  <si>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11.05</t>
  </si>
  <si>
    <t xml:space="preserve">18.05</t>
  </si>
  <si>
    <t xml:space="preserve">25.05</t>
  </si>
  <si>
    <t xml:space="preserve">01.06</t>
  </si>
  <si>
    <t xml:space="preserve">08.06</t>
  </si>
  <si>
    <t xml:space="preserve">15.06</t>
  </si>
  <si>
    <t xml:space="preserve">22.06</t>
  </si>
  <si>
    <t xml:space="preserve">29.06</t>
  </si>
  <si>
    <t xml:space="preserve">06.07</t>
  </si>
  <si>
    <t xml:space="preserve">13.07</t>
  </si>
  <si>
    <t xml:space="preserve">20.07</t>
  </si>
  <si>
    <t xml:space="preserve">27.07</t>
  </si>
  <si>
    <t xml:space="preserve">03.08</t>
  </si>
  <si>
    <t xml:space="preserve">10.08</t>
  </si>
  <si>
    <t xml:space="preserve">17.08</t>
  </si>
  <si>
    <t xml:space="preserve">24.08</t>
  </si>
  <si>
    <t xml:space="preserve">31.08</t>
  </si>
  <si>
    <t xml:space="preserve">07.09</t>
  </si>
  <si>
    <t xml:space="preserve">14.09</t>
  </si>
  <si>
    <t xml:space="preserve">21.09</t>
  </si>
  <si>
    <t xml:space="preserve">28.09</t>
  </si>
  <si>
    <t xml:space="preserve">05.10</t>
  </si>
  <si>
    <t xml:space="preserve">12.10</t>
  </si>
  <si>
    <t xml:space="preserve">19.10</t>
  </si>
  <si>
    <t xml:space="preserve">Definice ICP</t>
  </si>
  <si>
    <t xml:space="preserve">Sales playbook</t>
  </si>
  <si>
    <t xml:space="preserve">Lead list PL</t>
  </si>
  <si>
    <t xml:space="preserve">Email templaty PL</t>
  </si>
  <si>
    <t xml:space="preserve">Lead list CZ/SK</t>
  </si>
  <si>
    <t xml:space="preserve">Email templaty CZ/SK</t>
  </si>
  <si>
    <t xml:space="preserve">Test 100 kontaktů PL</t>
  </si>
  <si>
    <t xml:space="preserve">Test 100 kontaktů CZ/SK</t>
  </si>
  <si>
    <t xml:space="preserve">Outreach PL</t>
  </si>
  <si>
    <t xml:space="preserve">Outreach CZ/SK</t>
  </si>
  <si>
    <t xml:space="preserve">Electronics Show (Varšava)</t>
  </si>
  <si>
    <t xml:space="preserve">Legenda: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</si>
</sst>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AAAAA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666666"/>
      <name val="Arial"/>
      <family val="0"/>
      <charset val="1"/>
    </font>
    <font>
      <sz val="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AF0F7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D6E4F0"/>
        <bgColor rgb="FFDEEBF7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EEEEEE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E0E0E0"/>
      </patternFill>
    </fill>
    <fill>
      <patternFill patternType="solid">
        <fgColor rgb="FFDEEBF7"/>
        <bgColor rgb="FFD6E4F0"/>
      </patternFill>
    </fill>
    <fill>
      <patternFill patternType="solid">
        <fgColor rgb="FFF2E6FF"/>
        <bgColor rgb="FFEEEEEE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EEEEE"/>
      </patternFill>
    </fill>
    <fill>
      <patternFill patternType="solid">
        <fgColor rgb="FF70AD47"/>
        <bgColor rgb="FF808080"/>
      </patternFill>
    </fill>
    <fill>
      <patternFill patternType="solid">
        <fgColor rgb="FFFAFAFA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5B9BD5"/>
        <bgColor rgb="FF2E75B6"/>
      </patternFill>
    </fill>
    <fill>
      <patternFill patternType="solid">
        <fgColor rgb="FFBF8FD6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E6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1F4E79"/>
      </font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6666"/>
      </font>
      <fill>
        <patternFill>
          <bgColor rgb="FFEEEEE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EEEEEE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2CC"/>
      <rgbColor rgb="FFDEEBF7"/>
      <rgbColor rgb="FF660066"/>
      <rgbColor rgb="FFF2E6FF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0F7"/>
      <rgbColor rgb="FFC6EFCE"/>
      <rgbColor rgb="FFE2EFDA"/>
      <rgbColor rgb="FFD6E4F0"/>
      <rgbColor rgb="FFE0E0E0"/>
      <rgbColor rgb="FFBF8FD6"/>
      <rgbColor rgb="FFFFC7CE"/>
      <rgbColor rgb="FF2E75B6"/>
      <rgbColor rgb="FF33CCCC"/>
      <rgbColor rgb="FFFAFAFA"/>
      <rgbColor rgb="FFFFC000"/>
      <rgbColor rgb="FFFF9900"/>
      <rgbColor rgb="FFFF6600"/>
      <rgbColor rgb="FF666666"/>
      <rgbColor rgb="FFAAAAAA"/>
      <rgbColor rgb="FF003366"/>
      <rgbColor rgb="FF70AD47"/>
      <rgbColor rgb="FF003300"/>
      <rgbColor rgb="FF555555"/>
      <rgbColor rgb="FF993300"/>
      <rgbColor rgb="FF993366"/>
      <rgbColor rgb="FF1F4E7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3"/>
    <col collapsed="false" customWidth="true" hidden="false" outlineLevel="0" max="14" min="10" style="0" width="1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n">
        <f aca="false">COUNTA(Tasks!A4:A50)</f>
        <v>18</v>
      </c>
      <c r="C5" s="4"/>
      <c r="D5" s="4"/>
      <c r="F5" s="4" t="n">
        <f aca="false">COUNTIF(Tasks!G4:G50,"Done")</f>
        <v>0</v>
      </c>
      <c r="G5" s="4"/>
      <c r="H5" s="4"/>
      <c r="J5" s="4" t="n">
        <f aca="false">COUNTIF(Tasks!G4:G50,"In Progress")</f>
        <v>0</v>
      </c>
      <c r="K5" s="4"/>
      <c r="L5" s="4"/>
    </row>
    <row r="6" customFormat="false" ht="15" hidden="false" customHeight="false" outlineLevel="0" collapsed="false">
      <c r="B6" s="4"/>
      <c r="C6" s="4"/>
      <c r="D6" s="4"/>
      <c r="F6" s="4"/>
      <c r="G6" s="4"/>
      <c r="H6" s="4"/>
      <c r="J6" s="4"/>
      <c r="K6" s="4"/>
      <c r="L6" s="4"/>
    </row>
    <row r="7" customFormat="false" ht="15" hidden="false" customHeight="false" outlineLevel="0" collapsed="false">
      <c r="B7" s="5" t="s">
        <v>3</v>
      </c>
      <c r="C7" s="5"/>
      <c r="D7" s="5"/>
      <c r="F7" s="5" t="s">
        <v>4</v>
      </c>
      <c r="G7" s="5"/>
      <c r="H7" s="5"/>
      <c r="J7" s="5" t="s">
        <v>5</v>
      </c>
      <c r="K7" s="5"/>
      <c r="L7" s="5"/>
    </row>
    <row r="9" customFormat="false" ht="15" hidden="false" customHeight="false" outlineLevel="0" collapsed="false"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9.7" hidden="false" customHeight="false" outlineLevel="0" collapsed="false">
      <c r="B10" s="7" t="n">
        <f aca="false">IF(COUNTA(Tasks!A4:A50)&gt;0,COUNTIF(Tasks!G4:G50,"Done")/COUNTA(Tasks!A4:A50),0)</f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2" customFormat="false" ht="15" hidden="false" customHeight="false" outlineLevel="0" collapsed="false">
      <c r="B12" s="3" t="s">
        <v>7</v>
      </c>
      <c r="F12" s="3" t="s">
        <v>8</v>
      </c>
      <c r="G12" s="8" t="s">
        <v>9</v>
      </c>
      <c r="H12" s="8" t="s">
        <v>4</v>
      </c>
      <c r="J12" s="3" t="s">
        <v>10</v>
      </c>
      <c r="K12" s="8" t="s">
        <v>9</v>
      </c>
      <c r="L12" s="8" t="s">
        <v>4</v>
      </c>
    </row>
    <row r="13" customFormat="false" ht="15" hidden="false" customHeight="false" outlineLevel="0" collapsed="false">
      <c r="B13" s="9" t="s">
        <v>11</v>
      </c>
      <c r="C13" s="10" t="n">
        <f aca="false">COUNTIF(Tasks!G4:G50,B13)</f>
        <v>18</v>
      </c>
      <c r="F13" s="11" t="s">
        <v>12</v>
      </c>
      <c r="G13" s="10" t="n">
        <f aca="false">COUNTIF(Tasks!C4:C50,F13)</f>
        <v>9</v>
      </c>
      <c r="H13" s="10" t="n">
        <f aca="false">COUNTIFS(Tasks!C4:C50,F13,Tasks!G4:G50,"Done")</f>
        <v>0</v>
      </c>
      <c r="J13" s="12" t="s">
        <v>13</v>
      </c>
      <c r="K13" s="10" t="n">
        <f aca="false">COUNTIF(Tasks!E4:E50,J13)</f>
        <v>6</v>
      </c>
      <c r="L13" s="10" t="n">
        <f aca="false">COUNTIFS(Tasks!E4:E50,J13,Tasks!G4:G50,"Done")</f>
        <v>0</v>
      </c>
    </row>
    <row r="14" customFormat="false" ht="15" hidden="false" customHeight="false" outlineLevel="0" collapsed="false">
      <c r="B14" s="13" t="s">
        <v>5</v>
      </c>
      <c r="C14" s="10" t="n">
        <f aca="false">COUNTIF(Tasks!G4:G50,B14)</f>
        <v>0</v>
      </c>
      <c r="F14" s="14" t="s">
        <v>14</v>
      </c>
      <c r="G14" s="10" t="n">
        <f aca="false">COUNTIF(Tasks!C4:C50,F14)</f>
        <v>5</v>
      </c>
      <c r="H14" s="10" t="n">
        <f aca="false">COUNTIFS(Tasks!C4:C50,F14,Tasks!G4:G50,"Done")</f>
        <v>0</v>
      </c>
      <c r="J14" s="12" t="s">
        <v>15</v>
      </c>
      <c r="K14" s="10" t="n">
        <f aca="false">COUNTIF(Tasks!E4:E50,J14)</f>
        <v>3</v>
      </c>
      <c r="L14" s="10" t="n">
        <f aca="false">COUNTIFS(Tasks!E4:E50,J14,Tasks!G4:G50,"Done")</f>
        <v>0</v>
      </c>
    </row>
    <row r="15" customFormat="false" ht="15" hidden="false" customHeight="false" outlineLevel="0" collapsed="false">
      <c r="B15" s="15" t="s">
        <v>16</v>
      </c>
      <c r="C15" s="10" t="n">
        <f aca="false">COUNTIF(Tasks!G4:G50,B15)</f>
        <v>0</v>
      </c>
      <c r="F15" s="16" t="s">
        <v>17</v>
      </c>
      <c r="G15" s="10" t="n">
        <f aca="false">COUNTIF(Tasks!C4:C50,F15)</f>
        <v>4</v>
      </c>
      <c r="H15" s="10" t="n">
        <f aca="false">COUNTIFS(Tasks!C4:C50,F15,Tasks!G4:G50,"Done")</f>
        <v>0</v>
      </c>
      <c r="J15" s="12" t="s">
        <v>18</v>
      </c>
      <c r="K15" s="10" t="n">
        <f aca="false">COUNTIF(Tasks!E4:E50,J15)</f>
        <v>4</v>
      </c>
      <c r="L15" s="10" t="n">
        <f aca="false">COUNTIFS(Tasks!E4:E50,J15,Tasks!G4:G50,"Done")</f>
        <v>0</v>
      </c>
    </row>
    <row r="16" customFormat="false" ht="15" hidden="false" customHeight="false" outlineLevel="0" collapsed="false">
      <c r="B16" s="17" t="s">
        <v>19</v>
      </c>
      <c r="C16" s="10" t="n">
        <f aca="false">COUNTIF(Tasks!G4:G50,B16)</f>
        <v>0</v>
      </c>
      <c r="J16" s="12" t="s">
        <v>20</v>
      </c>
      <c r="K16" s="10" t="n">
        <f aca="false">COUNTIF(Tasks!E4:E50,J16)</f>
        <v>5</v>
      </c>
      <c r="L16" s="10" t="n">
        <f aca="false">COUNTIFS(Tasks!E4:E50,J16,Tasks!G4:G50,"Done")</f>
        <v>0</v>
      </c>
    </row>
    <row r="18" customFormat="false" ht="15" hidden="false" customHeight="false" outlineLevel="0" collapsed="false">
      <c r="B18" s="3" t="s">
        <v>21</v>
      </c>
      <c r="C18" s="8" t="s">
        <v>9</v>
      </c>
      <c r="D18" s="8" t="s">
        <v>4</v>
      </c>
      <c r="E18" s="8" t="s">
        <v>22</v>
      </c>
      <c r="F18" s="3" t="s">
        <v>23</v>
      </c>
    </row>
    <row r="19" customFormat="false" ht="15" hidden="false" customHeight="false" outlineLevel="0" collapsed="false">
      <c r="B19" s="14" t="s">
        <v>24</v>
      </c>
      <c r="C19" s="10" t="n">
        <f aca="false">COUNTIF(Tasks!B4:B50,B19)</f>
        <v>8</v>
      </c>
      <c r="D19" s="10" t="n">
        <f aca="false">COUNTIFS(Tasks!B4:B50,B19,Tasks!G4:G50,"Done")</f>
        <v>0</v>
      </c>
      <c r="E19" s="18" t="n">
        <f aca="false">IF(C19&gt;0,D19/C19,0)</f>
        <v>0</v>
      </c>
      <c r="F19" s="19" t="s">
        <v>25</v>
      </c>
      <c r="G19" s="19"/>
      <c r="H19" s="19"/>
      <c r="I19" s="19"/>
      <c r="J19" s="19"/>
      <c r="K19" s="19"/>
      <c r="L19" s="19"/>
    </row>
    <row r="20" customFormat="false" ht="15" hidden="false" customHeight="false" outlineLevel="0" collapsed="false">
      <c r="B20" s="16" t="s">
        <v>26</v>
      </c>
      <c r="C20" s="10" t="n">
        <f aca="false">COUNTIF(Tasks!B4:B50,B20)</f>
        <v>4</v>
      </c>
      <c r="D20" s="10" t="n">
        <f aca="false">COUNTIFS(Tasks!B4:B50,B20,Tasks!G4:G50,"Done")</f>
        <v>0</v>
      </c>
      <c r="E20" s="18" t="n">
        <f aca="false">IF(C20&gt;0,D20/C20,0)</f>
        <v>0</v>
      </c>
      <c r="F20" s="19" t="s">
        <v>27</v>
      </c>
      <c r="G20" s="19"/>
      <c r="H20" s="19"/>
      <c r="I20" s="19"/>
      <c r="J20" s="19"/>
      <c r="K20" s="19"/>
      <c r="L20" s="19"/>
    </row>
    <row r="21" customFormat="false" ht="15" hidden="false" customHeight="false" outlineLevel="0" collapsed="false">
      <c r="B21" s="20" t="s">
        <v>28</v>
      </c>
      <c r="C21" s="10" t="n">
        <f aca="false">COUNTIF(Tasks!B4:B50,B21)</f>
        <v>4</v>
      </c>
      <c r="D21" s="10" t="n">
        <f aca="false">COUNTIFS(Tasks!B4:B50,B21,Tasks!G4:G50,"Done")</f>
        <v>0</v>
      </c>
      <c r="E21" s="18" t="n">
        <f aca="false">IF(C21&gt;0,D21/C21,0)</f>
        <v>0</v>
      </c>
      <c r="F21" s="19" t="s">
        <v>29</v>
      </c>
      <c r="G21" s="19"/>
      <c r="H21" s="19"/>
      <c r="I21" s="19"/>
      <c r="J21" s="19"/>
      <c r="K21" s="19"/>
      <c r="L21" s="19"/>
    </row>
    <row r="22" customFormat="false" ht="15" hidden="false" customHeight="false" outlineLevel="0" collapsed="false">
      <c r="B22" s="21" t="s">
        <v>30</v>
      </c>
      <c r="C22" s="10" t="n">
        <f aca="false">COUNTIF(Tasks!B4:B50,B22)</f>
        <v>2</v>
      </c>
      <c r="D22" s="10" t="n">
        <f aca="false">COUNTIFS(Tasks!B4:B50,B22,Tasks!G4:G50,"Done")</f>
        <v>0</v>
      </c>
      <c r="E22" s="18" t="n">
        <f aca="false">IF(C22&gt;0,D22/C22,0)</f>
        <v>0</v>
      </c>
      <c r="F22" s="19" t="s">
        <v>31</v>
      </c>
      <c r="G22" s="19"/>
      <c r="H22" s="19"/>
      <c r="I22" s="19"/>
      <c r="J22" s="19"/>
      <c r="K22" s="19"/>
      <c r="L22" s="19"/>
    </row>
    <row r="23" customFormat="false" ht="15" hidden="false" customHeight="false" outlineLevel="0" collapsed="false">
      <c r="F23" s="19" t="s">
        <v>32</v>
      </c>
      <c r="G23" s="19"/>
      <c r="H23" s="19"/>
      <c r="I23" s="19"/>
      <c r="J23" s="19"/>
      <c r="K23" s="19"/>
      <c r="L23" s="19"/>
    </row>
  </sheetData>
  <mergeCells count="15">
    <mergeCell ref="A1:N1"/>
    <mergeCell ref="A2:N2"/>
    <mergeCell ref="B5:D6"/>
    <mergeCell ref="F5:H6"/>
    <mergeCell ref="J5:L6"/>
    <mergeCell ref="B7:D7"/>
    <mergeCell ref="F7:H7"/>
    <mergeCell ref="J7:L7"/>
    <mergeCell ref="B9:L9"/>
    <mergeCell ref="B10:L10"/>
    <mergeCell ref="F19:L19"/>
    <mergeCell ref="F20:L20"/>
    <mergeCell ref="F21:L21"/>
    <mergeCell ref="F22:L22"/>
    <mergeCell ref="F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10" min="7" style="0" width="12"/>
    <col collapsed="false" customWidth="true" hidden="false" outlineLevel="0" max="11" min="11" style="0" width="30"/>
  </cols>
  <sheetData>
    <row r="1" customFormat="false" ht="4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30" hidden="false" customHeight="true" outlineLevel="0" collapsed="false">
      <c r="A3" s="22" t="s">
        <v>34</v>
      </c>
      <c r="B3" s="22" t="s">
        <v>35</v>
      </c>
      <c r="C3" s="22" t="s">
        <v>36</v>
      </c>
      <c r="D3" s="22" t="s">
        <v>37</v>
      </c>
      <c r="E3" s="22" t="s">
        <v>38</v>
      </c>
      <c r="F3" s="22" t="s">
        <v>39</v>
      </c>
      <c r="G3" s="22" t="s">
        <v>40</v>
      </c>
      <c r="H3" s="22" t="s">
        <v>41</v>
      </c>
      <c r="I3" s="22" t="s">
        <v>42</v>
      </c>
      <c r="J3" s="22" t="s">
        <v>43</v>
      </c>
      <c r="K3" s="22" t="s">
        <v>44</v>
      </c>
    </row>
    <row r="4" customFormat="false" ht="15" hidden="false" customHeight="false" outlineLevel="0" collapsed="false">
      <c r="A4" s="23" t="n">
        <v>1</v>
      </c>
      <c r="B4" s="24" t="s">
        <v>24</v>
      </c>
      <c r="C4" s="23" t="s">
        <v>12</v>
      </c>
      <c r="D4" s="25" t="s">
        <v>45</v>
      </c>
      <c r="E4" s="23" t="s">
        <v>13</v>
      </c>
      <c r="F4" s="23" t="s">
        <v>46</v>
      </c>
      <c r="G4" s="23" t="s">
        <v>11</v>
      </c>
      <c r="H4" s="26" t="s">
        <v>47</v>
      </c>
      <c r="I4" s="26" t="s">
        <v>48</v>
      </c>
      <c r="J4" s="26"/>
      <c r="K4" s="26" t="s">
        <v>49</v>
      </c>
    </row>
    <row r="5" customFormat="false" ht="15" hidden="false" customHeight="false" outlineLevel="0" collapsed="false">
      <c r="A5" s="10" t="n">
        <v>2</v>
      </c>
      <c r="B5" s="24" t="s">
        <v>24</v>
      </c>
      <c r="C5" s="27" t="s">
        <v>12</v>
      </c>
      <c r="D5" s="28" t="s">
        <v>50</v>
      </c>
      <c r="E5" s="10" t="s">
        <v>13</v>
      </c>
      <c r="F5" s="27" t="s">
        <v>46</v>
      </c>
      <c r="G5" s="27" t="s">
        <v>11</v>
      </c>
      <c r="H5" s="29" t="s">
        <v>47</v>
      </c>
      <c r="I5" s="29" t="s">
        <v>51</v>
      </c>
      <c r="J5" s="29"/>
      <c r="K5" s="29" t="s">
        <v>52</v>
      </c>
    </row>
    <row r="6" customFormat="false" ht="15" hidden="false" customHeight="false" outlineLevel="0" collapsed="false">
      <c r="A6" s="23" t="n">
        <v>3</v>
      </c>
      <c r="B6" s="24" t="s">
        <v>24</v>
      </c>
      <c r="C6" s="23" t="s">
        <v>12</v>
      </c>
      <c r="D6" s="25" t="s">
        <v>53</v>
      </c>
      <c r="E6" s="23" t="s">
        <v>13</v>
      </c>
      <c r="F6" s="23" t="s">
        <v>46</v>
      </c>
      <c r="G6" s="23" t="s">
        <v>11</v>
      </c>
      <c r="H6" s="26" t="s">
        <v>54</v>
      </c>
      <c r="I6" s="26" t="s">
        <v>48</v>
      </c>
      <c r="J6" s="26"/>
      <c r="K6" s="26" t="s">
        <v>55</v>
      </c>
    </row>
    <row r="7" customFormat="false" ht="15" hidden="false" customHeight="false" outlineLevel="0" collapsed="false">
      <c r="A7" s="10" t="n">
        <v>4</v>
      </c>
      <c r="B7" s="24" t="s">
        <v>24</v>
      </c>
      <c r="C7" s="27" t="s">
        <v>12</v>
      </c>
      <c r="D7" s="28" t="s">
        <v>56</v>
      </c>
      <c r="E7" s="10" t="s">
        <v>20</v>
      </c>
      <c r="F7" s="27" t="s">
        <v>57</v>
      </c>
      <c r="G7" s="27" t="s">
        <v>11</v>
      </c>
      <c r="H7" s="29" t="s">
        <v>54</v>
      </c>
      <c r="I7" s="29" t="s">
        <v>48</v>
      </c>
      <c r="J7" s="29"/>
      <c r="K7" s="29" t="s">
        <v>58</v>
      </c>
    </row>
    <row r="8" customFormat="false" ht="15" hidden="false" customHeight="false" outlineLevel="0" collapsed="false">
      <c r="A8" s="23" t="n">
        <v>5</v>
      </c>
      <c r="B8" s="24" t="s">
        <v>24</v>
      </c>
      <c r="C8" s="23" t="s">
        <v>14</v>
      </c>
      <c r="D8" s="25" t="s">
        <v>59</v>
      </c>
      <c r="E8" s="23" t="s">
        <v>15</v>
      </c>
      <c r="F8" s="23" t="s">
        <v>46</v>
      </c>
      <c r="G8" s="23" t="s">
        <v>11</v>
      </c>
      <c r="H8" s="26" t="s">
        <v>47</v>
      </c>
      <c r="I8" s="26" t="s">
        <v>48</v>
      </c>
      <c r="J8" s="26"/>
      <c r="K8" s="26" t="s">
        <v>60</v>
      </c>
    </row>
    <row r="9" customFormat="false" ht="15" hidden="false" customHeight="false" outlineLevel="0" collapsed="false">
      <c r="A9" s="10" t="n">
        <v>6</v>
      </c>
      <c r="B9" s="24" t="s">
        <v>24</v>
      </c>
      <c r="C9" s="27" t="s">
        <v>14</v>
      </c>
      <c r="D9" s="28" t="s">
        <v>61</v>
      </c>
      <c r="E9" s="10" t="s">
        <v>15</v>
      </c>
      <c r="F9" s="27" t="s">
        <v>57</v>
      </c>
      <c r="G9" s="27" t="s">
        <v>11</v>
      </c>
      <c r="H9" s="29" t="s">
        <v>54</v>
      </c>
      <c r="I9" s="29" t="s">
        <v>48</v>
      </c>
      <c r="J9" s="29"/>
      <c r="K9" s="29" t="s">
        <v>62</v>
      </c>
    </row>
    <row r="10" customFormat="false" ht="15" hidden="false" customHeight="false" outlineLevel="0" collapsed="false">
      <c r="A10" s="23" t="n">
        <v>7</v>
      </c>
      <c r="B10" s="24" t="s">
        <v>24</v>
      </c>
      <c r="C10" s="23" t="s">
        <v>17</v>
      </c>
      <c r="D10" s="25" t="s">
        <v>63</v>
      </c>
      <c r="E10" s="23" t="s">
        <v>18</v>
      </c>
      <c r="F10" s="23" t="s">
        <v>46</v>
      </c>
      <c r="G10" s="23" t="s">
        <v>11</v>
      </c>
      <c r="H10" s="26" t="s">
        <v>47</v>
      </c>
      <c r="I10" s="26" t="s">
        <v>48</v>
      </c>
      <c r="J10" s="26"/>
      <c r="K10" s="26" t="s">
        <v>64</v>
      </c>
    </row>
    <row r="11" customFormat="false" ht="15" hidden="false" customHeight="false" outlineLevel="0" collapsed="false">
      <c r="A11" s="10" t="n">
        <v>8</v>
      </c>
      <c r="B11" s="24" t="s">
        <v>24</v>
      </c>
      <c r="C11" s="27" t="s">
        <v>17</v>
      </c>
      <c r="D11" s="28" t="s">
        <v>65</v>
      </c>
      <c r="E11" s="10" t="s">
        <v>18</v>
      </c>
      <c r="F11" s="27" t="s">
        <v>57</v>
      </c>
      <c r="G11" s="27" t="s">
        <v>11</v>
      </c>
      <c r="H11" s="29" t="s">
        <v>54</v>
      </c>
      <c r="I11" s="29" t="s">
        <v>48</v>
      </c>
      <c r="J11" s="29"/>
      <c r="K11" s="29"/>
    </row>
    <row r="12" customFormat="false" ht="15" hidden="false" customHeight="false" outlineLevel="0" collapsed="false">
      <c r="A12" s="23" t="n">
        <v>9</v>
      </c>
      <c r="B12" s="30" t="s">
        <v>26</v>
      </c>
      <c r="C12" s="23" t="s">
        <v>14</v>
      </c>
      <c r="D12" s="25" t="s">
        <v>66</v>
      </c>
      <c r="E12" s="23" t="s">
        <v>20</v>
      </c>
      <c r="F12" s="23" t="s">
        <v>46</v>
      </c>
      <c r="G12" s="23" t="s">
        <v>11</v>
      </c>
      <c r="H12" s="26" t="s">
        <v>67</v>
      </c>
      <c r="I12" s="26" t="s">
        <v>68</v>
      </c>
      <c r="J12" s="26"/>
      <c r="K12" s="26" t="s">
        <v>69</v>
      </c>
    </row>
    <row r="13" customFormat="false" ht="15" hidden="false" customHeight="false" outlineLevel="0" collapsed="false">
      <c r="A13" s="10" t="n">
        <v>10</v>
      </c>
      <c r="B13" s="30" t="s">
        <v>26</v>
      </c>
      <c r="C13" s="27" t="s">
        <v>17</v>
      </c>
      <c r="D13" s="28" t="s">
        <v>70</v>
      </c>
      <c r="E13" s="10" t="s">
        <v>20</v>
      </c>
      <c r="F13" s="27" t="s">
        <v>46</v>
      </c>
      <c r="G13" s="27" t="s">
        <v>11</v>
      </c>
      <c r="H13" s="29" t="s">
        <v>67</v>
      </c>
      <c r="I13" s="29" t="s">
        <v>68</v>
      </c>
      <c r="J13" s="29"/>
      <c r="K13" s="29"/>
    </row>
    <row r="14" customFormat="false" ht="15" hidden="false" customHeight="false" outlineLevel="0" collapsed="false">
      <c r="A14" s="23" t="n">
        <v>11</v>
      </c>
      <c r="B14" s="30" t="s">
        <v>26</v>
      </c>
      <c r="C14" s="23" t="s">
        <v>12</v>
      </c>
      <c r="D14" s="25" t="s">
        <v>71</v>
      </c>
      <c r="E14" s="23" t="s">
        <v>13</v>
      </c>
      <c r="F14" s="23" t="s">
        <v>46</v>
      </c>
      <c r="G14" s="23" t="s">
        <v>11</v>
      </c>
      <c r="H14" s="26" t="s">
        <v>72</v>
      </c>
      <c r="I14" s="26" t="s">
        <v>68</v>
      </c>
      <c r="J14" s="26"/>
      <c r="K14" s="26" t="s">
        <v>73</v>
      </c>
    </row>
    <row r="15" customFormat="false" ht="15" hidden="false" customHeight="false" outlineLevel="0" collapsed="false">
      <c r="A15" s="10" t="n">
        <v>12</v>
      </c>
      <c r="B15" s="30" t="s">
        <v>26</v>
      </c>
      <c r="C15" s="27" t="s">
        <v>12</v>
      </c>
      <c r="D15" s="28" t="s">
        <v>74</v>
      </c>
      <c r="E15" s="10" t="s">
        <v>13</v>
      </c>
      <c r="F15" s="27" t="s">
        <v>46</v>
      </c>
      <c r="G15" s="27" t="s">
        <v>11</v>
      </c>
      <c r="H15" s="29" t="s">
        <v>68</v>
      </c>
      <c r="I15" s="29" t="s">
        <v>68</v>
      </c>
      <c r="J15" s="29"/>
      <c r="K15" s="29" t="s">
        <v>75</v>
      </c>
    </row>
    <row r="16" customFormat="false" ht="15" hidden="false" customHeight="false" outlineLevel="0" collapsed="false">
      <c r="A16" s="23" t="n">
        <v>13</v>
      </c>
      <c r="B16" s="31" t="s">
        <v>28</v>
      </c>
      <c r="C16" s="23" t="s">
        <v>14</v>
      </c>
      <c r="D16" s="25" t="s">
        <v>76</v>
      </c>
      <c r="E16" s="23" t="s">
        <v>20</v>
      </c>
      <c r="F16" s="23" t="s">
        <v>46</v>
      </c>
      <c r="G16" s="23" t="s">
        <v>11</v>
      </c>
      <c r="H16" s="26" t="s">
        <v>77</v>
      </c>
      <c r="I16" s="26" t="s">
        <v>78</v>
      </c>
      <c r="J16" s="26"/>
      <c r="K16" s="26" t="s">
        <v>79</v>
      </c>
    </row>
    <row r="17" customFormat="false" ht="15" hidden="false" customHeight="false" outlineLevel="0" collapsed="false">
      <c r="A17" s="10" t="n">
        <v>14</v>
      </c>
      <c r="B17" s="31" t="s">
        <v>28</v>
      </c>
      <c r="C17" s="27" t="s">
        <v>17</v>
      </c>
      <c r="D17" s="28" t="s">
        <v>80</v>
      </c>
      <c r="E17" s="10" t="s">
        <v>20</v>
      </c>
      <c r="F17" s="27" t="s">
        <v>46</v>
      </c>
      <c r="G17" s="27" t="s">
        <v>11</v>
      </c>
      <c r="H17" s="29" t="s">
        <v>77</v>
      </c>
      <c r="I17" s="29" t="s">
        <v>78</v>
      </c>
      <c r="J17" s="29"/>
      <c r="K17" s="29" t="s">
        <v>79</v>
      </c>
    </row>
    <row r="18" customFormat="false" ht="15" hidden="false" customHeight="false" outlineLevel="0" collapsed="false">
      <c r="A18" s="23" t="n">
        <v>15</v>
      </c>
      <c r="B18" s="31" t="s">
        <v>28</v>
      </c>
      <c r="C18" s="23" t="s">
        <v>12</v>
      </c>
      <c r="D18" s="25" t="s">
        <v>81</v>
      </c>
      <c r="E18" s="23" t="s">
        <v>13</v>
      </c>
      <c r="F18" s="23" t="s">
        <v>46</v>
      </c>
      <c r="G18" s="23" t="s">
        <v>11</v>
      </c>
      <c r="H18" s="26" t="s">
        <v>77</v>
      </c>
      <c r="I18" s="26" t="s">
        <v>78</v>
      </c>
      <c r="J18" s="26"/>
      <c r="K18" s="26" t="s">
        <v>82</v>
      </c>
    </row>
    <row r="19" customFormat="false" ht="15" hidden="false" customHeight="false" outlineLevel="0" collapsed="false">
      <c r="A19" s="10" t="n">
        <v>16</v>
      </c>
      <c r="B19" s="31" t="s">
        <v>28</v>
      </c>
      <c r="C19" s="27" t="s">
        <v>12</v>
      </c>
      <c r="D19" s="28" t="s">
        <v>83</v>
      </c>
      <c r="E19" s="10" t="s">
        <v>18</v>
      </c>
      <c r="F19" s="27" t="s">
        <v>46</v>
      </c>
      <c r="G19" s="27" t="s">
        <v>11</v>
      </c>
      <c r="H19" s="29" t="s">
        <v>77</v>
      </c>
      <c r="I19" s="29" t="s">
        <v>78</v>
      </c>
      <c r="J19" s="29"/>
      <c r="K19" s="29" t="s">
        <v>84</v>
      </c>
    </row>
    <row r="20" customFormat="false" ht="15" hidden="false" customHeight="false" outlineLevel="0" collapsed="false">
      <c r="A20" s="23" t="n">
        <v>17</v>
      </c>
      <c r="B20" s="32" t="s">
        <v>30</v>
      </c>
      <c r="C20" s="23" t="s">
        <v>14</v>
      </c>
      <c r="D20" s="25" t="s">
        <v>85</v>
      </c>
      <c r="E20" s="23" t="s">
        <v>15</v>
      </c>
      <c r="F20" s="23" t="s">
        <v>57</v>
      </c>
      <c r="G20" s="23" t="s">
        <v>11</v>
      </c>
      <c r="H20" s="26" t="s">
        <v>54</v>
      </c>
      <c r="I20" s="26" t="s">
        <v>86</v>
      </c>
      <c r="J20" s="26"/>
      <c r="K20" s="26" t="s">
        <v>87</v>
      </c>
    </row>
    <row r="21" customFormat="false" ht="15" hidden="false" customHeight="false" outlineLevel="0" collapsed="false">
      <c r="A21" s="10" t="n">
        <v>18</v>
      </c>
      <c r="B21" s="32" t="s">
        <v>30</v>
      </c>
      <c r="C21" s="27" t="s">
        <v>12</v>
      </c>
      <c r="D21" s="28" t="s">
        <v>88</v>
      </c>
      <c r="E21" s="10" t="s">
        <v>18</v>
      </c>
      <c r="F21" s="27" t="s">
        <v>89</v>
      </c>
      <c r="G21" s="27" t="s">
        <v>11</v>
      </c>
      <c r="H21" s="29" t="s">
        <v>90</v>
      </c>
      <c r="I21" s="29" t="s">
        <v>91</v>
      </c>
      <c r="J21" s="29"/>
      <c r="K21" s="29" t="s">
        <v>92</v>
      </c>
    </row>
  </sheetData>
  <autoFilter ref="A3:K50"/>
  <mergeCells count="1">
    <mergeCell ref="A1:O1"/>
  </mergeCells>
  <conditionalFormatting sqref="G4:G50">
    <cfRule type="cellIs" priority="2" operator="equal" aboveAverage="0" equalAverage="0" bottom="0" percent="0" rank="0" text="" dxfId="12">
      <formula>"Done"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"Blocked"</formula>
    </cfRule>
    <cfRule type="cellIs" priority="5" operator="equal" aboveAverage="0" equalAverage="0" bottom="0" percent="0" rank="0" text="" dxfId="15">
      <formula>"To Do"</formula>
    </cfRule>
  </conditionalFormatting>
  <conditionalFormatting sqref="F4:F50">
    <cfRule type="cellIs" priority="6" operator="equal" aboveAverage="0" equalAverage="0" bottom="0" percent="0" rank="0" text="" dxfId="16">
      <formula>"Vysoká"</formula>
    </cfRule>
  </conditionalFormatting>
  <dataValidations count="4">
    <dataValidation allowBlank="true" error="Vyber platný status" errorStyle="stop" operator="between" showDropDown="false" showErrorMessage="false" showInputMessage="false" sqref="G4:G50" type="list">
      <formula1>"To Do,In Progress,Done,Blocked"</formula1>
      <formula2>0</formula2>
    </dataValidation>
    <dataValidation allowBlank="true" errorStyle="stop" operator="between" showDropDown="false" showErrorMessage="false" showInputMessage="false" sqref="F4:F50" type="list">
      <formula1>"Vysoká,Střední,Nízká"</formula1>
      <formula2>0</formula2>
    </dataValidation>
    <dataValidation allowBlank="true" errorStyle="stop" operator="between" showDropDown="false" showErrorMessage="false" showInputMessage="false" sqref="B4:B50" type="list">
      <formula1>"SETUP,PILOT,SCALE,KONFERENCE"</formula1>
      <formula2>0</formula2>
    </dataValidation>
    <dataValidation allowBlank="true" errorStyle="stop" operator="between" showDropDown="false" showErrorMessage="false" showInputMessage="false" sqref="C4:C50" type="list">
      <formula1>"Global,PL,CZ/SK,DE,Other"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27" min="4" style="0" width="5"/>
  </cols>
  <sheetData>
    <row r="1" customFormat="false" ht="4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3"/>
    </row>
    <row r="3" customFormat="false" ht="15" hidden="false" customHeight="false" outlineLevel="0" collapsed="false">
      <c r="A3" s="22" t="s">
        <v>35</v>
      </c>
      <c r="B3" s="22" t="s">
        <v>37</v>
      </c>
      <c r="C3" s="22" t="s">
        <v>38</v>
      </c>
      <c r="D3" s="34" t="s">
        <v>94</v>
      </c>
      <c r="E3" s="34" t="s">
        <v>95</v>
      </c>
      <c r="F3" s="34" t="s">
        <v>96</v>
      </c>
      <c r="G3" s="34" t="s">
        <v>97</v>
      </c>
      <c r="H3" s="34" t="s">
        <v>98</v>
      </c>
      <c r="I3" s="34" t="s">
        <v>99</v>
      </c>
      <c r="J3" s="34" t="s">
        <v>100</v>
      </c>
      <c r="K3" s="34" t="s">
        <v>101</v>
      </c>
      <c r="L3" s="34" t="s">
        <v>102</v>
      </c>
      <c r="M3" s="34" t="s">
        <v>103</v>
      </c>
      <c r="N3" s="34" t="s">
        <v>104</v>
      </c>
      <c r="O3" s="34" t="s">
        <v>105</v>
      </c>
      <c r="P3" s="34" t="s">
        <v>106</v>
      </c>
      <c r="Q3" s="34" t="s">
        <v>107</v>
      </c>
      <c r="R3" s="34" t="s">
        <v>108</v>
      </c>
      <c r="S3" s="34" t="s">
        <v>109</v>
      </c>
      <c r="T3" s="34" t="s">
        <v>110</v>
      </c>
      <c r="U3" s="34" t="s">
        <v>111</v>
      </c>
      <c r="V3" s="34" t="s">
        <v>112</v>
      </c>
      <c r="W3" s="34" t="s">
        <v>113</v>
      </c>
      <c r="X3" s="34" t="s">
        <v>114</v>
      </c>
      <c r="Y3" s="34" t="s">
        <v>115</v>
      </c>
      <c r="Z3" s="34" t="s">
        <v>116</v>
      </c>
      <c r="AA3" s="34" t="s">
        <v>117</v>
      </c>
    </row>
    <row r="4" customFormat="false" ht="15" hidden="false" customHeight="false" outlineLevel="0" collapsed="false">
      <c r="A4" s="35"/>
      <c r="B4" s="35"/>
      <c r="C4" s="35"/>
      <c r="D4" s="36" t="s">
        <v>118</v>
      </c>
      <c r="E4" s="36" t="s">
        <v>119</v>
      </c>
      <c r="F4" s="36" t="s">
        <v>120</v>
      </c>
      <c r="G4" s="36" t="s">
        <v>121</v>
      </c>
      <c r="H4" s="36" t="s">
        <v>122</v>
      </c>
      <c r="I4" s="36" t="s">
        <v>123</v>
      </c>
      <c r="J4" s="36" t="s">
        <v>124</v>
      </c>
      <c r="K4" s="36" t="s">
        <v>125</v>
      </c>
      <c r="L4" s="36" t="s">
        <v>126</v>
      </c>
      <c r="M4" s="36" t="s">
        <v>127</v>
      </c>
      <c r="N4" s="36" t="s">
        <v>128</v>
      </c>
      <c r="O4" s="36" t="s">
        <v>129</v>
      </c>
      <c r="P4" s="36" t="s">
        <v>130</v>
      </c>
      <c r="Q4" s="36" t="s">
        <v>131</v>
      </c>
      <c r="R4" s="36" t="s">
        <v>132</v>
      </c>
      <c r="S4" s="36" t="s">
        <v>133</v>
      </c>
      <c r="T4" s="36" t="s">
        <v>134</v>
      </c>
      <c r="U4" s="36" t="s">
        <v>135</v>
      </c>
      <c r="V4" s="36" t="s">
        <v>136</v>
      </c>
      <c r="W4" s="36" t="s">
        <v>137</v>
      </c>
      <c r="X4" s="36" t="s">
        <v>138</v>
      </c>
      <c r="Y4" s="36" t="s">
        <v>139</v>
      </c>
      <c r="Z4" s="36" t="s">
        <v>140</v>
      </c>
      <c r="AA4" s="36" t="s">
        <v>141</v>
      </c>
    </row>
    <row r="5" customFormat="false" ht="15" hidden="false" customHeight="false" outlineLevel="0" collapsed="false">
      <c r="A5" s="24" t="s">
        <v>24</v>
      </c>
      <c r="B5" s="29" t="s">
        <v>45</v>
      </c>
      <c r="C5" s="10" t="s">
        <v>13</v>
      </c>
      <c r="D5" s="37"/>
      <c r="E5" s="37"/>
      <c r="F5" s="37"/>
      <c r="G5" s="38"/>
      <c r="H5" s="39"/>
      <c r="I5" s="38"/>
      <c r="J5" s="39"/>
      <c r="K5" s="38"/>
      <c r="L5" s="39"/>
      <c r="M5" s="38"/>
      <c r="N5" s="39"/>
      <c r="O5" s="38"/>
      <c r="P5" s="39"/>
      <c r="Q5" s="38"/>
      <c r="R5" s="39"/>
      <c r="S5" s="38"/>
      <c r="T5" s="39"/>
      <c r="U5" s="38"/>
      <c r="V5" s="39"/>
      <c r="W5" s="38"/>
      <c r="X5" s="39"/>
      <c r="Y5" s="38"/>
      <c r="Z5" s="39"/>
      <c r="AA5" s="38"/>
    </row>
    <row r="6" customFormat="false" ht="15" hidden="false" customHeight="false" outlineLevel="0" collapsed="false">
      <c r="A6" s="24" t="s">
        <v>24</v>
      </c>
      <c r="B6" s="29" t="s">
        <v>142</v>
      </c>
      <c r="C6" s="10" t="s">
        <v>13</v>
      </c>
      <c r="D6" s="37"/>
      <c r="E6" s="37"/>
      <c r="F6" s="39"/>
      <c r="G6" s="38"/>
      <c r="H6" s="39"/>
      <c r="I6" s="38"/>
      <c r="J6" s="39"/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38"/>
    </row>
    <row r="7" customFormat="false" ht="15" hidden="false" customHeight="false" outlineLevel="0" collapsed="false">
      <c r="A7" s="24" t="s">
        <v>24</v>
      </c>
      <c r="B7" s="29" t="s">
        <v>143</v>
      </c>
      <c r="C7" s="10" t="s">
        <v>13</v>
      </c>
      <c r="D7" s="39"/>
      <c r="E7" s="37"/>
      <c r="F7" s="37"/>
      <c r="G7" s="38"/>
      <c r="H7" s="39"/>
      <c r="I7" s="38"/>
      <c r="J7" s="39"/>
      <c r="K7" s="38"/>
      <c r="L7" s="39"/>
      <c r="M7" s="38"/>
      <c r="N7" s="39"/>
      <c r="O7" s="38"/>
      <c r="P7" s="39"/>
      <c r="Q7" s="38"/>
      <c r="R7" s="39"/>
      <c r="S7" s="38"/>
      <c r="T7" s="39"/>
      <c r="U7" s="38"/>
      <c r="V7" s="39"/>
      <c r="W7" s="38"/>
      <c r="X7" s="39"/>
      <c r="Y7" s="38"/>
      <c r="Z7" s="39"/>
      <c r="AA7" s="38"/>
    </row>
    <row r="8" customFormat="false" ht="15" hidden="false" customHeight="false" outlineLevel="0" collapsed="false">
      <c r="A8" s="24" t="s">
        <v>24</v>
      </c>
      <c r="B8" s="29" t="s">
        <v>56</v>
      </c>
      <c r="C8" s="10" t="s">
        <v>20</v>
      </c>
      <c r="D8" s="39"/>
      <c r="E8" s="37"/>
      <c r="F8" s="37"/>
      <c r="G8" s="38"/>
      <c r="H8" s="39"/>
      <c r="I8" s="38"/>
      <c r="J8" s="39"/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38"/>
    </row>
    <row r="9" customFormat="false" ht="15" hidden="false" customHeight="false" outlineLevel="0" collapsed="false">
      <c r="A9" s="24" t="s">
        <v>24</v>
      </c>
      <c r="B9" s="29" t="s">
        <v>144</v>
      </c>
      <c r="C9" s="10" t="s">
        <v>15</v>
      </c>
      <c r="D9" s="37"/>
      <c r="E9" s="37"/>
      <c r="F9" s="37"/>
      <c r="G9" s="38"/>
      <c r="H9" s="39"/>
      <c r="I9" s="38"/>
      <c r="J9" s="39"/>
      <c r="K9" s="38"/>
      <c r="L9" s="39"/>
      <c r="M9" s="38"/>
      <c r="N9" s="39"/>
      <c r="O9" s="38"/>
      <c r="P9" s="39"/>
      <c r="Q9" s="38"/>
      <c r="R9" s="39"/>
      <c r="S9" s="38"/>
      <c r="T9" s="39"/>
      <c r="U9" s="38"/>
      <c r="V9" s="39"/>
      <c r="W9" s="38"/>
      <c r="X9" s="39"/>
      <c r="Y9" s="38"/>
      <c r="Z9" s="39"/>
      <c r="AA9" s="38"/>
    </row>
    <row r="10" customFormat="false" ht="15" hidden="false" customHeight="false" outlineLevel="0" collapsed="false">
      <c r="A10" s="24" t="s">
        <v>24</v>
      </c>
      <c r="B10" s="29" t="s">
        <v>145</v>
      </c>
      <c r="C10" s="10" t="s">
        <v>15</v>
      </c>
      <c r="D10" s="39"/>
      <c r="E10" s="37"/>
      <c r="F10" s="37"/>
      <c r="G10" s="38"/>
      <c r="H10" s="39"/>
      <c r="I10" s="38"/>
      <c r="J10" s="39"/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38"/>
      <c r="V10" s="39"/>
      <c r="W10" s="38"/>
      <c r="X10" s="39"/>
      <c r="Y10" s="38"/>
      <c r="Z10" s="39"/>
      <c r="AA10" s="38"/>
    </row>
    <row r="11" customFormat="false" ht="15" hidden="false" customHeight="false" outlineLevel="0" collapsed="false">
      <c r="A11" s="24" t="s">
        <v>24</v>
      </c>
      <c r="B11" s="29" t="s">
        <v>146</v>
      </c>
      <c r="C11" s="10" t="s">
        <v>18</v>
      </c>
      <c r="D11" s="37"/>
      <c r="E11" s="37"/>
      <c r="F11" s="37"/>
      <c r="G11" s="38"/>
      <c r="H11" s="39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/>
      <c r="T11" s="39"/>
      <c r="U11" s="38"/>
      <c r="V11" s="39"/>
      <c r="W11" s="38"/>
      <c r="X11" s="39"/>
      <c r="Y11" s="38"/>
      <c r="Z11" s="39"/>
      <c r="AA11" s="38"/>
    </row>
    <row r="12" customFormat="false" ht="15" hidden="false" customHeight="false" outlineLevel="0" collapsed="false">
      <c r="A12" s="24" t="s">
        <v>24</v>
      </c>
      <c r="B12" s="29" t="s">
        <v>147</v>
      </c>
      <c r="C12" s="10" t="s">
        <v>18</v>
      </c>
      <c r="D12" s="39"/>
      <c r="E12" s="37"/>
      <c r="F12" s="37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38"/>
      <c r="V12" s="39"/>
      <c r="W12" s="38"/>
      <c r="X12" s="39"/>
      <c r="Y12" s="38"/>
      <c r="Z12" s="39"/>
      <c r="AA12" s="38"/>
    </row>
    <row r="13" customFormat="false" ht="15" hidden="false" customHeight="false" outlineLevel="0" collapsed="false">
      <c r="A13" s="30" t="s">
        <v>26</v>
      </c>
      <c r="B13" s="29" t="s">
        <v>148</v>
      </c>
      <c r="C13" s="10" t="s">
        <v>20</v>
      </c>
      <c r="D13" s="39"/>
      <c r="E13" s="38"/>
      <c r="F13" s="40"/>
      <c r="G13" s="40"/>
      <c r="H13" s="40"/>
      <c r="I13" s="38"/>
      <c r="J13" s="39"/>
      <c r="K13" s="38"/>
      <c r="L13" s="39"/>
      <c r="M13" s="38"/>
      <c r="N13" s="39"/>
      <c r="O13" s="38"/>
      <c r="P13" s="39"/>
      <c r="Q13" s="38"/>
      <c r="R13" s="39"/>
      <c r="S13" s="38"/>
      <c r="T13" s="39"/>
      <c r="U13" s="38"/>
      <c r="V13" s="39"/>
      <c r="W13" s="38"/>
      <c r="X13" s="39"/>
      <c r="Y13" s="38"/>
      <c r="Z13" s="39"/>
      <c r="AA13" s="38"/>
    </row>
    <row r="14" customFormat="false" ht="15" hidden="false" customHeight="false" outlineLevel="0" collapsed="false">
      <c r="A14" s="30" t="s">
        <v>26</v>
      </c>
      <c r="B14" s="29" t="s">
        <v>149</v>
      </c>
      <c r="C14" s="10" t="s">
        <v>20</v>
      </c>
      <c r="D14" s="39"/>
      <c r="E14" s="38"/>
      <c r="F14" s="40"/>
      <c r="G14" s="40"/>
      <c r="H14" s="40"/>
      <c r="I14" s="38"/>
      <c r="J14" s="39"/>
      <c r="K14" s="38"/>
      <c r="L14" s="39"/>
      <c r="M14" s="38"/>
      <c r="N14" s="39"/>
      <c r="O14" s="38"/>
      <c r="P14" s="39"/>
      <c r="Q14" s="38"/>
      <c r="R14" s="39"/>
      <c r="S14" s="38"/>
      <c r="T14" s="39"/>
      <c r="U14" s="38"/>
      <c r="V14" s="39"/>
      <c r="W14" s="38"/>
      <c r="X14" s="39"/>
      <c r="Y14" s="38"/>
      <c r="Z14" s="39"/>
      <c r="AA14" s="38"/>
    </row>
    <row r="15" customFormat="false" ht="15" hidden="false" customHeight="false" outlineLevel="0" collapsed="false">
      <c r="A15" s="30" t="s">
        <v>26</v>
      </c>
      <c r="B15" s="29" t="s">
        <v>71</v>
      </c>
      <c r="C15" s="10" t="s">
        <v>13</v>
      </c>
      <c r="D15" s="39"/>
      <c r="E15" s="38"/>
      <c r="F15" s="39"/>
      <c r="G15" s="40"/>
      <c r="H15" s="40"/>
      <c r="I15" s="38"/>
      <c r="J15" s="39"/>
      <c r="K15" s="38"/>
      <c r="L15" s="39"/>
      <c r="M15" s="38"/>
      <c r="N15" s="39"/>
      <c r="O15" s="38"/>
      <c r="P15" s="39"/>
      <c r="Q15" s="38"/>
      <c r="R15" s="39"/>
      <c r="S15" s="38"/>
      <c r="T15" s="39"/>
      <c r="U15" s="38"/>
      <c r="V15" s="39"/>
      <c r="W15" s="38"/>
      <c r="X15" s="39"/>
      <c r="Y15" s="38"/>
      <c r="Z15" s="39"/>
      <c r="AA15" s="38"/>
    </row>
    <row r="16" customFormat="false" ht="15" hidden="false" customHeight="false" outlineLevel="0" collapsed="false">
      <c r="A16" s="30" t="s">
        <v>26</v>
      </c>
      <c r="B16" s="29" t="s">
        <v>74</v>
      </c>
      <c r="C16" s="10" t="s">
        <v>13</v>
      </c>
      <c r="D16" s="39"/>
      <c r="E16" s="38"/>
      <c r="F16" s="39"/>
      <c r="G16" s="40"/>
      <c r="H16" s="40"/>
      <c r="I16" s="38"/>
      <c r="J16" s="39"/>
      <c r="K16" s="38"/>
      <c r="L16" s="39"/>
      <c r="M16" s="38"/>
      <c r="N16" s="39"/>
      <c r="O16" s="38"/>
      <c r="P16" s="39"/>
      <c r="Q16" s="38"/>
      <c r="R16" s="39"/>
      <c r="S16" s="38"/>
      <c r="T16" s="39"/>
      <c r="U16" s="38"/>
      <c r="V16" s="39"/>
      <c r="W16" s="38"/>
      <c r="X16" s="39"/>
      <c r="Y16" s="38"/>
      <c r="Z16" s="39"/>
      <c r="AA16" s="38"/>
    </row>
    <row r="17" customFormat="false" ht="15" hidden="false" customHeight="false" outlineLevel="0" collapsed="false">
      <c r="A17" s="31" t="s">
        <v>28</v>
      </c>
      <c r="B17" s="29" t="s">
        <v>150</v>
      </c>
      <c r="C17" s="10" t="s">
        <v>20</v>
      </c>
      <c r="D17" s="39"/>
      <c r="E17" s="38"/>
      <c r="F17" s="39"/>
      <c r="G17" s="38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38"/>
      <c r="Z17" s="39"/>
      <c r="AA17" s="38"/>
    </row>
    <row r="18" customFormat="false" ht="15" hidden="false" customHeight="false" outlineLevel="0" collapsed="false">
      <c r="A18" s="31" t="s">
        <v>28</v>
      </c>
      <c r="B18" s="29" t="s">
        <v>151</v>
      </c>
      <c r="C18" s="10" t="s">
        <v>20</v>
      </c>
      <c r="D18" s="39"/>
      <c r="E18" s="38"/>
      <c r="F18" s="39"/>
      <c r="G18" s="3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38"/>
      <c r="Z18" s="39"/>
      <c r="AA18" s="38"/>
    </row>
    <row r="19" customFormat="false" ht="15" hidden="false" customHeight="false" outlineLevel="0" collapsed="false">
      <c r="A19" s="31" t="s">
        <v>28</v>
      </c>
      <c r="B19" s="29" t="s">
        <v>81</v>
      </c>
      <c r="C19" s="10" t="s">
        <v>13</v>
      </c>
      <c r="D19" s="39"/>
      <c r="E19" s="38"/>
      <c r="F19" s="39"/>
      <c r="G19" s="38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38"/>
      <c r="Z19" s="39"/>
      <c r="AA19" s="38"/>
    </row>
    <row r="20" customFormat="false" ht="15" hidden="false" customHeight="false" outlineLevel="0" collapsed="false">
      <c r="A20" s="31" t="s">
        <v>28</v>
      </c>
      <c r="B20" s="29" t="s">
        <v>83</v>
      </c>
      <c r="C20" s="10" t="s">
        <v>18</v>
      </c>
      <c r="D20" s="39"/>
      <c r="E20" s="38"/>
      <c r="F20" s="39"/>
      <c r="G20" s="38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38"/>
      <c r="Z20" s="39"/>
      <c r="AA20" s="38"/>
    </row>
    <row r="21" customFormat="false" ht="15" hidden="false" customHeight="false" outlineLevel="0" collapsed="false">
      <c r="A21" s="32" t="s">
        <v>30</v>
      </c>
      <c r="B21" s="29" t="s">
        <v>152</v>
      </c>
      <c r="C21" s="10" t="s">
        <v>15</v>
      </c>
      <c r="D21" s="39"/>
      <c r="E21" s="42"/>
      <c r="F21" s="42"/>
      <c r="G21" s="38"/>
      <c r="H21" s="39"/>
      <c r="I21" s="38"/>
      <c r="J21" s="39"/>
      <c r="K21" s="38"/>
      <c r="L21" s="39"/>
      <c r="M21" s="38"/>
      <c r="N21" s="39"/>
      <c r="O21" s="38"/>
      <c r="P21" s="39"/>
      <c r="Q21" s="38"/>
      <c r="R21" s="39"/>
      <c r="S21" s="38"/>
      <c r="T21" s="39"/>
      <c r="U21" s="38"/>
      <c r="V21" s="39"/>
      <c r="W21" s="38"/>
      <c r="X21" s="39"/>
      <c r="Y21" s="38"/>
      <c r="Z21" s="39"/>
      <c r="AA21" s="38"/>
    </row>
    <row r="24" customFormat="false" ht="15" hidden="false" customHeight="false" outlineLevel="0" collapsed="false">
      <c r="A24" s="43" t="s">
        <v>153</v>
      </c>
      <c r="B24" s="44" t="s">
        <v>24</v>
      </c>
      <c r="C24" s="45"/>
      <c r="D24" s="44" t="s">
        <v>26</v>
      </c>
      <c r="E24" s="46"/>
      <c r="F24" s="44" t="s">
        <v>28</v>
      </c>
      <c r="G24" s="47"/>
      <c r="H24" s="44" t="s">
        <v>30</v>
      </c>
      <c r="I24" s="48"/>
    </row>
  </sheetData>
  <mergeCells count="1">
    <mergeCell ref="A1:A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2026-05-07T11:37:23Z</dcterms:created>
  <dc:creator>openpyxl</dc:creator>
  <dc:description/>
  <dc:language>en-US</dc:language>
  <cp:lastModifiedBy/>
  <dcterms:modified xsi:type="dcterms:W3CDTF">2026-05-07T11:37:23Z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