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<sst xmlns="http://schemas.openxmlformats.org/spreadsheetml/2006/main" count="232" uniqueCount="63">
  <si>
    <t xml:space="preserve">no</t>
  </si>
  <si>
    <t xml:space="preserve">group</t>
  </si>
  <si>
    <t xml:space="preserve">album</t>
  </si>
  <si>
    <t xml:space="preserve">Oct 7th</t>
  </si>
  <si>
    <t xml:space="preserve">Oct 14th</t>
  </si>
  <si>
    <t xml:space="preserve">Oct 21st</t>
  </si>
  <si>
    <t xml:space="preserve">Oct 28th</t>
  </si>
  <si>
    <t xml:space="preserve">Nov 4th</t>
  </si>
  <si>
    <t xml:space="preserve">Nov 14th</t>
  </si>
  <si>
    <t xml:space="preserve">Nov 18th</t>
  </si>
  <si>
    <t xml:space="preserve">Dec 2nd</t>
  </si>
  <si>
    <t xml:space="preserve">Dec 9th</t>
  </si>
  <si>
    <t xml:space="preserve">Dec 16th</t>
  </si>
  <si>
    <t xml:space="preserve">Jan 13th</t>
  </si>
  <si>
    <t xml:space="preserve">Jan 20th</t>
  </si>
  <si>
    <t xml:space="preserve">presentation</t>
  </si>
  <si>
    <t xml:space="preserve">date of presentation</t>
  </si>
  <si>
    <t xml:space="preserve">1 extra task</t>
  </si>
  <si>
    <t xml:space="preserve">2 extra task</t>
  </si>
  <si>
    <t xml:space="preserve">3 extra task</t>
  </si>
  <si>
    <t xml:space="preserve">clustering</t>
  </si>
  <si>
    <t xml:space="preserve">dimension reduction</t>
  </si>
  <si>
    <t xml:space="preserve">association rules</t>
  </si>
  <si>
    <t xml:space="preserve">pts total</t>
  </si>
  <si>
    <t xml:space="preserve">pts rescaled</t>
  </si>
  <si>
    <t xml:space="preserve">grade (main exam session)</t>
  </si>
  <si>
    <t xml:space="preserve">clustering RETAKE</t>
  </si>
  <si>
    <t xml:space="preserve">dimension reduction RETAKE</t>
  </si>
  <si>
    <t xml:space="preserve">association rules RETAKE</t>
  </si>
  <si>
    <t xml:space="preserve">pts rescaled RETAKE</t>
  </si>
  <si>
    <t xml:space="preserve">grade (retake exam session)</t>
  </si>
  <si>
    <t xml:space="preserve">2.3.1</t>
  </si>
  <si>
    <t xml:space="preserve">visa</t>
  </si>
  <si>
    <t xml:space="preserve">1.2.2</t>
  </si>
  <si>
    <t xml:space="preserve">2.4.2</t>
  </si>
  <si>
    <t xml:space="preserve">3.3.1</t>
  </si>
  <si>
    <t xml:space="preserve">1.4.3</t>
  </si>
  <si>
    <t xml:space="preserve">5!</t>
  </si>
  <si>
    <t xml:space="preserve">2.2.3</t>
  </si>
  <si>
    <t xml:space="preserve">1.3.3</t>
  </si>
  <si>
    <t xml:space="preserve">2.4.4</t>
  </si>
  <si>
    <t xml:space="preserve">1.5.2</t>
  </si>
  <si>
    <t xml:space="preserve">3.2.3</t>
  </si>
  <si>
    <t xml:space="preserve">1.2.1</t>
  </si>
  <si>
    <t xml:space="preserve">3.3.2</t>
  </si>
  <si>
    <t xml:space="preserve">1.4.2</t>
  </si>
  <si>
    <t xml:space="preserve">2.2.2</t>
  </si>
  <si>
    <t xml:space="preserve">3.2.4</t>
  </si>
  <si>
    <t xml:space="preserve">1.3.2</t>
  </si>
  <si>
    <t xml:space="preserve">1.5.3</t>
  </si>
  <si>
    <t xml:space="preserve">1.2.3</t>
  </si>
  <si>
    <t xml:space="preserve">2.3.2</t>
  </si>
  <si>
    <t xml:space="preserve">2.2.1</t>
  </si>
  <si>
    <t xml:space="preserve">2.3.4</t>
  </si>
  <si>
    <t xml:space="preserve">3.2.1</t>
  </si>
  <si>
    <t xml:space="preserve">1.4.1</t>
  </si>
  <si>
    <t xml:space="preserve">2.3.3</t>
  </si>
  <si>
    <t xml:space="preserve">2.4.1</t>
  </si>
  <si>
    <t xml:space="preserve">1.5.1</t>
  </si>
  <si>
    <t xml:space="preserve">3.2.2</t>
  </si>
  <si>
    <t xml:space="preserve">1.3.1</t>
  </si>
  <si>
    <t xml:space="preserve">2.2.4</t>
  </si>
  <si>
    <t xml:space="preserve">2.4.3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</si>
</sst>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"/>
    <numFmt numFmtId="167" formatCode="@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i val="true"/>
      <sz val="11"/>
      <name val="Georgia"/>
      <family val="1"/>
      <charset val="238"/>
    </font>
    <font>
      <sz val="11"/>
      <name val="Georgia"/>
      <family val="1"/>
      <charset val="238"/>
    </font>
    <font>
      <b val="true"/>
      <sz val="11"/>
      <name val="Georgia"/>
      <family val="1"/>
      <charset val="238"/>
    </font>
    <font>
      <sz val="11"/>
      <name val="Georgia"/>
      <family val="1"/>
      <charset val="1"/>
    </font>
    <font>
      <sz val="11"/>
      <color theme="1"/>
      <name val="Georgia"/>
      <family val="1"/>
      <charset val="238"/>
    </font>
    <font>
      <sz val="11"/>
      <color rgb="FFFF0000"/>
      <name val="Georgia"/>
      <family val="1"/>
      <charset val="238"/>
    </font>
    <font>
      <sz val="11"/>
      <color rgb="FFFF0000"/>
      <name val="Calibri"/>
      <family val="2"/>
      <charset val="1"/>
    </font>
    <font>
      <b val="true"/>
      <sz val="11"/>
      <name val="Georgia"/>
      <family val="1"/>
      <charset val="1"/>
    </font>
    <font>
      <b val="true"/>
      <sz val="11"/>
      <color theme="1"/>
      <name val="Georgia"/>
      <family val="1"/>
      <charset val="238"/>
    </font>
    <font>
      <b val="true"/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rgb="FFFF0000"/>
        <bgColor rgb="FF993300"/>
      </patternFill>
    </fill>
    <fill>
      <patternFill patternType="solid">
        <fgColor rgb="FFFFFF00"/>
        <bgColor rgb="FFFFFF00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Motyw pakietu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S346"/>
  <sheetViews>
    <sheetView showFormulas="false" showGridLines="false" showRowColHeaders="true" showZeros="true" rightToLeft="false" tabSelected="true" showOutlineSymbols="true" defaultGridColor="true" view="normal" topLeftCell="M1" colorId="64" zoomScale="125" zoomScaleNormal="125" zoomScalePageLayoutView="100" workbookViewId="0">
      <pane xSplit="0" ySplit="3" topLeftCell="D37" activePane="bottomLeft" state="frozen"/>
      <selection pane="topLeft" activeCell="M1" activeCellId="0" sqref="M1"/>
      <selection pane="bottomLeft" activeCell="S49" activeCellId="0" sqref="S49"/>
    </sheetView>
  </sheetViews>
  <sheetFormatPr defaultColWidth="8.66796875" defaultRowHeight="15" zeroHeight="false" outlineLevelRow="0" outlineLevelCol="0"/>
  <cols>
    <col collapsed="false" customWidth="false" hidden="false" outlineLevel="0" max="1" min="1" style="1" width="8.67"/>
    <col collapsed="false" customWidth="true" hidden="false" outlineLevel="0" max="2" min="2" style="1" width="13.5"/>
    <col collapsed="false" customWidth="true" hidden="false" outlineLevel="0" max="15" min="3" style="1" width="10"/>
    <col collapsed="false" customWidth="true" hidden="false" outlineLevel="0" max="16" min="16" style="1" width="11.33"/>
    <col collapsed="false" customWidth="true" hidden="false" outlineLevel="0" max="17" min="17" style="1" width="18"/>
    <col collapsed="false" customWidth="true" hidden="false" outlineLevel="0" max="20" min="18" style="2" width="11.33"/>
    <col collapsed="false" customWidth="true" hidden="false" outlineLevel="0" max="21" min="21" style="1" width="9.17"/>
    <col collapsed="false" customWidth="true" hidden="false" outlineLevel="0" max="22" min="22" style="1" width="17.83"/>
    <col collapsed="false" customWidth="true" hidden="false" outlineLevel="0" max="23" min="23" style="1" width="16.33"/>
    <col collapsed="false" customWidth="true" hidden="false" outlineLevel="0" max="24" min="24" style="1" width="10.34"/>
    <col collapsed="false" customWidth="true" hidden="false" outlineLevel="0" max="25" min="25" style="3" width="12.5"/>
    <col collapsed="false" customWidth="true" hidden="false" outlineLevel="0" max="27" min="26" style="1" width="27.33"/>
    <col collapsed="false" customWidth="true" hidden="false" outlineLevel="0" max="28" min="28" style="1" width="30.83"/>
    <col collapsed="false" customWidth="true" hidden="false" outlineLevel="0" max="30" min="29" style="1" width="26.83"/>
    <col collapsed="false" customWidth="true" hidden="false" outlineLevel="0" max="31" min="31" style="1" width="28.33"/>
  </cols>
  <sheetData>
    <row r="1" customFormat="false" ht="15" hidden="false" customHeight="false" outlineLevel="0" collapsed="false">
      <c r="A1" s="4" t="str">
        <f aca="true">"Ostatnia modyfikacja: " &amp; DAY(TODAY()) &amp; "." &amp; MONTH(TODAY()) &amp;"."&amp; YEAR(TODAY()) &amp;" "&amp; HOUR(NOW()) &amp; ":" &amp; RIGHT("0"&amp;FIXED(MINUTE(NOW()),0),2)</f>
        <v>Ostatnia modyfikacja: 21.2.2026 23:56</v>
      </c>
    </row>
    <row r="3" customFormat="false" ht="15" hidden="false" customHeight="false" outlineLevel="0" collapsed="false">
      <c r="A3" s="5" t="s">
        <v>0</v>
      </c>
      <c r="B3" s="5" t="s">
        <v>1</v>
      </c>
      <c r="C3" s="5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6" t="s">
        <v>15</v>
      </c>
      <c r="Q3" s="6" t="s">
        <v>16</v>
      </c>
      <c r="R3" s="7" t="s">
        <v>17</v>
      </c>
      <c r="S3" s="7" t="s">
        <v>18</v>
      </c>
      <c r="T3" s="7" t="s">
        <v>19</v>
      </c>
      <c r="U3" s="6" t="s">
        <v>20</v>
      </c>
      <c r="V3" s="5" t="s">
        <v>21</v>
      </c>
      <c r="W3" s="5" t="s">
        <v>22</v>
      </c>
      <c r="X3" s="8" t="s">
        <v>23</v>
      </c>
      <c r="Y3" s="9" t="s">
        <v>24</v>
      </c>
      <c r="Z3" s="8" t="s">
        <v>25</v>
      </c>
      <c r="AA3" s="8" t="s">
        <v>26</v>
      </c>
      <c r="AB3" s="8" t="s">
        <v>27</v>
      </c>
      <c r="AC3" s="8" t="s">
        <v>28</v>
      </c>
      <c r="AD3" s="8" t="s">
        <v>29</v>
      </c>
      <c r="AE3" s="8" t="s">
        <v>30</v>
      </c>
    </row>
    <row r="4" customFormat="false" ht="14.25" hidden="false" customHeight="true" outlineLevel="0" collapsed="false">
      <c r="A4" s="5" t="n">
        <v>1</v>
      </c>
      <c r="B4" s="5" t="n">
        <v>2</v>
      </c>
      <c r="C4" s="10" t="n">
        <v>488468</v>
      </c>
      <c r="D4" s="11" t="n">
        <v>1</v>
      </c>
      <c r="E4" s="11" t="n">
        <v>1</v>
      </c>
      <c r="F4" s="11" t="n">
        <v>1</v>
      </c>
      <c r="G4" s="11" t="n">
        <v>0</v>
      </c>
      <c r="H4" s="11" t="n">
        <v>1</v>
      </c>
      <c r="I4" s="11" t="n">
        <v>1</v>
      </c>
      <c r="J4" s="11" t="n">
        <v>1</v>
      </c>
      <c r="K4" s="11" t="n">
        <v>0</v>
      </c>
      <c r="L4" s="11" t="n">
        <v>1</v>
      </c>
      <c r="M4" s="11" t="n">
        <v>1</v>
      </c>
      <c r="N4" s="11" t="n">
        <v>1</v>
      </c>
      <c r="O4" s="11" t="n">
        <v>1</v>
      </c>
      <c r="P4" s="12" t="s">
        <v>31</v>
      </c>
      <c r="Q4" s="12" t="s">
        <v>11</v>
      </c>
      <c r="R4" s="13" t="n">
        <v>7</v>
      </c>
      <c r="S4" s="13"/>
      <c r="T4" s="13"/>
      <c r="U4" s="6" t="n">
        <v>86</v>
      </c>
      <c r="V4" s="5" t="n">
        <v>90</v>
      </c>
      <c r="W4" s="5" t="n">
        <v>92</v>
      </c>
      <c r="X4" s="14" t="n">
        <f aca="false">SUM(R4:W4)</f>
        <v>275</v>
      </c>
      <c r="Y4" s="15" t="n">
        <f aca="false">X4/300*100</f>
        <v>91.6666666666667</v>
      </c>
      <c r="Z4" s="16" t="n">
        <v>5</v>
      </c>
      <c r="AA4" s="14"/>
      <c r="AB4" s="14"/>
      <c r="AC4" s="14"/>
      <c r="AD4" s="14"/>
      <c r="AE4" s="17"/>
    </row>
    <row r="5" customFormat="false" ht="14.25" hidden="false" customHeight="true" outlineLevel="0" collapsed="false">
      <c r="A5" s="5" t="n">
        <v>2</v>
      </c>
      <c r="B5" s="5" t="n">
        <v>2</v>
      </c>
      <c r="C5" s="10" t="n">
        <v>488745</v>
      </c>
      <c r="D5" s="11" t="s">
        <v>32</v>
      </c>
      <c r="E5" s="11" t="s">
        <v>32</v>
      </c>
      <c r="F5" s="11" t="s">
        <v>32</v>
      </c>
      <c r="G5" s="11" t="s">
        <v>32</v>
      </c>
      <c r="H5" s="11" t="s">
        <v>32</v>
      </c>
      <c r="I5" s="11" t="n">
        <v>1</v>
      </c>
      <c r="J5" s="11" t="s">
        <v>32</v>
      </c>
      <c r="K5" s="11" t="s">
        <v>32</v>
      </c>
      <c r="L5" s="11" t="n">
        <v>1</v>
      </c>
      <c r="M5" s="11" t="n">
        <v>1</v>
      </c>
      <c r="N5" s="11" t="n">
        <v>1</v>
      </c>
      <c r="O5" s="11" t="n">
        <v>1</v>
      </c>
      <c r="P5" s="12" t="s">
        <v>33</v>
      </c>
      <c r="Q5" s="12" t="s">
        <v>4</v>
      </c>
      <c r="R5" s="13" t="n">
        <v>5</v>
      </c>
      <c r="S5" s="13"/>
      <c r="T5" s="13"/>
      <c r="U5" s="6" t="n">
        <v>87</v>
      </c>
      <c r="V5" s="5" t="n">
        <v>90</v>
      </c>
      <c r="W5" s="5" t="n">
        <v>88</v>
      </c>
      <c r="X5" s="14" t="n">
        <f aca="false">SUM(R5:W5)</f>
        <v>270</v>
      </c>
      <c r="Y5" s="15" t="n">
        <f aca="false">X5/300*100</f>
        <v>90</v>
      </c>
      <c r="Z5" s="16" t="n">
        <v>5</v>
      </c>
      <c r="AA5" s="14"/>
      <c r="AB5" s="14"/>
      <c r="AC5" s="14"/>
      <c r="AD5" s="14"/>
      <c r="AE5" s="17"/>
    </row>
    <row r="6" customFormat="false" ht="14.25" hidden="false" customHeight="true" outlineLevel="0" collapsed="false">
      <c r="A6" s="5" t="n">
        <v>3</v>
      </c>
      <c r="B6" s="5" t="n">
        <v>2</v>
      </c>
      <c r="C6" s="10" t="n">
        <v>488137</v>
      </c>
      <c r="D6" s="11" t="s">
        <v>32</v>
      </c>
      <c r="E6" s="11" t="n">
        <v>1</v>
      </c>
      <c r="F6" s="11" t="n">
        <v>1</v>
      </c>
      <c r="G6" s="11" t="n">
        <v>1</v>
      </c>
      <c r="H6" s="11" t="n">
        <v>1</v>
      </c>
      <c r="I6" s="11" t="n">
        <v>1</v>
      </c>
      <c r="J6" s="11" t="n">
        <v>1</v>
      </c>
      <c r="K6" s="11" t="n">
        <v>1</v>
      </c>
      <c r="L6" s="11" t="n">
        <v>1</v>
      </c>
      <c r="M6" s="11" t="n">
        <v>1</v>
      </c>
      <c r="N6" s="11" t="n">
        <v>1</v>
      </c>
      <c r="O6" s="11" t="n">
        <v>0</v>
      </c>
      <c r="P6" s="12" t="s">
        <v>34</v>
      </c>
      <c r="Q6" s="12" t="s">
        <v>12</v>
      </c>
      <c r="R6" s="13" t="n">
        <v>7</v>
      </c>
      <c r="S6" s="13" t="n">
        <v>9</v>
      </c>
      <c r="T6" s="13" t="n">
        <v>8</v>
      </c>
      <c r="U6" s="6" t="n">
        <v>80</v>
      </c>
      <c r="V6" s="5" t="n">
        <v>82</v>
      </c>
      <c r="W6" s="5" t="n">
        <v>79</v>
      </c>
      <c r="X6" s="14" t="n">
        <f aca="false">SUM(R6:W6)</f>
        <v>265</v>
      </c>
      <c r="Y6" s="15" t="n">
        <f aca="false">X6/300*100</f>
        <v>88.3333333333333</v>
      </c>
      <c r="Z6" s="16" t="n">
        <v>4.5</v>
      </c>
      <c r="AA6" s="15"/>
      <c r="AB6" s="15"/>
      <c r="AC6" s="15"/>
      <c r="AD6" s="15"/>
      <c r="AE6" s="17"/>
    </row>
    <row r="7" customFormat="false" ht="14.25" hidden="false" customHeight="true" outlineLevel="0" collapsed="false">
      <c r="A7" s="5" t="n">
        <v>4</v>
      </c>
      <c r="B7" s="5" t="n">
        <v>2</v>
      </c>
      <c r="C7" s="10" t="n">
        <v>482570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 t="n">
        <v>1</v>
      </c>
      <c r="O7" s="11" t="n">
        <v>1</v>
      </c>
      <c r="P7" s="12" t="s">
        <v>35</v>
      </c>
      <c r="Q7" s="12" t="s">
        <v>14</v>
      </c>
      <c r="R7" s="13"/>
      <c r="S7" s="13"/>
      <c r="T7" s="13"/>
      <c r="U7" s="6" t="n">
        <v>90</v>
      </c>
      <c r="V7" s="5" t="n">
        <v>91</v>
      </c>
      <c r="W7" s="5" t="n">
        <v>90</v>
      </c>
      <c r="X7" s="14" t="n">
        <f aca="false">SUM(R7:W7)</f>
        <v>271</v>
      </c>
      <c r="Y7" s="15" t="n">
        <f aca="false">X7/300*100</f>
        <v>90.3333333333333</v>
      </c>
      <c r="Z7" s="16" t="n">
        <v>5</v>
      </c>
      <c r="AA7" s="15"/>
      <c r="AB7" s="15"/>
      <c r="AC7" s="15"/>
      <c r="AD7" s="15"/>
      <c r="AE7" s="17"/>
    </row>
    <row r="8" customFormat="false" ht="14.25" hidden="false" customHeight="true" outlineLevel="0" collapsed="false">
      <c r="A8" s="5" t="n">
        <v>5</v>
      </c>
      <c r="B8" s="5" t="n">
        <v>2</v>
      </c>
      <c r="C8" s="10" t="n">
        <v>488184</v>
      </c>
      <c r="D8" s="11" t="n">
        <v>1</v>
      </c>
      <c r="E8" s="11" t="n">
        <v>1</v>
      </c>
      <c r="F8" s="11" t="n">
        <v>1</v>
      </c>
      <c r="G8" s="11" t="n">
        <v>1</v>
      </c>
      <c r="H8" s="11" t="n">
        <v>1</v>
      </c>
      <c r="I8" s="11" t="n">
        <v>1</v>
      </c>
      <c r="J8" s="11" t="n">
        <v>1</v>
      </c>
      <c r="K8" s="11" t="n">
        <v>1</v>
      </c>
      <c r="L8" s="11" t="n">
        <v>1</v>
      </c>
      <c r="M8" s="11" t="n">
        <v>1</v>
      </c>
      <c r="N8" s="11" t="n">
        <v>1</v>
      </c>
      <c r="O8" s="11" t="n">
        <v>1</v>
      </c>
      <c r="P8" s="18" t="s">
        <v>36</v>
      </c>
      <c r="Q8" s="12" t="s">
        <v>6</v>
      </c>
      <c r="R8" s="13" t="n">
        <v>8</v>
      </c>
      <c r="S8" s="13" t="n">
        <v>8</v>
      </c>
      <c r="T8" s="13" t="n">
        <v>8</v>
      </c>
      <c r="U8" s="6" t="n">
        <v>90</v>
      </c>
      <c r="V8" s="5" t="n">
        <v>86</v>
      </c>
      <c r="W8" s="5" t="n">
        <v>88</v>
      </c>
      <c r="X8" s="14" t="n">
        <f aca="false">SUM(R8:W8)</f>
        <v>288</v>
      </c>
      <c r="Y8" s="15" t="n">
        <f aca="false">X8/300*100</f>
        <v>96</v>
      </c>
      <c r="Z8" s="16" t="s">
        <v>37</v>
      </c>
      <c r="AA8" s="15"/>
      <c r="AB8" s="15"/>
      <c r="AC8" s="15"/>
      <c r="AD8" s="15"/>
      <c r="AE8" s="19"/>
    </row>
    <row r="9" customFormat="false" ht="14.25" hidden="false" customHeight="true" outlineLevel="0" collapsed="false">
      <c r="A9" s="5" t="n">
        <v>6</v>
      </c>
      <c r="B9" s="5" t="n">
        <v>2</v>
      </c>
      <c r="C9" s="10" t="n">
        <v>488399</v>
      </c>
      <c r="D9" s="11" t="s">
        <v>32</v>
      </c>
      <c r="E9" s="11" t="s">
        <v>32</v>
      </c>
      <c r="F9" s="11" t="n">
        <v>1</v>
      </c>
      <c r="G9" s="11" t="n">
        <v>1</v>
      </c>
      <c r="H9" s="11" t="n">
        <v>1</v>
      </c>
      <c r="I9" s="11" t="n">
        <v>1</v>
      </c>
      <c r="J9" s="11" t="n">
        <v>1</v>
      </c>
      <c r="K9" s="11" t="n">
        <v>1</v>
      </c>
      <c r="L9" s="11" t="n">
        <v>1</v>
      </c>
      <c r="M9" s="11" t="n">
        <v>1</v>
      </c>
      <c r="N9" s="11" t="n">
        <v>1</v>
      </c>
      <c r="O9" s="11" t="n">
        <v>1</v>
      </c>
      <c r="P9" s="12" t="s">
        <v>38</v>
      </c>
      <c r="Q9" s="12" t="s">
        <v>10</v>
      </c>
      <c r="R9" s="13" t="n">
        <v>7</v>
      </c>
      <c r="S9" s="13" t="n">
        <v>8</v>
      </c>
      <c r="T9" s="13" t="n">
        <v>5</v>
      </c>
      <c r="U9" s="6" t="n">
        <v>70</v>
      </c>
      <c r="V9" s="5" t="n">
        <v>68</v>
      </c>
      <c r="W9" s="5" t="n">
        <v>67</v>
      </c>
      <c r="X9" s="14" t="n">
        <f aca="false">SUM(R9:W9)</f>
        <v>225</v>
      </c>
      <c r="Y9" s="15" t="n">
        <f aca="false">X9/300*100</f>
        <v>75</v>
      </c>
      <c r="Z9" s="16" t="n">
        <v>4</v>
      </c>
      <c r="AA9" s="14"/>
      <c r="AB9" s="14"/>
      <c r="AC9" s="14"/>
      <c r="AD9" s="14"/>
      <c r="AE9" s="17"/>
    </row>
    <row r="10" customFormat="false" ht="14.25" hidden="false" customHeight="true" outlineLevel="0" collapsed="false">
      <c r="A10" s="5" t="n">
        <v>7</v>
      </c>
      <c r="B10" s="5" t="n">
        <v>2</v>
      </c>
      <c r="C10" s="10" t="n">
        <v>483923</v>
      </c>
      <c r="D10" s="11" t="n">
        <v>1</v>
      </c>
      <c r="E10" s="11" t="n">
        <v>1</v>
      </c>
      <c r="F10" s="11" t="n">
        <v>1</v>
      </c>
      <c r="G10" s="11" t="n">
        <v>1</v>
      </c>
      <c r="H10" s="11" t="n">
        <v>1</v>
      </c>
      <c r="I10" s="11" t="n">
        <v>1</v>
      </c>
      <c r="J10" s="11" t="n">
        <v>0</v>
      </c>
      <c r="K10" s="11" t="n">
        <v>0</v>
      </c>
      <c r="L10" s="11" t="n">
        <v>1</v>
      </c>
      <c r="M10" s="11" t="n">
        <v>1</v>
      </c>
      <c r="N10" s="11" t="n">
        <v>1</v>
      </c>
      <c r="O10" s="11" t="n">
        <v>1</v>
      </c>
      <c r="P10" s="12" t="s">
        <v>39</v>
      </c>
      <c r="Q10" s="20" t="s">
        <v>5</v>
      </c>
      <c r="R10" s="13"/>
      <c r="S10" s="13"/>
      <c r="T10" s="13"/>
      <c r="U10" s="6" t="n">
        <v>91</v>
      </c>
      <c r="V10" s="5" t="n">
        <v>91</v>
      </c>
      <c r="W10" s="5" t="n">
        <v>88</v>
      </c>
      <c r="X10" s="14" t="n">
        <f aca="false">SUM(R10:W10)</f>
        <v>270</v>
      </c>
      <c r="Y10" s="15" t="n">
        <f aca="false">X10/300*100</f>
        <v>90</v>
      </c>
      <c r="Z10" s="16" t="n">
        <v>5</v>
      </c>
      <c r="AA10" s="14"/>
      <c r="AB10" s="14"/>
      <c r="AC10" s="14"/>
      <c r="AD10" s="14"/>
      <c r="AE10" s="17"/>
    </row>
    <row r="11" customFormat="false" ht="14.25" hidden="false" customHeight="true" outlineLevel="0" collapsed="false">
      <c r="A11" s="5" t="n">
        <v>8</v>
      </c>
      <c r="B11" s="5" t="n">
        <v>2</v>
      </c>
      <c r="C11" s="21" t="n">
        <v>438427</v>
      </c>
      <c r="D11" s="22" t="n">
        <v>1</v>
      </c>
      <c r="E11" s="22" t="n">
        <v>1</v>
      </c>
      <c r="F11" s="22" t="n">
        <v>1</v>
      </c>
      <c r="G11" s="22" t="n">
        <v>1</v>
      </c>
      <c r="H11" s="22" t="n">
        <v>1</v>
      </c>
      <c r="I11" s="11" t="n">
        <v>1</v>
      </c>
      <c r="J11" s="22" t="n">
        <v>1</v>
      </c>
      <c r="K11" s="22" t="n">
        <v>1</v>
      </c>
      <c r="L11" s="22" t="n">
        <v>0</v>
      </c>
      <c r="M11" s="22" t="n">
        <v>1</v>
      </c>
      <c r="N11" s="11" t="n">
        <v>1</v>
      </c>
      <c r="O11" s="22" t="n">
        <v>0</v>
      </c>
      <c r="P11" s="20" t="s">
        <v>40</v>
      </c>
      <c r="Q11" s="20" t="s">
        <v>12</v>
      </c>
      <c r="R11" s="23"/>
      <c r="S11" s="23"/>
      <c r="T11" s="23"/>
      <c r="U11" s="6" t="n">
        <v>88</v>
      </c>
      <c r="V11" s="5" t="n">
        <v>92</v>
      </c>
      <c r="W11" s="5" t="n">
        <v>90</v>
      </c>
      <c r="X11" s="14" t="n">
        <f aca="false">SUM(R11:W11)</f>
        <v>270</v>
      </c>
      <c r="Y11" s="15" t="n">
        <f aca="false">X11/300*100</f>
        <v>90</v>
      </c>
      <c r="Z11" s="16" t="n">
        <v>5</v>
      </c>
      <c r="AA11" s="15"/>
      <c r="AB11" s="15"/>
      <c r="AC11" s="15"/>
      <c r="AD11" s="15"/>
      <c r="AE11" s="17"/>
    </row>
    <row r="12" customFormat="false" ht="13.5" hidden="false" customHeight="true" outlineLevel="0" collapsed="false">
      <c r="A12" s="5" t="n">
        <v>9</v>
      </c>
      <c r="B12" s="5" t="n">
        <v>2</v>
      </c>
      <c r="C12" s="10" t="n">
        <v>448722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2" t="s">
        <v>41</v>
      </c>
      <c r="Q12" s="12" t="s">
        <v>7</v>
      </c>
      <c r="R12" s="13"/>
      <c r="S12" s="13"/>
      <c r="T12" s="13"/>
      <c r="U12" s="6" t="n">
        <v>94</v>
      </c>
      <c r="V12" s="5" t="n">
        <v>95</v>
      </c>
      <c r="W12" s="5" t="n">
        <v>96</v>
      </c>
      <c r="X12" s="14" t="n">
        <f aca="false">SUM(R12:W12)</f>
        <v>285</v>
      </c>
      <c r="Y12" s="15" t="n">
        <f aca="false">X12/300*100</f>
        <v>95</v>
      </c>
      <c r="Z12" s="16" t="s">
        <v>37</v>
      </c>
      <c r="AA12" s="14"/>
      <c r="AB12" s="14"/>
      <c r="AC12" s="14"/>
      <c r="AD12" s="14"/>
      <c r="AE12" s="17"/>
    </row>
    <row r="13" customFormat="false" ht="14.25" hidden="false" customHeight="true" outlineLevel="0" collapsed="false">
      <c r="A13" s="5" t="n">
        <v>10</v>
      </c>
      <c r="B13" s="5" t="n">
        <v>2</v>
      </c>
      <c r="C13" s="24" t="n">
        <v>453658</v>
      </c>
      <c r="D13" s="25" t="n">
        <v>1</v>
      </c>
      <c r="E13" s="25" t="n">
        <v>1</v>
      </c>
      <c r="F13" s="25" t="n">
        <v>1</v>
      </c>
      <c r="G13" s="25" t="n">
        <v>1</v>
      </c>
      <c r="H13" s="25" t="n">
        <v>1</v>
      </c>
      <c r="I13" s="11" t="n">
        <v>1</v>
      </c>
      <c r="J13" s="25" t="n">
        <v>1</v>
      </c>
      <c r="K13" s="25" t="n">
        <v>1</v>
      </c>
      <c r="L13" s="25" t="n">
        <v>1</v>
      </c>
      <c r="M13" s="25" t="n">
        <v>1</v>
      </c>
      <c r="N13" s="11" t="n">
        <v>1</v>
      </c>
      <c r="O13" s="25" t="n">
        <v>1</v>
      </c>
      <c r="P13" s="12" t="s">
        <v>42</v>
      </c>
      <c r="Q13" s="12" t="s">
        <v>13</v>
      </c>
      <c r="R13" s="13" t="n">
        <v>9</v>
      </c>
      <c r="S13" s="13"/>
      <c r="T13" s="13"/>
      <c r="U13" s="6" t="n">
        <v>95</v>
      </c>
      <c r="V13" s="5" t="n">
        <v>94</v>
      </c>
      <c r="W13" s="5" t="n">
        <v>90</v>
      </c>
      <c r="X13" s="14" t="n">
        <f aca="false">SUM(R13:W13)</f>
        <v>288</v>
      </c>
      <c r="Y13" s="15" t="n">
        <f aca="false">X13/300*100</f>
        <v>96</v>
      </c>
      <c r="Z13" s="16" t="s">
        <v>37</v>
      </c>
      <c r="AA13" s="15"/>
      <c r="AB13" s="15"/>
      <c r="AC13" s="15"/>
      <c r="AD13" s="15"/>
      <c r="AE13" s="17"/>
    </row>
    <row r="14" customFormat="false" ht="14.25" hidden="false" customHeight="true" outlineLevel="0" collapsed="false">
      <c r="A14" s="5" t="n">
        <v>11</v>
      </c>
      <c r="B14" s="5" t="n">
        <v>2</v>
      </c>
      <c r="C14" s="24" t="n">
        <v>425465</v>
      </c>
      <c r="D14" s="25" t="n">
        <v>0</v>
      </c>
      <c r="E14" s="25" t="n">
        <v>0</v>
      </c>
      <c r="F14" s="25" t="n">
        <v>0</v>
      </c>
      <c r="G14" s="25" t="n">
        <v>0</v>
      </c>
      <c r="H14" s="25" t="n">
        <v>0</v>
      </c>
      <c r="I14" s="11" t="n">
        <v>1</v>
      </c>
      <c r="J14" s="25" t="n">
        <v>0</v>
      </c>
      <c r="K14" s="25" t="n">
        <v>0</v>
      </c>
      <c r="L14" s="25" t="n">
        <v>0</v>
      </c>
      <c r="M14" s="25" t="n">
        <v>0</v>
      </c>
      <c r="N14" s="11" t="n">
        <v>1</v>
      </c>
      <c r="O14" s="25" t="n">
        <v>0</v>
      </c>
      <c r="P14" s="26" t="s">
        <v>43</v>
      </c>
      <c r="Q14" s="26" t="s">
        <v>4</v>
      </c>
      <c r="R14" s="13"/>
      <c r="S14" s="13"/>
      <c r="T14" s="13"/>
      <c r="U14" s="6"/>
      <c r="V14" s="5"/>
      <c r="W14" s="5"/>
      <c r="X14" s="14" t="n">
        <f aca="false">SUM(R14:W14)</f>
        <v>0</v>
      </c>
      <c r="Y14" s="15" t="n">
        <f aca="false">X14/300*100</f>
        <v>0</v>
      </c>
      <c r="Z14" s="16" t="n">
        <v>2</v>
      </c>
      <c r="AA14" s="15"/>
      <c r="AB14" s="15"/>
      <c r="AC14" s="15"/>
      <c r="AD14" s="15"/>
      <c r="AE14" s="17"/>
    </row>
    <row r="15" customFormat="false" ht="14.25" hidden="false" customHeight="true" outlineLevel="0" collapsed="false">
      <c r="A15" s="5" t="n">
        <v>12</v>
      </c>
      <c r="B15" s="5" t="n">
        <v>2</v>
      </c>
      <c r="C15" s="10" t="n">
        <v>486798</v>
      </c>
      <c r="D15" s="11" t="n">
        <v>1</v>
      </c>
      <c r="E15" s="11" t="n">
        <v>1</v>
      </c>
      <c r="F15" s="11" t="n">
        <v>1</v>
      </c>
      <c r="G15" s="11" t="n">
        <v>1</v>
      </c>
      <c r="H15" s="11" t="n">
        <v>1</v>
      </c>
      <c r="I15" s="11" t="s">
        <v>32</v>
      </c>
      <c r="J15" s="11" t="s">
        <v>32</v>
      </c>
      <c r="K15" s="11" t="n">
        <v>1</v>
      </c>
      <c r="L15" s="11" t="n">
        <v>1</v>
      </c>
      <c r="M15" s="11" t="n">
        <v>0</v>
      </c>
      <c r="N15" s="11" t="n">
        <v>1</v>
      </c>
      <c r="O15" s="11" t="n">
        <v>1</v>
      </c>
      <c r="P15" s="12" t="s">
        <v>44</v>
      </c>
      <c r="Q15" s="12" t="s">
        <v>14</v>
      </c>
      <c r="R15" s="13" t="n">
        <v>8</v>
      </c>
      <c r="S15" s="13"/>
      <c r="T15" s="13"/>
      <c r="U15" s="6" t="n">
        <v>84</v>
      </c>
      <c r="V15" s="5" t="n">
        <v>91</v>
      </c>
      <c r="W15" s="5" t="n">
        <v>90</v>
      </c>
      <c r="X15" s="14" t="n">
        <f aca="false">SUM(R15:W15)</f>
        <v>273</v>
      </c>
      <c r="Y15" s="15" t="n">
        <f aca="false">X15/300*100</f>
        <v>91</v>
      </c>
      <c r="Z15" s="16" t="n">
        <v>5</v>
      </c>
      <c r="AA15" s="15"/>
      <c r="AB15" s="15"/>
      <c r="AC15" s="15"/>
      <c r="AD15" s="15"/>
      <c r="AE15" s="17"/>
    </row>
    <row r="16" customFormat="false" ht="14.25" hidden="false" customHeight="true" outlineLevel="0" collapsed="false">
      <c r="A16" s="5" t="n">
        <v>13</v>
      </c>
      <c r="B16" s="5" t="n">
        <v>2</v>
      </c>
      <c r="C16" s="10" t="n">
        <v>451585</v>
      </c>
      <c r="D16" s="11" t="n">
        <v>1</v>
      </c>
      <c r="E16" s="11" t="n">
        <v>1</v>
      </c>
      <c r="F16" s="11" t="n">
        <v>1</v>
      </c>
      <c r="G16" s="11" t="n">
        <v>1</v>
      </c>
      <c r="H16" s="11" t="n">
        <v>1</v>
      </c>
      <c r="I16" s="11" t="n">
        <v>1</v>
      </c>
      <c r="J16" s="11" t="n">
        <v>1</v>
      </c>
      <c r="K16" s="11" t="n">
        <v>1</v>
      </c>
      <c r="L16" s="11" t="n">
        <v>1</v>
      </c>
      <c r="M16" s="11" t="n">
        <v>1</v>
      </c>
      <c r="N16" s="11" t="n">
        <v>1</v>
      </c>
      <c r="O16" s="11" t="n">
        <v>1</v>
      </c>
      <c r="P16" s="12" t="s">
        <v>45</v>
      </c>
      <c r="Q16" s="12" t="s">
        <v>6</v>
      </c>
      <c r="R16" s="13"/>
      <c r="S16" s="13" t="n">
        <v>9</v>
      </c>
      <c r="T16" s="13" t="n">
        <v>10</v>
      </c>
      <c r="U16" s="6" t="n">
        <v>88</v>
      </c>
      <c r="V16" s="5" t="n">
        <v>90</v>
      </c>
      <c r="W16" s="5" t="n">
        <v>86</v>
      </c>
      <c r="X16" s="14" t="n">
        <f aca="false">SUM(R16:W16)</f>
        <v>283</v>
      </c>
      <c r="Y16" s="15" t="n">
        <f aca="false">X16/300*100</f>
        <v>94.3333333333333</v>
      </c>
      <c r="Z16" s="16" t="n">
        <v>5</v>
      </c>
      <c r="AA16" s="15"/>
      <c r="AB16" s="15"/>
      <c r="AC16" s="15"/>
      <c r="AD16" s="15"/>
      <c r="AE16" s="19"/>
    </row>
    <row r="17" customFormat="false" ht="14.25" hidden="false" customHeight="true" outlineLevel="0" collapsed="false">
      <c r="A17" s="5" t="n">
        <v>14</v>
      </c>
      <c r="B17" s="5" t="n">
        <v>2</v>
      </c>
      <c r="C17" s="10" t="n">
        <v>488649</v>
      </c>
      <c r="D17" s="11" t="n">
        <v>1</v>
      </c>
      <c r="E17" s="11" t="n">
        <v>1</v>
      </c>
      <c r="F17" s="11" t="n">
        <v>1</v>
      </c>
      <c r="G17" s="11" t="n">
        <v>1</v>
      </c>
      <c r="H17" s="11" t="n">
        <v>1</v>
      </c>
      <c r="I17" s="11" t="n">
        <v>1</v>
      </c>
      <c r="J17" s="11" t="n">
        <v>1</v>
      </c>
      <c r="K17" s="11" t="n">
        <v>1</v>
      </c>
      <c r="L17" s="11" t="n">
        <v>1</v>
      </c>
      <c r="M17" s="11" t="n">
        <v>1</v>
      </c>
      <c r="N17" s="11" t="n">
        <v>1</v>
      </c>
      <c r="O17" s="11" t="n">
        <v>1</v>
      </c>
      <c r="P17" s="12" t="s">
        <v>46</v>
      </c>
      <c r="Q17" s="12" t="s">
        <v>10</v>
      </c>
      <c r="R17" s="13"/>
      <c r="S17" s="13"/>
      <c r="T17" s="13"/>
      <c r="U17" s="13" t="n">
        <v>80</v>
      </c>
      <c r="V17" s="13" t="n">
        <v>85</v>
      </c>
      <c r="W17" s="6" t="n">
        <v>92</v>
      </c>
      <c r="X17" s="14" t="n">
        <f aca="false">SUM(R17:W17)</f>
        <v>257</v>
      </c>
      <c r="Y17" s="15" t="n">
        <f aca="false">X17/300*100</f>
        <v>85.6666666666667</v>
      </c>
      <c r="Z17" s="16" t="n">
        <v>4.5</v>
      </c>
      <c r="AA17" s="15"/>
      <c r="AB17" s="15"/>
      <c r="AC17" s="15"/>
      <c r="AD17" s="15"/>
      <c r="AE17" s="17"/>
    </row>
    <row r="18" customFormat="false" ht="14.25" hidden="false" customHeight="true" outlineLevel="0" collapsed="false">
      <c r="A18" s="5" t="n">
        <v>15</v>
      </c>
      <c r="B18" s="5" t="n">
        <v>2</v>
      </c>
      <c r="C18" s="10" t="n">
        <v>488546</v>
      </c>
      <c r="D18" s="11" t="n">
        <v>1</v>
      </c>
      <c r="E18" s="11" t="n">
        <v>1</v>
      </c>
      <c r="F18" s="11" t="n">
        <v>1</v>
      </c>
      <c r="G18" s="11" t="n">
        <v>1</v>
      </c>
      <c r="H18" s="11" t="n">
        <v>1</v>
      </c>
      <c r="I18" s="11" t="n">
        <v>1</v>
      </c>
      <c r="J18" s="11" t="n">
        <v>1</v>
      </c>
      <c r="K18" s="11" t="n">
        <v>1</v>
      </c>
      <c r="L18" s="11" t="n">
        <v>1</v>
      </c>
      <c r="M18" s="11" t="n">
        <v>0</v>
      </c>
      <c r="N18" s="11" t="n">
        <v>1</v>
      </c>
      <c r="O18" s="11" t="n">
        <v>1</v>
      </c>
      <c r="P18" s="12" t="s">
        <v>47</v>
      </c>
      <c r="Q18" s="12" t="s">
        <v>13</v>
      </c>
      <c r="R18" s="13" t="n">
        <v>6</v>
      </c>
      <c r="S18" s="13"/>
      <c r="T18" s="13"/>
      <c r="U18" s="6" t="n">
        <v>78</v>
      </c>
      <c r="V18" s="5" t="n">
        <v>75</v>
      </c>
      <c r="W18" s="5" t="n">
        <v>77</v>
      </c>
      <c r="X18" s="14" t="n">
        <f aca="false">SUM(R18:W18)</f>
        <v>236</v>
      </c>
      <c r="Y18" s="15" t="n">
        <f aca="false">X18/300*100</f>
        <v>78.6666666666667</v>
      </c>
      <c r="Z18" s="16" t="n">
        <v>4</v>
      </c>
      <c r="AA18" s="15"/>
      <c r="AB18" s="15"/>
      <c r="AC18" s="15"/>
      <c r="AD18" s="15"/>
      <c r="AE18" s="17"/>
    </row>
    <row r="19" customFormat="false" ht="14.25" hidden="false" customHeight="true" outlineLevel="0" collapsed="false">
      <c r="A19" s="5" t="n">
        <v>16</v>
      </c>
      <c r="B19" s="5" t="n">
        <v>2</v>
      </c>
      <c r="C19" s="24" t="n">
        <v>488228</v>
      </c>
      <c r="D19" s="25" t="n">
        <v>1</v>
      </c>
      <c r="E19" s="25" t="n">
        <v>1</v>
      </c>
      <c r="F19" s="25" t="n">
        <v>1</v>
      </c>
      <c r="G19" s="25" t="n">
        <v>1</v>
      </c>
      <c r="H19" s="25" t="n">
        <v>1</v>
      </c>
      <c r="I19" s="11" t="n">
        <v>1</v>
      </c>
      <c r="J19" s="25" t="n">
        <v>1</v>
      </c>
      <c r="K19" s="25" t="n">
        <v>1</v>
      </c>
      <c r="L19" s="25" t="n">
        <v>1</v>
      </c>
      <c r="M19" s="25" t="n">
        <v>1</v>
      </c>
      <c r="N19" s="11" t="n">
        <v>1</v>
      </c>
      <c r="O19" s="25" t="n">
        <v>0</v>
      </c>
      <c r="P19" s="12" t="s">
        <v>48</v>
      </c>
      <c r="Q19" s="20" t="s">
        <v>5</v>
      </c>
      <c r="R19" s="13"/>
      <c r="S19" s="13"/>
      <c r="T19" s="13"/>
      <c r="U19" s="6" t="n">
        <v>78</v>
      </c>
      <c r="V19" s="5" t="n">
        <v>83</v>
      </c>
      <c r="W19" s="5" t="n">
        <v>82</v>
      </c>
      <c r="X19" s="14" t="n">
        <f aca="false">SUM(R19:W19)</f>
        <v>243</v>
      </c>
      <c r="Y19" s="15" t="n">
        <f aca="false">X19/300*100</f>
        <v>81</v>
      </c>
      <c r="Z19" s="16" t="n">
        <v>4.5</v>
      </c>
      <c r="AA19" s="15"/>
      <c r="AB19" s="15"/>
      <c r="AC19" s="15"/>
      <c r="AD19" s="15"/>
      <c r="AE19" s="17"/>
    </row>
    <row r="20" customFormat="false" ht="14.25" hidden="false" customHeight="true" outlineLevel="0" collapsed="false">
      <c r="A20" s="5" t="n">
        <v>17</v>
      </c>
      <c r="B20" s="5" t="n">
        <v>2</v>
      </c>
      <c r="C20" s="10" t="n">
        <v>451663</v>
      </c>
      <c r="D20" s="11" t="n">
        <v>1</v>
      </c>
      <c r="E20" s="11" t="n">
        <v>1</v>
      </c>
      <c r="F20" s="11" t="n">
        <v>1</v>
      </c>
      <c r="G20" s="11" t="n">
        <v>1</v>
      </c>
      <c r="H20" s="11" t="n">
        <v>1</v>
      </c>
      <c r="I20" s="11" t="n">
        <v>1</v>
      </c>
      <c r="J20" s="11" t="n">
        <v>1</v>
      </c>
      <c r="K20" s="11" t="n">
        <v>1</v>
      </c>
      <c r="L20" s="11" t="n">
        <v>1</v>
      </c>
      <c r="M20" s="11" t="n">
        <v>1</v>
      </c>
      <c r="N20" s="11" t="n">
        <v>1</v>
      </c>
      <c r="O20" s="11" t="n">
        <v>1</v>
      </c>
      <c r="P20" s="12" t="s">
        <v>49</v>
      </c>
      <c r="Q20" s="12" t="s">
        <v>7</v>
      </c>
      <c r="R20" s="13"/>
      <c r="S20" s="13"/>
      <c r="T20" s="13"/>
      <c r="U20" s="6" t="n">
        <v>88</v>
      </c>
      <c r="V20" s="5" t="n">
        <v>87</v>
      </c>
      <c r="W20" s="5" t="n">
        <v>90</v>
      </c>
      <c r="X20" s="14" t="n">
        <f aca="false">SUM(R20:W20)</f>
        <v>265</v>
      </c>
      <c r="Y20" s="15" t="n">
        <f aca="false">X20/300*100</f>
        <v>88.3333333333333</v>
      </c>
      <c r="Z20" s="16" t="n">
        <v>4.5</v>
      </c>
      <c r="AA20" s="15"/>
      <c r="AB20" s="15"/>
      <c r="AC20" s="15"/>
      <c r="AD20" s="15"/>
      <c r="AE20" s="17"/>
    </row>
    <row r="21" customFormat="false" ht="14.25" hidden="false" customHeight="true" outlineLevel="0" collapsed="false">
      <c r="A21" s="5" t="n">
        <v>18</v>
      </c>
      <c r="B21" s="5" t="n">
        <v>2</v>
      </c>
      <c r="C21" s="10" t="n">
        <v>456701</v>
      </c>
      <c r="D21" s="11" t="n">
        <v>1</v>
      </c>
      <c r="E21" s="11" t="n">
        <v>1</v>
      </c>
      <c r="F21" s="11" t="n">
        <v>1</v>
      </c>
      <c r="G21" s="11" t="n">
        <v>0</v>
      </c>
      <c r="H21" s="11" t="n">
        <v>1</v>
      </c>
      <c r="I21" s="11" t="n">
        <v>1</v>
      </c>
      <c r="J21" s="11" t="n">
        <v>1</v>
      </c>
      <c r="K21" s="11" t="n">
        <v>1</v>
      </c>
      <c r="L21" s="11" t="n">
        <v>1</v>
      </c>
      <c r="M21" s="11" t="n">
        <v>1</v>
      </c>
      <c r="N21" s="11" t="n">
        <v>1</v>
      </c>
      <c r="O21" s="11" t="n">
        <v>1</v>
      </c>
      <c r="P21" s="12" t="s">
        <v>50</v>
      </c>
      <c r="Q21" s="12" t="s">
        <v>4</v>
      </c>
      <c r="R21" s="13" t="n">
        <v>8</v>
      </c>
      <c r="S21" s="13"/>
      <c r="T21" s="13"/>
      <c r="U21" s="6" t="n">
        <v>93</v>
      </c>
      <c r="V21" s="5" t="n">
        <v>92</v>
      </c>
      <c r="W21" s="5" t="n">
        <v>90</v>
      </c>
      <c r="X21" s="14" t="n">
        <f aca="false">SUM(R21:W21)</f>
        <v>283</v>
      </c>
      <c r="Y21" s="15" t="n">
        <f aca="false">X21/300*100</f>
        <v>94.3333333333333</v>
      </c>
      <c r="Z21" s="16" t="n">
        <v>5</v>
      </c>
      <c r="AA21" s="15"/>
      <c r="AB21" s="15"/>
      <c r="AC21" s="15"/>
      <c r="AD21" s="15"/>
      <c r="AE21" s="17"/>
    </row>
    <row r="22" customFormat="false" ht="14.25" hidden="false" customHeight="true" outlineLevel="0" collapsed="false">
      <c r="A22" s="5" t="n">
        <v>19</v>
      </c>
      <c r="B22" s="5" t="n">
        <v>2</v>
      </c>
      <c r="C22" s="10" t="n">
        <v>483951</v>
      </c>
      <c r="D22" s="11" t="n">
        <v>1</v>
      </c>
      <c r="E22" s="11" t="n">
        <v>1</v>
      </c>
      <c r="F22" s="11" t="n">
        <v>1</v>
      </c>
      <c r="G22" s="11" t="n">
        <v>1</v>
      </c>
      <c r="H22" s="11" t="n">
        <v>1</v>
      </c>
      <c r="I22" s="11" t="n">
        <v>1</v>
      </c>
      <c r="J22" s="11" t="n">
        <v>1</v>
      </c>
      <c r="K22" s="11" t="n">
        <v>1</v>
      </c>
      <c r="L22" s="11" t="n">
        <v>1</v>
      </c>
      <c r="M22" s="11" t="n">
        <v>0</v>
      </c>
      <c r="N22" s="11" t="n">
        <v>1</v>
      </c>
      <c r="O22" s="11" t="n">
        <v>0</v>
      </c>
      <c r="P22" s="12" t="s">
        <v>51</v>
      </c>
      <c r="Q22" s="12" t="s">
        <v>11</v>
      </c>
      <c r="R22" s="13"/>
      <c r="S22" s="13"/>
      <c r="T22" s="13"/>
      <c r="U22" s="6" t="n">
        <v>90</v>
      </c>
      <c r="V22" s="5" t="n">
        <v>92</v>
      </c>
      <c r="W22" s="5" t="n">
        <v>88</v>
      </c>
      <c r="X22" s="14" t="n">
        <f aca="false">SUM(R22:W22)</f>
        <v>270</v>
      </c>
      <c r="Y22" s="15" t="n">
        <f aca="false">X22/300*100</f>
        <v>90</v>
      </c>
      <c r="Z22" s="16" t="n">
        <v>5</v>
      </c>
      <c r="AA22" s="15"/>
      <c r="AB22" s="15"/>
      <c r="AC22" s="15"/>
      <c r="AD22" s="15"/>
      <c r="AE22" s="17"/>
    </row>
    <row r="23" customFormat="false" ht="14.25" hidden="false" customHeight="true" outlineLevel="0" collapsed="false">
      <c r="A23" s="5" t="n">
        <v>20</v>
      </c>
      <c r="B23" s="5" t="n">
        <v>2</v>
      </c>
      <c r="C23" s="10" t="n">
        <v>488004</v>
      </c>
      <c r="D23" s="11" t="n">
        <v>1</v>
      </c>
      <c r="E23" s="11" t="n">
        <v>1</v>
      </c>
      <c r="F23" s="11" t="n">
        <v>1</v>
      </c>
      <c r="G23" s="11" t="n">
        <v>1</v>
      </c>
      <c r="H23" s="11" t="n">
        <v>1</v>
      </c>
      <c r="I23" s="11" t="n">
        <v>1</v>
      </c>
      <c r="J23" s="11" t="n">
        <v>1</v>
      </c>
      <c r="K23" s="11" t="n">
        <v>1</v>
      </c>
      <c r="L23" s="11" t="n">
        <v>0</v>
      </c>
      <c r="M23" s="11" t="n">
        <v>0</v>
      </c>
      <c r="N23" s="11" t="n">
        <v>1</v>
      </c>
      <c r="O23" s="11" t="n">
        <v>0</v>
      </c>
      <c r="P23" s="12" t="s">
        <v>52</v>
      </c>
      <c r="Q23" s="12" t="s">
        <v>10</v>
      </c>
      <c r="R23" s="13"/>
      <c r="S23" s="13"/>
      <c r="T23" s="13"/>
      <c r="U23" s="6" t="n">
        <v>84</v>
      </c>
      <c r="V23" s="5" t="n">
        <v>88</v>
      </c>
      <c r="W23" s="5" t="n">
        <v>80</v>
      </c>
      <c r="X23" s="14" t="n">
        <f aca="false">SUM(R23:W23)</f>
        <v>252</v>
      </c>
      <c r="Y23" s="15" t="n">
        <f aca="false">X23/300*100</f>
        <v>84</v>
      </c>
      <c r="Z23" s="16" t="n">
        <v>4.5</v>
      </c>
      <c r="AA23" s="15"/>
      <c r="AB23" s="15"/>
      <c r="AC23" s="15"/>
      <c r="AD23" s="15"/>
      <c r="AE23" s="17"/>
    </row>
    <row r="24" customFormat="false" ht="14.25" hidden="false" customHeight="true" outlineLevel="0" collapsed="false">
      <c r="A24" s="5" t="n">
        <v>21</v>
      </c>
      <c r="B24" s="5" t="n">
        <v>2</v>
      </c>
      <c r="C24" s="10" t="n">
        <v>488224</v>
      </c>
      <c r="D24" s="10" t="s">
        <v>32</v>
      </c>
      <c r="E24" s="10" t="s">
        <v>32</v>
      </c>
      <c r="F24" s="10" t="s">
        <v>32</v>
      </c>
      <c r="G24" s="10" t="n">
        <v>1</v>
      </c>
      <c r="H24" s="10" t="n">
        <v>1</v>
      </c>
      <c r="I24" s="11" t="n">
        <v>1</v>
      </c>
      <c r="J24" s="10" t="n">
        <v>1</v>
      </c>
      <c r="K24" s="10" t="n">
        <v>1</v>
      </c>
      <c r="L24" s="10" t="n">
        <v>1</v>
      </c>
      <c r="M24" s="10" t="n">
        <v>1</v>
      </c>
      <c r="N24" s="11" t="n">
        <v>1</v>
      </c>
      <c r="O24" s="10" t="n">
        <v>1</v>
      </c>
      <c r="P24" s="18" t="s">
        <v>53</v>
      </c>
      <c r="Q24" s="20" t="s">
        <v>11</v>
      </c>
      <c r="R24" s="7" t="n">
        <v>5</v>
      </c>
      <c r="S24" s="7"/>
      <c r="T24" s="7"/>
      <c r="U24" s="6"/>
      <c r="V24" s="5"/>
      <c r="W24" s="5"/>
      <c r="X24" s="14" t="n">
        <f aca="false">SUM(R24:W24)</f>
        <v>5</v>
      </c>
      <c r="Y24" s="15" t="n">
        <f aca="false">X24/300*100</f>
        <v>1.66666666666667</v>
      </c>
      <c r="Z24" s="16" t="n">
        <v>2</v>
      </c>
      <c r="AA24" s="15"/>
      <c r="AB24" s="15"/>
      <c r="AC24" s="15"/>
      <c r="AD24" s="15"/>
      <c r="AE24" s="17"/>
    </row>
    <row r="25" customFormat="false" ht="14.25" hidden="false" customHeight="true" outlineLevel="0" collapsed="false">
      <c r="A25" s="5" t="n">
        <v>22</v>
      </c>
      <c r="B25" s="5" t="n">
        <v>2</v>
      </c>
      <c r="C25" s="10" t="n">
        <v>451848</v>
      </c>
      <c r="D25" s="11" t="n">
        <v>1</v>
      </c>
      <c r="E25" s="11" t="n">
        <v>1</v>
      </c>
      <c r="F25" s="11" t="n">
        <v>1</v>
      </c>
      <c r="G25" s="11" t="n">
        <v>1</v>
      </c>
      <c r="H25" s="11" t="n">
        <v>1</v>
      </c>
      <c r="I25" s="11" t="n">
        <v>1</v>
      </c>
      <c r="J25" s="11" t="n">
        <v>1</v>
      </c>
      <c r="K25" s="11" t="n">
        <v>1</v>
      </c>
      <c r="L25" s="11" t="n">
        <v>1</v>
      </c>
      <c r="M25" s="11" t="n">
        <v>1</v>
      </c>
      <c r="N25" s="11" t="n">
        <v>1</v>
      </c>
      <c r="O25" s="11" t="n">
        <v>1</v>
      </c>
      <c r="P25" s="12" t="s">
        <v>54</v>
      </c>
      <c r="Q25" s="12" t="s">
        <v>13</v>
      </c>
      <c r="R25" s="13"/>
      <c r="S25" s="13" t="n">
        <v>9</v>
      </c>
      <c r="T25" s="13" t="n">
        <v>10</v>
      </c>
      <c r="U25" s="6" t="n">
        <v>94</v>
      </c>
      <c r="V25" s="5" t="n">
        <v>96</v>
      </c>
      <c r="W25" s="5" t="n">
        <v>95</v>
      </c>
      <c r="X25" s="14" t="n">
        <f aca="false">SUM(R25:W25)</f>
        <v>304</v>
      </c>
      <c r="Y25" s="15" t="n">
        <f aca="false">X25/300*100</f>
        <v>101.333333333333</v>
      </c>
      <c r="Z25" s="16" t="s">
        <v>37</v>
      </c>
      <c r="AA25" s="15"/>
      <c r="AB25" s="15"/>
      <c r="AC25" s="15"/>
      <c r="AD25" s="15"/>
      <c r="AE25" s="17"/>
    </row>
    <row r="26" s="1" customFormat="true" ht="14.25" hidden="false" customHeight="true" outlineLevel="0" collapsed="false">
      <c r="A26" s="5" t="n">
        <v>23</v>
      </c>
      <c r="B26" s="5" t="n">
        <v>2</v>
      </c>
      <c r="C26" s="24" t="n">
        <v>488179</v>
      </c>
      <c r="D26" s="25" t="n">
        <v>1</v>
      </c>
      <c r="E26" s="25" t="n">
        <v>1</v>
      </c>
      <c r="F26" s="25" t="n">
        <v>1</v>
      </c>
      <c r="G26" s="25" t="n">
        <v>1</v>
      </c>
      <c r="H26" s="25" t="n">
        <v>1</v>
      </c>
      <c r="I26" s="11" t="n">
        <v>1</v>
      </c>
      <c r="J26" s="25" t="n">
        <v>1</v>
      </c>
      <c r="K26" s="25" t="n">
        <v>1</v>
      </c>
      <c r="L26" s="25" t="n">
        <v>1</v>
      </c>
      <c r="M26" s="25" t="n">
        <v>1</v>
      </c>
      <c r="N26" s="11" t="n">
        <v>1</v>
      </c>
      <c r="O26" s="25" t="n">
        <v>0</v>
      </c>
      <c r="P26" s="12" t="s">
        <v>55</v>
      </c>
      <c r="Q26" s="12" t="s">
        <v>6</v>
      </c>
      <c r="R26" s="13"/>
      <c r="S26" s="13"/>
      <c r="T26" s="13"/>
      <c r="U26" s="6" t="n">
        <v>90</v>
      </c>
      <c r="V26" s="5" t="n">
        <v>88</v>
      </c>
      <c r="W26" s="5" t="n">
        <v>87</v>
      </c>
      <c r="X26" s="14" t="n">
        <f aca="false">SUM(R26:W26)</f>
        <v>265</v>
      </c>
      <c r="Y26" s="15" t="n">
        <f aca="false">X26/300*100</f>
        <v>88.3333333333333</v>
      </c>
      <c r="Z26" s="16" t="n">
        <v>4.5</v>
      </c>
      <c r="AA26" s="14"/>
      <c r="AB26" s="14"/>
      <c r="AC26" s="14"/>
      <c r="AD26" s="14"/>
      <c r="AE26" s="17"/>
    </row>
    <row r="27" s="1" customFormat="true" ht="14.25" hidden="false" customHeight="true" outlineLevel="0" collapsed="false">
      <c r="A27" s="5" t="n">
        <v>24</v>
      </c>
      <c r="B27" s="5" t="n">
        <v>2</v>
      </c>
      <c r="C27" s="24" t="n">
        <v>488185</v>
      </c>
      <c r="D27" s="25" t="n">
        <v>1</v>
      </c>
      <c r="E27" s="25" t="n">
        <v>1</v>
      </c>
      <c r="F27" s="25" t="n">
        <v>1</v>
      </c>
      <c r="G27" s="25" t="n">
        <v>1</v>
      </c>
      <c r="H27" s="25" t="n">
        <v>1</v>
      </c>
      <c r="I27" s="11" t="n">
        <v>1</v>
      </c>
      <c r="J27" s="25" t="n">
        <v>1</v>
      </c>
      <c r="K27" s="25" t="n">
        <v>1</v>
      </c>
      <c r="L27" s="25" t="n">
        <v>1</v>
      </c>
      <c r="M27" s="25" t="n">
        <v>1</v>
      </c>
      <c r="N27" s="11" t="n">
        <v>1</v>
      </c>
      <c r="O27" s="25" t="n">
        <v>0</v>
      </c>
      <c r="P27" s="12" t="s">
        <v>56</v>
      </c>
      <c r="Q27" s="12" t="s">
        <v>11</v>
      </c>
      <c r="R27" s="13" t="n">
        <v>5</v>
      </c>
      <c r="S27" s="13" t="n">
        <v>8</v>
      </c>
      <c r="T27" s="13"/>
      <c r="U27" s="6" t="n">
        <v>79</v>
      </c>
      <c r="V27" s="5" t="n">
        <v>76</v>
      </c>
      <c r="W27" s="5" t="n">
        <v>77</v>
      </c>
      <c r="X27" s="14" t="n">
        <f aca="false">SUM(R27:W27)</f>
        <v>245</v>
      </c>
      <c r="Y27" s="15" t="n">
        <f aca="false">X27/300*100</f>
        <v>81.6666666666667</v>
      </c>
      <c r="Z27" s="16" t="n">
        <v>4.5</v>
      </c>
      <c r="AA27" s="14"/>
      <c r="AB27" s="14"/>
      <c r="AC27" s="14"/>
      <c r="AD27" s="14"/>
      <c r="AE27" s="17"/>
    </row>
    <row r="28" customFormat="false" ht="14.25" hidden="false" customHeight="true" outlineLevel="0" collapsed="false">
      <c r="A28" s="5" t="n">
        <v>25</v>
      </c>
      <c r="B28" s="5" t="n">
        <v>2</v>
      </c>
      <c r="C28" s="5" t="n">
        <v>486090</v>
      </c>
      <c r="D28" s="5" t="n">
        <v>0</v>
      </c>
      <c r="E28" s="5" t="n">
        <v>1</v>
      </c>
      <c r="F28" s="5" t="n">
        <v>1</v>
      </c>
      <c r="G28" s="5" t="n">
        <v>1</v>
      </c>
      <c r="H28" s="5" t="n">
        <v>1</v>
      </c>
      <c r="I28" s="11" t="n">
        <v>1</v>
      </c>
      <c r="J28" s="5" t="n">
        <v>1</v>
      </c>
      <c r="K28" s="5" t="n">
        <v>0</v>
      </c>
      <c r="L28" s="5" t="n">
        <v>1</v>
      </c>
      <c r="M28" s="5" t="n">
        <v>1</v>
      </c>
      <c r="N28" s="11" t="n">
        <v>1</v>
      </c>
      <c r="O28" s="5" t="n">
        <v>1</v>
      </c>
      <c r="P28" s="18" t="s">
        <v>57</v>
      </c>
      <c r="Q28" s="12" t="s">
        <v>12</v>
      </c>
      <c r="R28" s="14"/>
      <c r="S28" s="14" t="n">
        <v>7</v>
      </c>
      <c r="T28" s="14" t="n">
        <v>7</v>
      </c>
      <c r="U28" s="5" t="n">
        <v>91</v>
      </c>
      <c r="V28" s="5" t="n">
        <v>90</v>
      </c>
      <c r="W28" s="5" t="n">
        <v>86</v>
      </c>
      <c r="X28" s="14" t="n">
        <f aca="false">SUM(R28:W28)</f>
        <v>281</v>
      </c>
      <c r="Y28" s="15" t="n">
        <f aca="false">X28/300*100</f>
        <v>93.6666666666667</v>
      </c>
      <c r="Z28" s="16" t="n">
        <v>5</v>
      </c>
      <c r="AA28" s="14"/>
      <c r="AB28" s="14"/>
      <c r="AC28" s="14"/>
      <c r="AD28" s="14"/>
      <c r="AE28" s="27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  <c r="BN28" s="28"/>
      <c r="BO28" s="28"/>
      <c r="BP28" s="29"/>
      <c r="BQ28" s="29"/>
      <c r="BR28" s="29"/>
      <c r="BS28" s="29"/>
    </row>
    <row r="29" customFormat="false" ht="15.65" hidden="false" customHeight="false" outlineLevel="0" collapsed="false">
      <c r="A29" s="5" t="n">
        <v>26</v>
      </c>
      <c r="B29" s="5" t="n">
        <v>2</v>
      </c>
      <c r="C29" s="5" t="n">
        <v>488595</v>
      </c>
      <c r="D29" s="5" t="s">
        <v>32</v>
      </c>
      <c r="E29" s="5" t="n">
        <v>1</v>
      </c>
      <c r="F29" s="5" t="n">
        <v>1</v>
      </c>
      <c r="G29" s="5" t="n">
        <v>1</v>
      </c>
      <c r="H29" s="5" t="n">
        <v>1</v>
      </c>
      <c r="I29" s="11" t="n">
        <v>1</v>
      </c>
      <c r="J29" s="5" t="n">
        <v>1</v>
      </c>
      <c r="K29" s="5" t="n">
        <v>1</v>
      </c>
      <c r="L29" s="5" t="n">
        <v>1</v>
      </c>
      <c r="M29" s="5" t="n">
        <v>0</v>
      </c>
      <c r="N29" s="11" t="n">
        <v>1</v>
      </c>
      <c r="O29" s="5" t="n">
        <v>1</v>
      </c>
      <c r="P29" s="30" t="s">
        <v>58</v>
      </c>
      <c r="Q29" s="30" t="s">
        <v>7</v>
      </c>
      <c r="R29" s="31"/>
      <c r="S29" s="31"/>
      <c r="T29" s="31"/>
      <c r="U29" s="5" t="n">
        <v>75</v>
      </c>
      <c r="V29" s="5" t="n">
        <v>75</v>
      </c>
      <c r="W29" s="5" t="n">
        <v>78</v>
      </c>
      <c r="X29" s="14" t="n">
        <f aca="false">SUM(R29:W29)</f>
        <v>228</v>
      </c>
      <c r="Y29" s="15" t="n">
        <f aca="false">X29/300*100</f>
        <v>76</v>
      </c>
      <c r="Z29" s="16" t="n">
        <v>4</v>
      </c>
      <c r="AA29" s="15"/>
      <c r="AB29" s="15"/>
      <c r="AC29" s="15"/>
      <c r="AD29" s="15"/>
      <c r="AE29" s="27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  <c r="BN29" s="28"/>
      <c r="BO29" s="28"/>
      <c r="BP29" s="29"/>
      <c r="BQ29" s="29"/>
      <c r="BR29" s="29"/>
      <c r="BS29" s="29"/>
    </row>
    <row r="30" customFormat="false" ht="15.65" hidden="false" customHeight="false" outlineLevel="0" collapsed="false">
      <c r="A30" s="5" t="n">
        <v>27</v>
      </c>
      <c r="B30" s="5" t="n">
        <v>2</v>
      </c>
      <c r="C30" s="5" t="n">
        <v>464072</v>
      </c>
      <c r="D30" s="5" t="n">
        <v>1</v>
      </c>
      <c r="E30" s="5" t="n">
        <v>1</v>
      </c>
      <c r="F30" s="5" t="n">
        <v>1</v>
      </c>
      <c r="G30" s="5" t="n">
        <v>1</v>
      </c>
      <c r="H30" s="5" t="n">
        <v>1</v>
      </c>
      <c r="I30" s="11" t="n">
        <v>1</v>
      </c>
      <c r="J30" s="5" t="n">
        <v>1</v>
      </c>
      <c r="K30" s="5" t="n">
        <v>0</v>
      </c>
      <c r="L30" s="5" t="n">
        <v>1</v>
      </c>
      <c r="M30" s="5" t="n">
        <v>1</v>
      </c>
      <c r="N30" s="11" t="n">
        <v>1</v>
      </c>
      <c r="O30" s="5" t="n">
        <v>0</v>
      </c>
      <c r="P30" s="30" t="s">
        <v>59</v>
      </c>
      <c r="Q30" s="12" t="s">
        <v>13</v>
      </c>
      <c r="R30" s="31" t="n">
        <v>7</v>
      </c>
      <c r="S30" s="31"/>
      <c r="T30" s="31"/>
      <c r="U30" s="5"/>
      <c r="V30" s="5"/>
      <c r="W30" s="5"/>
      <c r="X30" s="14" t="n">
        <f aca="false">SUM(R30:W30)</f>
        <v>7</v>
      </c>
      <c r="Y30" s="15" t="n">
        <f aca="false">X30/300*100</f>
        <v>2.33333333333333</v>
      </c>
      <c r="Z30" s="16" t="n">
        <v>2</v>
      </c>
      <c r="AA30" s="15"/>
      <c r="AB30" s="15"/>
      <c r="AC30" s="15"/>
      <c r="AD30" s="15"/>
      <c r="AE30" s="27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  <c r="BN30" s="28"/>
      <c r="BO30" s="28"/>
      <c r="BP30" s="29"/>
      <c r="BQ30" s="29"/>
      <c r="BR30" s="29"/>
      <c r="BS30" s="29"/>
    </row>
    <row r="31" customFormat="false" ht="15.65" hidden="false" customHeight="false" outlineLevel="0" collapsed="false">
      <c r="A31" s="5" t="n">
        <v>28</v>
      </c>
      <c r="B31" s="5" t="n">
        <v>2</v>
      </c>
      <c r="C31" s="5" t="n">
        <v>453877</v>
      </c>
      <c r="D31" s="5" t="n">
        <v>1</v>
      </c>
      <c r="E31" s="5" t="n">
        <v>1</v>
      </c>
      <c r="F31" s="5" t="n">
        <v>1</v>
      </c>
      <c r="G31" s="5" t="n">
        <v>1</v>
      </c>
      <c r="H31" s="5" t="n">
        <v>1</v>
      </c>
      <c r="I31" s="11" t="n">
        <v>1</v>
      </c>
      <c r="J31" s="5" t="n">
        <v>1</v>
      </c>
      <c r="K31" s="5" t="n">
        <v>1</v>
      </c>
      <c r="L31" s="5" t="n">
        <v>0</v>
      </c>
      <c r="M31" s="5" t="n">
        <v>1</v>
      </c>
      <c r="N31" s="11" t="n">
        <v>1</v>
      </c>
      <c r="O31" s="5" t="n">
        <v>0</v>
      </c>
      <c r="P31" s="18" t="s">
        <v>60</v>
      </c>
      <c r="Q31" s="20" t="s">
        <v>5</v>
      </c>
      <c r="R31" s="14"/>
      <c r="S31" s="14"/>
      <c r="T31" s="14"/>
      <c r="U31" s="5" t="n">
        <v>91</v>
      </c>
      <c r="V31" s="5" t="n">
        <v>90</v>
      </c>
      <c r="W31" s="5" t="n">
        <v>90</v>
      </c>
      <c r="X31" s="14" t="n">
        <f aca="false">SUM(R31:W31)</f>
        <v>271</v>
      </c>
      <c r="Y31" s="15" t="n">
        <f aca="false">X31/300*100</f>
        <v>90.3333333333333</v>
      </c>
      <c r="Z31" s="16" t="n">
        <v>5</v>
      </c>
      <c r="AA31" s="15"/>
      <c r="AB31" s="15"/>
      <c r="AC31" s="15"/>
      <c r="AD31" s="15"/>
      <c r="AE31" s="27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  <c r="BN31" s="28"/>
      <c r="BO31" s="28"/>
      <c r="BP31" s="29"/>
      <c r="BQ31" s="29"/>
      <c r="BR31" s="29"/>
      <c r="BS31" s="29"/>
    </row>
    <row r="32" customFormat="false" ht="15.65" hidden="false" customHeight="false" outlineLevel="0" collapsed="false">
      <c r="A32" s="32" t="n">
        <v>29</v>
      </c>
      <c r="B32" s="32" t="n">
        <v>2</v>
      </c>
      <c r="C32" s="32" t="n">
        <v>488373</v>
      </c>
      <c r="D32" s="32" t="s">
        <v>32</v>
      </c>
      <c r="E32" s="32" t="s">
        <v>32</v>
      </c>
      <c r="F32" s="32" t="s">
        <v>32</v>
      </c>
      <c r="G32" s="32" t="n">
        <v>0</v>
      </c>
      <c r="H32" s="32" t="n">
        <v>1</v>
      </c>
      <c r="I32" s="32" t="n">
        <v>1</v>
      </c>
      <c r="J32" s="32" t="n">
        <v>1</v>
      </c>
      <c r="K32" s="32" t="n">
        <v>1</v>
      </c>
      <c r="L32" s="32" t="n">
        <v>1</v>
      </c>
      <c r="M32" s="32" t="n">
        <v>1</v>
      </c>
      <c r="N32" s="32" t="n">
        <v>1</v>
      </c>
      <c r="O32" s="32" t="n">
        <v>1</v>
      </c>
      <c r="P32" s="33" t="s">
        <v>61</v>
      </c>
      <c r="Q32" s="34" t="s">
        <v>10</v>
      </c>
      <c r="R32" s="35"/>
      <c r="S32" s="35" t="n">
        <v>7</v>
      </c>
      <c r="T32" s="35" t="n">
        <v>8</v>
      </c>
      <c r="U32" s="32" t="n">
        <v>72</v>
      </c>
      <c r="V32" s="32" t="n">
        <v>75</v>
      </c>
      <c r="W32" s="32" t="n">
        <v>70</v>
      </c>
      <c r="X32" s="35" t="n">
        <f aca="false">SUM(R32:W32)</f>
        <v>232</v>
      </c>
      <c r="Y32" s="36" t="n">
        <f aca="false">X32/300*100</f>
        <v>77.3333333333333</v>
      </c>
      <c r="Z32" s="37" t="n">
        <v>4</v>
      </c>
      <c r="AA32" s="36"/>
      <c r="AB32" s="36"/>
      <c r="AC32" s="36"/>
      <c r="AD32" s="36"/>
      <c r="AE32" s="3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9"/>
      <c r="BQ32" s="29"/>
      <c r="BR32" s="29"/>
      <c r="BS32" s="29"/>
    </row>
    <row r="33" customFormat="false" ht="15.65" hidden="false" customHeight="false" outlineLevel="0" collapsed="false">
      <c r="A33" s="39" t="n">
        <v>1</v>
      </c>
      <c r="B33" s="39" t="n">
        <v>3</v>
      </c>
      <c r="C33" s="39" t="n">
        <v>487868</v>
      </c>
      <c r="D33" s="39" t="n">
        <v>1</v>
      </c>
      <c r="E33" s="39" t="n">
        <v>1</v>
      </c>
      <c r="F33" s="39" t="n">
        <v>1</v>
      </c>
      <c r="G33" s="39" t="n">
        <v>1</v>
      </c>
      <c r="H33" s="39" t="n">
        <v>1</v>
      </c>
      <c r="I33" s="39" t="n">
        <v>1</v>
      </c>
      <c r="J33" s="39" t="n">
        <v>1</v>
      </c>
      <c r="K33" s="39" t="n">
        <v>1</v>
      </c>
      <c r="L33" s="39" t="n">
        <v>1</v>
      </c>
      <c r="M33" s="39" t="n">
        <v>1</v>
      </c>
      <c r="N33" s="39" t="n">
        <v>1</v>
      </c>
      <c r="O33" s="39" t="n">
        <v>1</v>
      </c>
      <c r="P33" s="18" t="s">
        <v>53</v>
      </c>
      <c r="Q33" s="20" t="s">
        <v>11</v>
      </c>
      <c r="R33" s="40" t="n">
        <v>8</v>
      </c>
      <c r="S33" s="40"/>
      <c r="T33" s="40"/>
      <c r="U33" s="39" t="n">
        <v>85</v>
      </c>
      <c r="V33" s="5" t="n">
        <v>88</v>
      </c>
      <c r="W33" s="39" t="n">
        <v>89</v>
      </c>
      <c r="X33" s="40" t="n">
        <f aca="false">SUM(R33:W33)</f>
        <v>270</v>
      </c>
      <c r="Y33" s="41" t="n">
        <f aca="false">X33/300*100</f>
        <v>90</v>
      </c>
      <c r="Z33" s="42" t="n">
        <v>5</v>
      </c>
      <c r="AA33" s="41"/>
      <c r="AB33" s="41"/>
      <c r="AC33" s="41"/>
      <c r="AD33" s="41"/>
      <c r="AE33" s="43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  <c r="BO33" s="28"/>
      <c r="BP33" s="29"/>
      <c r="BQ33" s="29"/>
      <c r="BR33" s="29"/>
      <c r="BS33" s="29"/>
    </row>
    <row r="34" customFormat="false" ht="15.65" hidden="false" customHeight="false" outlineLevel="0" collapsed="false">
      <c r="A34" s="44" t="n">
        <v>2</v>
      </c>
      <c r="B34" s="44" t="n">
        <v>3</v>
      </c>
      <c r="C34" s="44" t="n">
        <v>487811</v>
      </c>
      <c r="D34" s="45" t="n">
        <v>1</v>
      </c>
      <c r="E34" s="45" t="n">
        <v>1</v>
      </c>
      <c r="F34" s="45" t="n">
        <v>1</v>
      </c>
      <c r="G34" s="45" t="n">
        <v>1</v>
      </c>
      <c r="H34" s="45" t="n">
        <v>1</v>
      </c>
      <c r="I34" s="45" t="n">
        <v>1</v>
      </c>
      <c r="J34" s="45" t="n">
        <v>1</v>
      </c>
      <c r="K34" s="45" t="n">
        <v>1</v>
      </c>
      <c r="L34" s="45" t="n">
        <v>1</v>
      </c>
      <c r="M34" s="45" t="n">
        <v>1</v>
      </c>
      <c r="N34" s="39" t="n">
        <v>1</v>
      </c>
      <c r="O34" s="45" t="n">
        <v>0</v>
      </c>
      <c r="P34" s="12" t="s">
        <v>49</v>
      </c>
      <c r="Q34" s="12" t="s">
        <v>7</v>
      </c>
      <c r="R34" s="13" t="n">
        <v>8</v>
      </c>
      <c r="S34" s="13"/>
      <c r="T34" s="13"/>
      <c r="U34" s="5" t="n">
        <v>88</v>
      </c>
      <c r="V34" s="5" t="n">
        <v>87</v>
      </c>
      <c r="W34" s="5" t="n">
        <v>88</v>
      </c>
      <c r="X34" s="14" t="n">
        <f aca="false">SUM(R34:W34)</f>
        <v>271</v>
      </c>
      <c r="Y34" s="15" t="n">
        <f aca="false">X34/300*100</f>
        <v>90.3333333333333</v>
      </c>
      <c r="Z34" s="16" t="n">
        <v>5</v>
      </c>
      <c r="AA34" s="15"/>
      <c r="AB34" s="15"/>
      <c r="AC34" s="15"/>
      <c r="AD34" s="15"/>
      <c r="AE34" s="27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  <c r="BN34" s="28"/>
      <c r="BO34" s="28"/>
      <c r="BP34" s="29"/>
      <c r="BQ34" s="29"/>
      <c r="BR34" s="29"/>
      <c r="BS34" s="29"/>
    </row>
    <row r="35" customFormat="false" ht="15.65" hidden="false" customHeight="false" outlineLevel="0" collapsed="false">
      <c r="A35" s="5" t="n">
        <v>3</v>
      </c>
      <c r="B35" s="44" t="n">
        <v>3</v>
      </c>
      <c r="C35" s="5" t="n">
        <v>487806</v>
      </c>
      <c r="D35" s="5" t="n">
        <v>1</v>
      </c>
      <c r="E35" s="5" t="n">
        <v>1</v>
      </c>
      <c r="F35" s="5" t="n">
        <v>1</v>
      </c>
      <c r="G35" s="5" t="n">
        <v>1</v>
      </c>
      <c r="H35" s="5" t="n">
        <v>1</v>
      </c>
      <c r="I35" s="45" t="n">
        <v>1</v>
      </c>
      <c r="J35" s="5" t="n">
        <v>1</v>
      </c>
      <c r="K35" s="5" t="n">
        <v>1</v>
      </c>
      <c r="L35" s="5" t="n">
        <v>1</v>
      </c>
      <c r="M35" s="5" t="n">
        <v>1</v>
      </c>
      <c r="N35" s="39" t="n">
        <v>1</v>
      </c>
      <c r="O35" s="5" t="n">
        <v>1</v>
      </c>
      <c r="P35" s="12" t="s">
        <v>43</v>
      </c>
      <c r="Q35" s="12" t="s">
        <v>4</v>
      </c>
      <c r="R35" s="14" t="n">
        <v>8</v>
      </c>
      <c r="S35" s="14"/>
      <c r="T35" s="14"/>
      <c r="U35" s="5" t="n">
        <v>85</v>
      </c>
      <c r="V35" s="5" t="n">
        <v>88</v>
      </c>
      <c r="W35" s="5" t="n">
        <v>90</v>
      </c>
      <c r="X35" s="14" t="n">
        <f aca="false">SUM(R35:W35)</f>
        <v>271</v>
      </c>
      <c r="Y35" s="15" t="n">
        <f aca="false">X35/300*100</f>
        <v>90.3333333333333</v>
      </c>
      <c r="Z35" s="16" t="n">
        <v>5</v>
      </c>
      <c r="AA35" s="15"/>
      <c r="AB35" s="15"/>
      <c r="AC35" s="15"/>
      <c r="AD35" s="15"/>
      <c r="AE35" s="27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  <c r="BN35" s="28"/>
      <c r="BO35" s="28"/>
      <c r="BP35" s="29"/>
      <c r="BQ35" s="29"/>
      <c r="BR35" s="29"/>
      <c r="BS35" s="29"/>
    </row>
    <row r="36" s="48" customFormat="true" ht="15.65" hidden="false" customHeight="false" outlineLevel="0" collapsed="false">
      <c r="A36" s="44" t="n">
        <v>4</v>
      </c>
      <c r="B36" s="44" t="n">
        <v>3</v>
      </c>
      <c r="C36" s="5" t="n">
        <v>487988</v>
      </c>
      <c r="D36" s="5" t="n">
        <v>1</v>
      </c>
      <c r="E36" s="5" t="n">
        <v>1</v>
      </c>
      <c r="F36" s="5" t="n">
        <v>1</v>
      </c>
      <c r="G36" s="5" t="n">
        <v>1</v>
      </c>
      <c r="H36" s="5" t="n">
        <v>1</v>
      </c>
      <c r="I36" s="45" t="n">
        <v>1</v>
      </c>
      <c r="J36" s="5" t="n">
        <v>1</v>
      </c>
      <c r="K36" s="5" t="n">
        <v>1</v>
      </c>
      <c r="L36" s="5" t="n">
        <v>1</v>
      </c>
      <c r="M36" s="5" t="n">
        <v>1</v>
      </c>
      <c r="N36" s="39" t="n">
        <v>1</v>
      </c>
      <c r="O36" s="5" t="n">
        <v>1</v>
      </c>
      <c r="P36" s="18" t="s">
        <v>57</v>
      </c>
      <c r="Q36" s="12" t="s">
        <v>12</v>
      </c>
      <c r="R36" s="14"/>
      <c r="S36" s="14" t="n">
        <v>9</v>
      </c>
      <c r="T36" s="14" t="n">
        <v>8</v>
      </c>
      <c r="U36" s="5" t="n">
        <v>94</v>
      </c>
      <c r="V36" s="5" t="n">
        <v>95</v>
      </c>
      <c r="W36" s="5" t="n">
        <v>92</v>
      </c>
      <c r="X36" s="14" t="n">
        <f aca="false">SUM(R36:W36)</f>
        <v>298</v>
      </c>
      <c r="Y36" s="15" t="n">
        <f aca="false">X36/300*100</f>
        <v>99.3333333333333</v>
      </c>
      <c r="Z36" s="16" t="s">
        <v>37</v>
      </c>
      <c r="AA36" s="15"/>
      <c r="AB36" s="15"/>
      <c r="AC36" s="15"/>
      <c r="AD36" s="15"/>
      <c r="AE36" s="27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6"/>
      <c r="BD36" s="46"/>
      <c r="BE36" s="46"/>
      <c r="BF36" s="46"/>
      <c r="BG36" s="46"/>
      <c r="BH36" s="46"/>
      <c r="BI36" s="46"/>
      <c r="BJ36" s="46"/>
      <c r="BK36" s="46"/>
      <c r="BL36" s="46"/>
      <c r="BM36" s="46"/>
      <c r="BN36" s="46"/>
      <c r="BO36" s="46"/>
      <c r="BP36" s="47"/>
      <c r="BQ36" s="47"/>
      <c r="BR36" s="47"/>
      <c r="BS36" s="47"/>
    </row>
    <row r="37" s="48" customFormat="true" ht="15.65" hidden="false" customHeight="false" outlineLevel="0" collapsed="false">
      <c r="A37" s="5" t="n">
        <v>5</v>
      </c>
      <c r="B37" s="44" t="n">
        <v>3</v>
      </c>
      <c r="C37" s="5" t="n">
        <v>486097</v>
      </c>
      <c r="D37" s="6" t="n">
        <v>1</v>
      </c>
      <c r="E37" s="6" t="n">
        <v>1</v>
      </c>
      <c r="F37" s="6" t="n">
        <v>1</v>
      </c>
      <c r="G37" s="6" t="n">
        <v>1</v>
      </c>
      <c r="H37" s="6" t="n">
        <v>1</v>
      </c>
      <c r="I37" s="45" t="n">
        <v>1</v>
      </c>
      <c r="J37" s="6" t="n">
        <v>1</v>
      </c>
      <c r="K37" s="6" t="n">
        <v>1</v>
      </c>
      <c r="L37" s="6" t="n">
        <v>1</v>
      </c>
      <c r="M37" s="6" t="n">
        <v>1</v>
      </c>
      <c r="N37" s="39" t="n">
        <v>1</v>
      </c>
      <c r="O37" s="6" t="n">
        <v>1</v>
      </c>
      <c r="P37" s="18" t="s">
        <v>36</v>
      </c>
      <c r="Q37" s="12" t="s">
        <v>6</v>
      </c>
      <c r="R37" s="13" t="n">
        <v>4</v>
      </c>
      <c r="S37" s="13"/>
      <c r="T37" s="13"/>
      <c r="U37" s="5" t="n">
        <v>83</v>
      </c>
      <c r="V37" s="5" t="n">
        <v>84</v>
      </c>
      <c r="W37" s="5" t="n">
        <v>90</v>
      </c>
      <c r="X37" s="14" t="n">
        <f aca="false">SUM(R37:W37)</f>
        <v>261</v>
      </c>
      <c r="Y37" s="15" t="n">
        <f aca="false">X37/300*100</f>
        <v>87</v>
      </c>
      <c r="Z37" s="16" t="n">
        <v>4.5</v>
      </c>
      <c r="AA37" s="14"/>
      <c r="AB37" s="14"/>
      <c r="AC37" s="14"/>
      <c r="AD37" s="14"/>
      <c r="AE37" s="27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46"/>
      <c r="BC37" s="46"/>
      <c r="BD37" s="46"/>
      <c r="BE37" s="46"/>
      <c r="BF37" s="46"/>
      <c r="BG37" s="46"/>
      <c r="BH37" s="46"/>
      <c r="BI37" s="46"/>
      <c r="BJ37" s="46"/>
      <c r="BK37" s="46"/>
      <c r="BL37" s="46"/>
      <c r="BM37" s="46"/>
      <c r="BN37" s="46"/>
      <c r="BO37" s="46"/>
      <c r="BP37" s="47"/>
      <c r="BQ37" s="47"/>
      <c r="BR37" s="47"/>
      <c r="BS37" s="47"/>
    </row>
    <row r="38" s="48" customFormat="true" ht="15.65" hidden="false" customHeight="false" outlineLevel="0" collapsed="false">
      <c r="A38" s="44" t="n">
        <v>6</v>
      </c>
      <c r="B38" s="44" t="n">
        <v>3</v>
      </c>
      <c r="C38" s="5" t="n">
        <v>451432</v>
      </c>
      <c r="D38" s="5" t="n">
        <v>1</v>
      </c>
      <c r="E38" s="5" t="n">
        <v>0</v>
      </c>
      <c r="F38" s="5" t="n">
        <v>1</v>
      </c>
      <c r="G38" s="5" t="n">
        <v>1</v>
      </c>
      <c r="H38" s="5" t="n">
        <v>1</v>
      </c>
      <c r="I38" s="45" t="n">
        <v>1</v>
      </c>
      <c r="J38" s="5" t="n">
        <v>1</v>
      </c>
      <c r="K38" s="5" t="n">
        <v>1</v>
      </c>
      <c r="L38" s="5" t="n">
        <v>0</v>
      </c>
      <c r="M38" s="5" t="n">
        <v>1</v>
      </c>
      <c r="N38" s="39" t="n">
        <v>1</v>
      </c>
      <c r="O38" s="5" t="n">
        <v>1</v>
      </c>
      <c r="P38" s="12" t="s">
        <v>41</v>
      </c>
      <c r="Q38" s="12" t="s">
        <v>7</v>
      </c>
      <c r="R38" s="14"/>
      <c r="S38" s="14"/>
      <c r="T38" s="14"/>
      <c r="U38" s="5" t="n">
        <v>92</v>
      </c>
      <c r="V38" s="5" t="n">
        <v>88</v>
      </c>
      <c r="W38" s="5" t="n">
        <v>91</v>
      </c>
      <c r="X38" s="14" t="n">
        <f aca="false">SUM(R38:W38)</f>
        <v>271</v>
      </c>
      <c r="Y38" s="15" t="n">
        <f aca="false">X38/300*100</f>
        <v>90.3333333333333</v>
      </c>
      <c r="Z38" s="16" t="n">
        <v>5</v>
      </c>
      <c r="AA38" s="15"/>
      <c r="AB38" s="15"/>
      <c r="AC38" s="15"/>
      <c r="AD38" s="15"/>
      <c r="AE38" s="27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6"/>
      <c r="AR38" s="46"/>
      <c r="AS38" s="46"/>
      <c r="AT38" s="46"/>
      <c r="AU38" s="46"/>
      <c r="AV38" s="46"/>
      <c r="AW38" s="46"/>
      <c r="AX38" s="46"/>
      <c r="AY38" s="46"/>
      <c r="AZ38" s="46"/>
      <c r="BA38" s="46"/>
      <c r="BB38" s="46"/>
      <c r="BC38" s="46"/>
      <c r="BD38" s="46"/>
      <c r="BE38" s="46"/>
      <c r="BF38" s="46"/>
      <c r="BG38" s="46"/>
      <c r="BH38" s="46"/>
      <c r="BI38" s="46"/>
      <c r="BJ38" s="46"/>
      <c r="BK38" s="46"/>
      <c r="BL38" s="46"/>
      <c r="BM38" s="46"/>
      <c r="BN38" s="46"/>
      <c r="BO38" s="46"/>
      <c r="BP38" s="47"/>
      <c r="BQ38" s="47"/>
      <c r="BR38" s="47"/>
      <c r="BS38" s="47"/>
    </row>
    <row r="39" customFormat="false" ht="15.65" hidden="false" customHeight="false" outlineLevel="0" collapsed="false">
      <c r="A39" s="5" t="n">
        <v>7</v>
      </c>
      <c r="B39" s="44" t="n">
        <v>3</v>
      </c>
      <c r="C39" s="5" t="n">
        <v>487990</v>
      </c>
      <c r="D39" s="5" t="n">
        <v>1</v>
      </c>
      <c r="E39" s="5" t="n">
        <v>1</v>
      </c>
      <c r="F39" s="5" t="n">
        <v>1</v>
      </c>
      <c r="G39" s="5" t="n">
        <v>1</v>
      </c>
      <c r="H39" s="5" t="n">
        <v>1</v>
      </c>
      <c r="I39" s="45" t="n">
        <v>1</v>
      </c>
      <c r="J39" s="5" t="n">
        <v>1</v>
      </c>
      <c r="K39" s="5" t="n">
        <v>0</v>
      </c>
      <c r="L39" s="5" t="n">
        <v>1</v>
      </c>
      <c r="M39" s="5" t="n">
        <v>1</v>
      </c>
      <c r="N39" s="39" t="n">
        <v>1</v>
      </c>
      <c r="O39" s="5" t="n">
        <v>1</v>
      </c>
      <c r="P39" s="18" t="s">
        <v>60</v>
      </c>
      <c r="Q39" s="20" t="s">
        <v>5</v>
      </c>
      <c r="R39" s="14"/>
      <c r="S39" s="14" t="n">
        <v>9</v>
      </c>
      <c r="T39" s="14" t="n">
        <v>9</v>
      </c>
      <c r="U39" s="5" t="n">
        <v>88</v>
      </c>
      <c r="V39" s="5" t="n">
        <v>88</v>
      </c>
      <c r="W39" s="5" t="n">
        <v>87</v>
      </c>
      <c r="X39" s="14" t="n">
        <f aca="false">SUM(R39:W39)</f>
        <v>281</v>
      </c>
      <c r="Y39" s="15" t="n">
        <f aca="false">X39/300*100</f>
        <v>93.6666666666667</v>
      </c>
      <c r="Z39" s="16" t="n">
        <v>5</v>
      </c>
      <c r="AA39" s="15"/>
      <c r="AB39" s="15"/>
      <c r="AC39" s="15"/>
      <c r="AD39" s="15"/>
      <c r="AE39" s="49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9"/>
      <c r="BQ39" s="29"/>
      <c r="BR39" s="29"/>
      <c r="BS39" s="29"/>
    </row>
    <row r="40" customFormat="false" ht="15.65" hidden="false" customHeight="false" outlineLevel="0" collapsed="false">
      <c r="A40" s="44" t="n">
        <v>8</v>
      </c>
      <c r="B40" s="44" t="n">
        <v>3</v>
      </c>
      <c r="C40" s="5" t="n">
        <v>483800</v>
      </c>
      <c r="D40" s="5" t="n">
        <v>1</v>
      </c>
      <c r="E40" s="5" t="n">
        <v>1</v>
      </c>
      <c r="F40" s="5" t="n">
        <v>1</v>
      </c>
      <c r="G40" s="5" t="n">
        <v>1</v>
      </c>
      <c r="H40" s="5" t="n">
        <v>1</v>
      </c>
      <c r="I40" s="45" t="n">
        <v>1</v>
      </c>
      <c r="J40" s="5" t="n">
        <v>1</v>
      </c>
      <c r="K40" s="5" t="n">
        <v>1</v>
      </c>
      <c r="L40" s="5" t="n">
        <v>1</v>
      </c>
      <c r="M40" s="5" t="n">
        <v>1</v>
      </c>
      <c r="N40" s="39" t="n">
        <v>1</v>
      </c>
      <c r="O40" s="5" t="n">
        <v>0</v>
      </c>
      <c r="P40" s="12" t="s">
        <v>54</v>
      </c>
      <c r="Q40" s="12" t="s">
        <v>13</v>
      </c>
      <c r="R40" s="14" t="n">
        <v>6</v>
      </c>
      <c r="S40" s="14" t="n">
        <v>6</v>
      </c>
      <c r="T40" s="14" t="n">
        <v>5</v>
      </c>
      <c r="U40" s="5" t="n">
        <v>83</v>
      </c>
      <c r="V40" s="5" t="n">
        <v>85</v>
      </c>
      <c r="W40" s="5" t="n">
        <v>89</v>
      </c>
      <c r="X40" s="14" t="n">
        <f aca="false">SUM(R40:W40)</f>
        <v>274</v>
      </c>
      <c r="Y40" s="15" t="n">
        <f aca="false">X40/300*100</f>
        <v>91.3333333333333</v>
      </c>
      <c r="Z40" s="16" t="n">
        <v>5</v>
      </c>
      <c r="AA40" s="14"/>
      <c r="AB40" s="14"/>
      <c r="AC40" s="14"/>
      <c r="AD40" s="14"/>
      <c r="AE40" s="27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  <c r="BN40" s="28"/>
      <c r="BO40" s="28"/>
      <c r="BP40" s="29"/>
      <c r="BQ40" s="29"/>
      <c r="BR40" s="29"/>
      <c r="BS40" s="29"/>
    </row>
    <row r="41" customFormat="false" ht="15.65" hidden="false" customHeight="false" outlineLevel="0" collapsed="false">
      <c r="A41" s="5" t="n">
        <v>9</v>
      </c>
      <c r="B41" s="44" t="n">
        <v>3</v>
      </c>
      <c r="C41" s="5" t="n">
        <v>483935</v>
      </c>
      <c r="D41" s="5" t="n">
        <v>1</v>
      </c>
      <c r="E41" s="5" t="n">
        <v>1</v>
      </c>
      <c r="F41" s="5" t="n">
        <v>1</v>
      </c>
      <c r="G41" s="5" t="n">
        <v>1</v>
      </c>
      <c r="H41" s="5" t="n">
        <v>1</v>
      </c>
      <c r="I41" s="45" t="n">
        <v>1</v>
      </c>
      <c r="J41" s="5" t="n">
        <v>1</v>
      </c>
      <c r="K41" s="5" t="n">
        <v>1</v>
      </c>
      <c r="L41" s="5" t="n">
        <v>0</v>
      </c>
      <c r="M41" s="5" t="n">
        <v>1</v>
      </c>
      <c r="N41" s="39" t="n">
        <v>1</v>
      </c>
      <c r="O41" s="5" t="n">
        <v>0</v>
      </c>
      <c r="P41" s="12" t="s">
        <v>45</v>
      </c>
      <c r="Q41" s="12" t="s">
        <v>6</v>
      </c>
      <c r="R41" s="14"/>
      <c r="S41" s="14"/>
      <c r="T41" s="14"/>
      <c r="U41" s="5" t="n">
        <v>84</v>
      </c>
      <c r="V41" s="5" t="n">
        <v>90</v>
      </c>
      <c r="W41" s="5" t="n">
        <v>88</v>
      </c>
      <c r="X41" s="14" t="n">
        <f aca="false">SUM(R41:W41)</f>
        <v>262</v>
      </c>
      <c r="Y41" s="15" t="n">
        <f aca="false">X41/300*100</f>
        <v>87.3333333333333</v>
      </c>
      <c r="Z41" s="16" t="n">
        <v>4.5</v>
      </c>
      <c r="AA41" s="15"/>
      <c r="AB41" s="15"/>
      <c r="AC41" s="15"/>
      <c r="AD41" s="15"/>
      <c r="AE41" s="27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  <c r="BN41" s="28"/>
      <c r="BO41" s="28"/>
      <c r="BP41" s="29"/>
      <c r="BQ41" s="29"/>
      <c r="BR41" s="29"/>
      <c r="BS41" s="29"/>
    </row>
    <row r="42" customFormat="false" ht="15.65" hidden="false" customHeight="false" outlineLevel="0" collapsed="false">
      <c r="A42" s="44" t="n">
        <v>10</v>
      </c>
      <c r="B42" s="44" t="n">
        <v>3</v>
      </c>
      <c r="C42" s="5" t="n">
        <v>476677</v>
      </c>
      <c r="D42" s="5" t="n">
        <v>1</v>
      </c>
      <c r="E42" s="5" t="n">
        <v>1</v>
      </c>
      <c r="F42" s="5" t="n">
        <v>1</v>
      </c>
      <c r="G42" s="5" t="n">
        <v>1</v>
      </c>
      <c r="H42" s="5" t="n">
        <v>0</v>
      </c>
      <c r="I42" s="45" t="n">
        <v>1</v>
      </c>
      <c r="J42" s="5" t="n">
        <v>1</v>
      </c>
      <c r="K42" s="5" t="n">
        <v>0</v>
      </c>
      <c r="L42" s="5" t="n">
        <v>1</v>
      </c>
      <c r="M42" s="5" t="n">
        <v>1</v>
      </c>
      <c r="N42" s="39" t="n">
        <v>1</v>
      </c>
      <c r="O42" s="6" t="n">
        <v>0</v>
      </c>
      <c r="P42" s="12" t="s">
        <v>62</v>
      </c>
      <c r="Q42" s="12" t="s">
        <v>12</v>
      </c>
      <c r="R42" s="14"/>
      <c r="S42" s="14"/>
      <c r="T42" s="14"/>
      <c r="U42" s="5" t="n">
        <v>92</v>
      </c>
      <c r="V42" s="5" t="n">
        <v>92</v>
      </c>
      <c r="W42" s="5" t="n">
        <v>89</v>
      </c>
      <c r="X42" s="14" t="n">
        <f aca="false">SUM(R42:W42)</f>
        <v>273</v>
      </c>
      <c r="Y42" s="15" t="n">
        <f aca="false">X42/300*100</f>
        <v>91</v>
      </c>
      <c r="Z42" s="16" t="n">
        <v>5</v>
      </c>
      <c r="AA42" s="15"/>
      <c r="AB42" s="15"/>
      <c r="AC42" s="15"/>
      <c r="AD42" s="15"/>
      <c r="AE42" s="49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  <c r="BN42" s="28"/>
      <c r="BO42" s="28"/>
      <c r="BP42" s="29"/>
      <c r="BQ42" s="29"/>
      <c r="BR42" s="29"/>
      <c r="BS42" s="29"/>
    </row>
    <row r="43" customFormat="false" ht="15.65" hidden="false" customHeight="false" outlineLevel="0" collapsed="false">
      <c r="A43" s="5" t="n">
        <v>11</v>
      </c>
      <c r="B43" s="44" t="n">
        <v>3</v>
      </c>
      <c r="C43" s="5" t="n">
        <v>488384</v>
      </c>
      <c r="D43" s="5" t="n">
        <v>1</v>
      </c>
      <c r="E43" s="5" t="n">
        <v>1</v>
      </c>
      <c r="F43" s="5" t="n">
        <v>0</v>
      </c>
      <c r="G43" s="5" t="n">
        <v>1</v>
      </c>
      <c r="H43" s="5" t="n">
        <v>1</v>
      </c>
      <c r="I43" s="45" t="n">
        <v>1</v>
      </c>
      <c r="J43" s="5" t="n">
        <v>1</v>
      </c>
      <c r="K43" s="5" t="n">
        <v>1</v>
      </c>
      <c r="L43" s="5" t="n">
        <v>1</v>
      </c>
      <c r="M43" s="5" t="n">
        <v>1</v>
      </c>
      <c r="N43" s="39" t="n">
        <v>1</v>
      </c>
      <c r="O43" s="5" t="n">
        <v>1</v>
      </c>
      <c r="P43" s="12" t="s">
        <v>51</v>
      </c>
      <c r="Q43" s="12" t="s">
        <v>11</v>
      </c>
      <c r="R43" s="14" t="n">
        <v>6</v>
      </c>
      <c r="S43" s="14"/>
      <c r="T43" s="14"/>
      <c r="U43" s="5" t="n">
        <v>85</v>
      </c>
      <c r="V43" s="5" t="n">
        <v>88</v>
      </c>
      <c r="W43" s="5" t="n">
        <v>85</v>
      </c>
      <c r="X43" s="14" t="n">
        <f aca="false">SUM(R43:W43)</f>
        <v>264</v>
      </c>
      <c r="Y43" s="15" t="n">
        <f aca="false">X43/300*100</f>
        <v>88</v>
      </c>
      <c r="Z43" s="16" t="n">
        <v>4.5</v>
      </c>
      <c r="AA43" s="15"/>
      <c r="AB43" s="15"/>
      <c r="AC43" s="15"/>
      <c r="AD43" s="15"/>
      <c r="AE43" s="27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  <c r="BN43" s="28"/>
      <c r="BO43" s="28"/>
      <c r="BP43" s="29"/>
      <c r="BQ43" s="29"/>
      <c r="BR43" s="29"/>
      <c r="BS43" s="29"/>
    </row>
    <row r="44" customFormat="false" ht="15.65" hidden="false" customHeight="false" outlineLevel="0" collapsed="false">
      <c r="A44" s="44" t="n">
        <v>12</v>
      </c>
      <c r="B44" s="44" t="n">
        <v>3</v>
      </c>
      <c r="C44" s="5" t="n">
        <v>488377</v>
      </c>
      <c r="D44" s="6" t="n">
        <v>1</v>
      </c>
      <c r="E44" s="6" t="n">
        <v>1</v>
      </c>
      <c r="F44" s="6" t="n">
        <v>1</v>
      </c>
      <c r="G44" s="6" t="n">
        <v>1</v>
      </c>
      <c r="H44" s="6" t="n">
        <v>1</v>
      </c>
      <c r="I44" s="45" t="n">
        <v>1</v>
      </c>
      <c r="J44" s="6" t="n">
        <v>1</v>
      </c>
      <c r="K44" s="6" t="n">
        <v>1</v>
      </c>
      <c r="L44" s="6" t="n">
        <v>1</v>
      </c>
      <c r="M44" s="6" t="n">
        <v>1</v>
      </c>
      <c r="N44" s="39" t="n">
        <v>1</v>
      </c>
      <c r="O44" s="6" t="n">
        <v>0</v>
      </c>
      <c r="P44" s="12" t="s">
        <v>33</v>
      </c>
      <c r="Q44" s="12" t="s">
        <v>4</v>
      </c>
      <c r="R44" s="13" t="n">
        <v>8</v>
      </c>
      <c r="S44" s="13" t="n">
        <v>6</v>
      </c>
      <c r="T44" s="13" t="n">
        <v>6</v>
      </c>
      <c r="U44" s="5" t="n">
        <v>90</v>
      </c>
      <c r="V44" s="5" t="n">
        <v>88</v>
      </c>
      <c r="W44" s="5" t="n">
        <v>91</v>
      </c>
      <c r="X44" s="14" t="n">
        <f aca="false">SUM(R44:W44)</f>
        <v>289</v>
      </c>
      <c r="Y44" s="15" t="n">
        <f aca="false">X44/300*100</f>
        <v>96.3333333333333</v>
      </c>
      <c r="Z44" s="16" t="s">
        <v>37</v>
      </c>
      <c r="AA44" s="15"/>
      <c r="AB44" s="15"/>
      <c r="AC44" s="15"/>
      <c r="AD44" s="15"/>
      <c r="AE44" s="15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  <c r="BN44" s="28"/>
      <c r="BO44" s="28"/>
      <c r="BP44" s="29"/>
      <c r="BQ44" s="29"/>
      <c r="BR44" s="29"/>
      <c r="BS44" s="29"/>
    </row>
    <row r="45" customFormat="false" ht="15.65" hidden="false" customHeight="false" outlineLevel="0" collapsed="false">
      <c r="A45" s="5" t="n">
        <v>13</v>
      </c>
      <c r="B45" s="5" t="n">
        <v>3</v>
      </c>
      <c r="C45" s="24" t="n">
        <v>436840</v>
      </c>
      <c r="D45" s="6" t="n">
        <v>1</v>
      </c>
      <c r="E45" s="6" t="n">
        <v>1</v>
      </c>
      <c r="F45" s="6" t="n">
        <v>1</v>
      </c>
      <c r="G45" s="6" t="n">
        <v>1</v>
      </c>
      <c r="H45" s="6" t="n">
        <v>1</v>
      </c>
      <c r="I45" s="45" t="n">
        <v>1</v>
      </c>
      <c r="J45" s="6" t="n">
        <v>1</v>
      </c>
      <c r="K45" s="6" t="n">
        <v>1</v>
      </c>
      <c r="L45" s="6" t="n">
        <v>0</v>
      </c>
      <c r="M45" s="6" t="n">
        <v>0</v>
      </c>
      <c r="N45" s="39" t="n">
        <v>1</v>
      </c>
      <c r="O45" s="6" t="n">
        <v>1</v>
      </c>
      <c r="P45" s="12" t="s">
        <v>44</v>
      </c>
      <c r="Q45" s="12" t="s">
        <v>14</v>
      </c>
      <c r="R45" s="13"/>
      <c r="S45" s="13"/>
      <c r="T45" s="13"/>
      <c r="U45" s="5"/>
      <c r="V45" s="5"/>
      <c r="W45" s="5"/>
      <c r="X45" s="14" t="n">
        <f aca="false">SUM(R45:W45)</f>
        <v>0</v>
      </c>
      <c r="Y45" s="15" t="n">
        <f aca="false">X45/300*100</f>
        <v>0</v>
      </c>
      <c r="Z45" s="16" t="n">
        <v>2</v>
      </c>
      <c r="AA45" s="15"/>
      <c r="AB45" s="15"/>
      <c r="AC45" s="15"/>
      <c r="AD45" s="15"/>
      <c r="AE45" s="15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  <c r="BO45" s="28"/>
      <c r="BP45" s="29"/>
      <c r="BQ45" s="29"/>
      <c r="BR45" s="29"/>
      <c r="BS45" s="29"/>
    </row>
    <row r="46" customFormat="false" ht="15.65" hidden="false" customHeight="false" outlineLevel="0" collapsed="false">
      <c r="A46" s="44" t="n">
        <v>14</v>
      </c>
      <c r="B46" s="44" t="n">
        <v>3</v>
      </c>
      <c r="C46" s="44" t="n">
        <v>484314</v>
      </c>
      <c r="D46" s="45" t="n">
        <v>1</v>
      </c>
      <c r="E46" s="45" t="n">
        <v>1</v>
      </c>
      <c r="F46" s="45" t="n">
        <v>1</v>
      </c>
      <c r="G46" s="45" t="n">
        <v>1</v>
      </c>
      <c r="H46" s="45" t="n">
        <v>1</v>
      </c>
      <c r="I46" s="45" t="n">
        <v>1</v>
      </c>
      <c r="J46" s="45" t="n">
        <v>1</v>
      </c>
      <c r="K46" s="45" t="n">
        <v>1</v>
      </c>
      <c r="L46" s="45" t="n">
        <v>1</v>
      </c>
      <c r="M46" s="45" t="n">
        <v>0</v>
      </c>
      <c r="N46" s="39" t="n">
        <v>1</v>
      </c>
      <c r="O46" s="45" t="n">
        <v>0</v>
      </c>
      <c r="P46" s="12" t="s">
        <v>46</v>
      </c>
      <c r="Q46" s="12" t="s">
        <v>10</v>
      </c>
      <c r="R46" s="14" t="n">
        <v>9</v>
      </c>
      <c r="S46" s="14"/>
      <c r="T46" s="14"/>
      <c r="U46" s="5" t="n">
        <v>93</v>
      </c>
      <c r="V46" s="5" t="n">
        <v>80</v>
      </c>
      <c r="W46" s="5" t="n">
        <v>94</v>
      </c>
      <c r="X46" s="14" t="n">
        <f aca="false">SUM(R46:W46)</f>
        <v>276</v>
      </c>
      <c r="Y46" s="15" t="n">
        <f aca="false">X46/300*100</f>
        <v>92</v>
      </c>
      <c r="Z46" s="16" t="n">
        <v>5</v>
      </c>
      <c r="AA46" s="15"/>
      <c r="AB46" s="15"/>
      <c r="AC46" s="15"/>
      <c r="AD46" s="15"/>
      <c r="AE46" s="15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  <c r="BN46" s="28"/>
      <c r="BO46" s="28"/>
      <c r="BP46" s="29"/>
      <c r="BQ46" s="29"/>
      <c r="BR46" s="29"/>
      <c r="BS46" s="29"/>
    </row>
    <row r="47" customFormat="false" ht="15.65" hidden="false" customHeight="false" outlineLevel="0" collapsed="false">
      <c r="A47" s="5" t="n">
        <v>15</v>
      </c>
      <c r="B47" s="44" t="n">
        <v>3</v>
      </c>
      <c r="C47" s="5" t="n">
        <v>488391</v>
      </c>
      <c r="D47" s="5" t="n">
        <v>1</v>
      </c>
      <c r="E47" s="5" t="n">
        <v>1</v>
      </c>
      <c r="F47" s="5" t="n">
        <v>1</v>
      </c>
      <c r="G47" s="5" t="n">
        <v>1</v>
      </c>
      <c r="H47" s="5" t="n">
        <v>1</v>
      </c>
      <c r="I47" s="45" t="n">
        <v>1</v>
      </c>
      <c r="J47" s="5" t="n">
        <v>1</v>
      </c>
      <c r="K47" s="5" t="n">
        <v>1</v>
      </c>
      <c r="L47" s="5" t="n">
        <v>1</v>
      </c>
      <c r="M47" s="5" t="n">
        <v>1</v>
      </c>
      <c r="N47" s="39" t="n">
        <v>1</v>
      </c>
      <c r="O47" s="5" t="n">
        <v>0</v>
      </c>
      <c r="P47" s="12" t="s">
        <v>56</v>
      </c>
      <c r="Q47" s="12" t="s">
        <v>11</v>
      </c>
      <c r="R47" s="14" t="n">
        <v>5</v>
      </c>
      <c r="S47" s="14"/>
      <c r="T47" s="14"/>
      <c r="U47" s="5" t="n">
        <v>88</v>
      </c>
      <c r="V47" s="5" t="n">
        <v>90</v>
      </c>
      <c r="W47" s="5" t="n">
        <v>87</v>
      </c>
      <c r="X47" s="14" t="n">
        <f aca="false">SUM(R47:W47)</f>
        <v>270</v>
      </c>
      <c r="Y47" s="15" t="n">
        <f aca="false">X47/300*100</f>
        <v>90</v>
      </c>
      <c r="Z47" s="16" t="n">
        <v>5</v>
      </c>
      <c r="AA47" s="14"/>
      <c r="AB47" s="14"/>
      <c r="AC47" s="14"/>
      <c r="AD47" s="14"/>
      <c r="AE47" s="15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  <c r="BN47" s="28"/>
      <c r="BO47" s="28"/>
      <c r="BP47" s="29"/>
      <c r="BQ47" s="29"/>
      <c r="BR47" s="29"/>
      <c r="BS47" s="29"/>
    </row>
    <row r="48" customFormat="false" ht="15.65" hidden="false" customHeight="false" outlineLevel="0" collapsed="false">
      <c r="A48" s="44" t="n">
        <v>16</v>
      </c>
      <c r="B48" s="44" t="n">
        <v>3</v>
      </c>
      <c r="C48" s="5" t="n">
        <v>488222</v>
      </c>
      <c r="D48" s="5" t="s">
        <v>32</v>
      </c>
      <c r="E48" s="5" t="s">
        <v>32</v>
      </c>
      <c r="F48" s="5" t="n">
        <v>1</v>
      </c>
      <c r="G48" s="5" t="n">
        <v>1</v>
      </c>
      <c r="H48" s="5" t="n">
        <v>1</v>
      </c>
      <c r="I48" s="45" t="n">
        <v>1</v>
      </c>
      <c r="J48" s="5" t="n">
        <v>1</v>
      </c>
      <c r="K48" s="5" t="n">
        <v>1</v>
      </c>
      <c r="L48" s="5" t="n">
        <v>1</v>
      </c>
      <c r="M48" s="5" t="n">
        <v>1</v>
      </c>
      <c r="N48" s="39" t="n">
        <v>1</v>
      </c>
      <c r="O48" s="5" t="n">
        <v>1</v>
      </c>
      <c r="P48" s="30" t="s">
        <v>58</v>
      </c>
      <c r="Q48" s="30" t="s">
        <v>7</v>
      </c>
      <c r="R48" s="14" t="n">
        <v>6</v>
      </c>
      <c r="S48" s="14" t="n">
        <v>9</v>
      </c>
      <c r="T48" s="14" t="n">
        <v>7</v>
      </c>
      <c r="U48" s="5" t="n">
        <v>90</v>
      </c>
      <c r="V48" s="5" t="n">
        <v>89</v>
      </c>
      <c r="W48" s="5" t="n">
        <v>87</v>
      </c>
      <c r="X48" s="14" t="n">
        <f aca="false">SUM(R48:W48)</f>
        <v>288</v>
      </c>
      <c r="Y48" s="15" t="n">
        <f aca="false">X48/300*100</f>
        <v>96</v>
      </c>
      <c r="Z48" s="16" t="s">
        <v>37</v>
      </c>
      <c r="AA48" s="15"/>
      <c r="AB48" s="15"/>
      <c r="AC48" s="15"/>
      <c r="AD48" s="15"/>
      <c r="AE48" s="14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  <c r="BN48" s="28"/>
      <c r="BO48" s="28"/>
      <c r="BP48" s="29"/>
      <c r="BQ48" s="29"/>
      <c r="BR48" s="29"/>
      <c r="BS48" s="29"/>
    </row>
    <row r="49" s="60" customFormat="true" ht="17.3" hidden="false" customHeight="false" outlineLevel="0" collapsed="false">
      <c r="A49" s="50" t="n">
        <v>17</v>
      </c>
      <c r="B49" s="51" t="n">
        <v>3</v>
      </c>
      <c r="C49" s="50" t="n">
        <v>477001</v>
      </c>
      <c r="D49" s="8" t="n">
        <v>0</v>
      </c>
      <c r="E49" s="52" t="n">
        <v>1</v>
      </c>
      <c r="F49" s="52" t="n">
        <v>1</v>
      </c>
      <c r="G49" s="52" t="n">
        <v>1</v>
      </c>
      <c r="H49" s="52" t="n">
        <v>1</v>
      </c>
      <c r="I49" s="53" t="n">
        <v>1</v>
      </c>
      <c r="J49" s="52" t="n">
        <v>1</v>
      </c>
      <c r="K49" s="52" t="n">
        <v>0</v>
      </c>
      <c r="L49" s="52" t="n">
        <v>1</v>
      </c>
      <c r="M49" s="52" t="n">
        <v>1</v>
      </c>
      <c r="N49" s="54" t="n">
        <v>1</v>
      </c>
      <c r="O49" s="52" t="n">
        <v>1</v>
      </c>
      <c r="P49" s="55" t="s">
        <v>42</v>
      </c>
      <c r="Q49" s="55" t="s">
        <v>13</v>
      </c>
      <c r="R49" s="56" t="n">
        <v>8</v>
      </c>
      <c r="S49" s="56" t="n">
        <v>9</v>
      </c>
      <c r="T49" s="56"/>
      <c r="U49" s="8" t="n">
        <v>92</v>
      </c>
      <c r="V49" s="8" t="n">
        <v>81</v>
      </c>
      <c r="W49" s="8" t="n">
        <v>80</v>
      </c>
      <c r="X49" s="56" t="n">
        <f aca="false">SUM(R49:W49)</f>
        <v>270</v>
      </c>
      <c r="Y49" s="9" t="n">
        <f aca="false">X49/300*100</f>
        <v>90</v>
      </c>
      <c r="Z49" s="57" t="n">
        <v>5</v>
      </c>
      <c r="AA49" s="56"/>
      <c r="AB49" s="56"/>
      <c r="AC49" s="56"/>
      <c r="AD49" s="56"/>
      <c r="AE49" s="9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58"/>
      <c r="BL49" s="58"/>
      <c r="BM49" s="58"/>
      <c r="BN49" s="58"/>
      <c r="BO49" s="58"/>
      <c r="BP49" s="59"/>
      <c r="BQ49" s="59"/>
      <c r="BR49" s="59"/>
      <c r="BS49" s="59"/>
    </row>
    <row r="50" customFormat="false" ht="15.65" hidden="false" customHeight="false" outlineLevel="0" collapsed="false">
      <c r="A50" s="44" t="n">
        <v>18</v>
      </c>
      <c r="B50" s="5" t="n">
        <v>3</v>
      </c>
      <c r="C50" s="5" t="n">
        <v>474569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39" t="n">
        <v>1</v>
      </c>
      <c r="O50" s="5" t="n">
        <v>0</v>
      </c>
      <c r="P50" s="12" t="s">
        <v>35</v>
      </c>
      <c r="Q50" s="12" t="s">
        <v>14</v>
      </c>
      <c r="R50" s="14"/>
      <c r="S50" s="14"/>
      <c r="T50" s="14"/>
      <c r="U50" s="5" t="n">
        <v>72</v>
      </c>
      <c r="V50" s="5" t="n">
        <v>80</v>
      </c>
      <c r="W50" s="5" t="n">
        <v>80</v>
      </c>
      <c r="X50" s="14" t="n">
        <f aca="false">SUM(R50:W50)</f>
        <v>232</v>
      </c>
      <c r="Y50" s="15" t="n">
        <f aca="false">X50/300*100</f>
        <v>77.3333333333333</v>
      </c>
      <c r="Z50" s="16" t="n">
        <v>4</v>
      </c>
      <c r="AA50" s="5"/>
      <c r="AB50" s="5"/>
      <c r="AC50" s="5"/>
      <c r="AD50" s="5"/>
      <c r="AE50" s="5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  <c r="BN50" s="28"/>
      <c r="BO50" s="28"/>
      <c r="BP50" s="29"/>
      <c r="BQ50" s="29"/>
      <c r="BR50" s="29"/>
      <c r="BS50" s="29"/>
    </row>
    <row r="51" customFormat="false" ht="15.65" hidden="false" customHeight="false" outlineLevel="0" collapsed="false">
      <c r="A51" s="5" t="n">
        <v>19</v>
      </c>
      <c r="B51" s="44" t="n">
        <v>3</v>
      </c>
      <c r="C51" s="5" t="n">
        <v>478559</v>
      </c>
      <c r="D51" s="5" t="n">
        <v>1</v>
      </c>
      <c r="E51" s="5" t="n">
        <v>1</v>
      </c>
      <c r="F51" s="5" t="n">
        <v>1</v>
      </c>
      <c r="G51" s="5" t="n">
        <v>1</v>
      </c>
      <c r="H51" s="5" t="n">
        <v>1</v>
      </c>
      <c r="I51" s="45" t="n">
        <v>1</v>
      </c>
      <c r="J51" s="5" t="n">
        <v>1</v>
      </c>
      <c r="K51" s="5" t="n">
        <v>1</v>
      </c>
      <c r="L51" s="5" t="n">
        <v>1</v>
      </c>
      <c r="M51" s="5" t="n">
        <v>1</v>
      </c>
      <c r="N51" s="39" t="n">
        <v>1</v>
      </c>
      <c r="O51" s="5" t="n">
        <v>1</v>
      </c>
      <c r="P51" s="12" t="s">
        <v>38</v>
      </c>
      <c r="Q51" s="12" t="s">
        <v>10</v>
      </c>
      <c r="R51" s="14"/>
      <c r="S51" s="14"/>
      <c r="T51" s="14"/>
      <c r="U51" s="5" t="n">
        <v>64</v>
      </c>
      <c r="V51" s="5" t="n">
        <v>70</v>
      </c>
      <c r="W51" s="5"/>
      <c r="X51" s="14" t="n">
        <f aca="false">SUM(R51:W51)</f>
        <v>134</v>
      </c>
      <c r="Y51" s="15" t="n">
        <f aca="false">X51/300*100</f>
        <v>44.6666666666667</v>
      </c>
      <c r="Z51" s="16" t="n">
        <v>2</v>
      </c>
      <c r="AA51" s="14"/>
      <c r="AB51" s="14"/>
      <c r="AC51" s="14"/>
      <c r="AD51" s="14"/>
      <c r="AE51" s="15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  <c r="BN51" s="28"/>
      <c r="BO51" s="28"/>
      <c r="BP51" s="29"/>
      <c r="BQ51" s="29"/>
      <c r="BR51" s="29"/>
      <c r="BS51" s="29"/>
    </row>
    <row r="52" customFormat="false" ht="15.65" hidden="false" customHeight="false" outlineLevel="0" collapsed="false">
      <c r="A52" s="44" t="n">
        <v>20</v>
      </c>
      <c r="B52" s="44" t="n">
        <v>3</v>
      </c>
      <c r="C52" s="5" t="n">
        <v>488379</v>
      </c>
      <c r="D52" s="5" t="n">
        <v>1</v>
      </c>
      <c r="E52" s="6" t="n">
        <v>1</v>
      </c>
      <c r="F52" s="6" t="n">
        <v>1</v>
      </c>
      <c r="G52" s="6" t="n">
        <v>1</v>
      </c>
      <c r="H52" s="6" t="n">
        <v>1</v>
      </c>
      <c r="I52" s="45" t="n">
        <v>1</v>
      </c>
      <c r="J52" s="6" t="n">
        <v>1</v>
      </c>
      <c r="K52" s="6" t="n">
        <v>1</v>
      </c>
      <c r="L52" s="6" t="n">
        <v>1</v>
      </c>
      <c r="M52" s="6" t="n">
        <v>1</v>
      </c>
      <c r="N52" s="39" t="n">
        <v>1</v>
      </c>
      <c r="O52" s="6" t="n">
        <v>1</v>
      </c>
      <c r="P52" s="12" t="s">
        <v>34</v>
      </c>
      <c r="Q52" s="12" t="s">
        <v>12</v>
      </c>
      <c r="R52" s="14"/>
      <c r="S52" s="14"/>
      <c r="T52" s="14"/>
      <c r="U52" s="5"/>
      <c r="V52" s="5"/>
      <c r="W52" s="5"/>
      <c r="X52" s="14" t="n">
        <f aca="false">SUM(R52:W52)</f>
        <v>0</v>
      </c>
      <c r="Y52" s="15" t="n">
        <f aca="false">X52/300*100</f>
        <v>0</v>
      </c>
      <c r="Z52" s="16" t="n">
        <v>2</v>
      </c>
      <c r="AA52" s="15"/>
      <c r="AB52" s="15"/>
      <c r="AC52" s="15"/>
      <c r="AD52" s="15"/>
      <c r="AE52" s="14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  <c r="BN52" s="28"/>
      <c r="BO52" s="28"/>
      <c r="BP52" s="29"/>
      <c r="BQ52" s="29"/>
      <c r="BR52" s="29"/>
      <c r="BS52" s="29"/>
    </row>
    <row r="53" customFormat="false" ht="15.65" hidden="false" customHeight="false" outlineLevel="0" collapsed="false">
      <c r="A53" s="5" t="n">
        <v>21</v>
      </c>
      <c r="B53" s="5" t="n">
        <v>3</v>
      </c>
      <c r="C53" s="5" t="n">
        <v>481994</v>
      </c>
      <c r="D53" s="5"/>
      <c r="E53" s="5"/>
      <c r="F53" s="5"/>
      <c r="G53" s="5"/>
      <c r="H53" s="5"/>
      <c r="I53" s="5"/>
      <c r="J53" s="5" t="n">
        <v>1</v>
      </c>
      <c r="K53" s="5" t="n">
        <v>1</v>
      </c>
      <c r="L53" s="5" t="n">
        <v>1</v>
      </c>
      <c r="M53" s="5" t="n">
        <v>1</v>
      </c>
      <c r="N53" s="39" t="n">
        <v>1</v>
      </c>
      <c r="O53" s="5" t="n">
        <v>1</v>
      </c>
      <c r="P53" s="12" t="s">
        <v>42</v>
      </c>
      <c r="Q53" s="12" t="s">
        <v>13</v>
      </c>
      <c r="R53" s="14" t="n">
        <v>2</v>
      </c>
      <c r="S53" s="14"/>
      <c r="T53" s="14"/>
      <c r="U53" s="5" t="n">
        <v>75</v>
      </c>
      <c r="V53" s="5" t="n">
        <v>78</v>
      </c>
      <c r="W53" s="5" t="n">
        <v>81</v>
      </c>
      <c r="X53" s="14" t="n">
        <f aca="false">SUM(R53:W53)</f>
        <v>236</v>
      </c>
      <c r="Y53" s="15" t="n">
        <f aca="false">X53/300*100</f>
        <v>78.6666666666667</v>
      </c>
      <c r="Z53" s="16" t="n">
        <v>4</v>
      </c>
      <c r="AA53" s="5"/>
      <c r="AB53" s="5"/>
      <c r="AC53" s="5"/>
      <c r="AD53" s="5"/>
      <c r="AE53" s="5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  <c r="BN53" s="28"/>
      <c r="BO53" s="28"/>
      <c r="BP53" s="29"/>
      <c r="BQ53" s="29"/>
      <c r="BR53" s="29"/>
      <c r="BS53" s="29"/>
    </row>
    <row r="54" customFormat="false" ht="15.65" hidden="false" customHeight="false" outlineLevel="0" collapsed="false">
      <c r="A54" s="44" t="n">
        <v>22</v>
      </c>
      <c r="B54" s="44" t="n">
        <v>3</v>
      </c>
      <c r="C54" s="5" t="n">
        <v>431588</v>
      </c>
      <c r="D54" s="5" t="n">
        <v>1</v>
      </c>
      <c r="E54" s="5" t="n">
        <v>1</v>
      </c>
      <c r="F54" s="5" t="n">
        <v>1</v>
      </c>
      <c r="G54" s="5" t="n">
        <v>0</v>
      </c>
      <c r="H54" s="5" t="n">
        <v>1</v>
      </c>
      <c r="I54" s="45" t="n">
        <v>1</v>
      </c>
      <c r="J54" s="5" t="n">
        <v>1</v>
      </c>
      <c r="K54" s="5" t="n">
        <v>1</v>
      </c>
      <c r="L54" s="5" t="n">
        <v>0</v>
      </c>
      <c r="M54" s="5" t="n">
        <v>1</v>
      </c>
      <c r="N54" s="39" t="n">
        <v>1</v>
      </c>
      <c r="O54" s="5" t="n">
        <v>0</v>
      </c>
      <c r="P54" s="12" t="s">
        <v>39</v>
      </c>
      <c r="Q54" s="20" t="s">
        <v>5</v>
      </c>
      <c r="R54" s="14"/>
      <c r="S54" s="14"/>
      <c r="T54" s="14"/>
      <c r="U54" s="5" t="n">
        <v>85</v>
      </c>
      <c r="V54" s="5" t="n">
        <v>84</v>
      </c>
      <c r="W54" s="5" t="n">
        <v>73</v>
      </c>
      <c r="X54" s="14" t="n">
        <f aca="false">SUM(R54:W54)</f>
        <v>242</v>
      </c>
      <c r="Y54" s="15" t="n">
        <f aca="false">X54/300*100</f>
        <v>80.6666666666667</v>
      </c>
      <c r="Z54" s="16" t="n">
        <v>4.5</v>
      </c>
      <c r="AA54" s="15"/>
      <c r="AB54" s="15"/>
      <c r="AC54" s="15"/>
      <c r="AD54" s="15"/>
      <c r="AE54" s="14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  <c r="BN54" s="28"/>
      <c r="BO54" s="28"/>
      <c r="BP54" s="29"/>
      <c r="BQ54" s="29"/>
      <c r="BR54" s="29"/>
      <c r="BS54" s="29"/>
    </row>
    <row r="55" customFormat="false" ht="15.65" hidden="false" customHeight="false" outlineLevel="0" collapsed="false">
      <c r="A55" s="5" t="n">
        <v>23</v>
      </c>
      <c r="B55" s="44" t="n">
        <v>3</v>
      </c>
      <c r="C55" s="5" t="n">
        <v>465470</v>
      </c>
      <c r="D55" s="5" t="n">
        <v>1</v>
      </c>
      <c r="E55" s="5" t="n">
        <v>1</v>
      </c>
      <c r="F55" s="5" t="n">
        <v>1</v>
      </c>
      <c r="G55" s="5" t="n">
        <v>1</v>
      </c>
      <c r="H55" s="5" t="n">
        <v>1</v>
      </c>
      <c r="I55" s="45" t="n">
        <v>1</v>
      </c>
      <c r="J55" s="5" t="n">
        <v>1</v>
      </c>
      <c r="K55" s="5" t="n">
        <v>1</v>
      </c>
      <c r="L55" s="5" t="n">
        <v>1</v>
      </c>
      <c r="M55" s="5" t="n">
        <v>1</v>
      </c>
      <c r="N55" s="39" t="n">
        <v>1</v>
      </c>
      <c r="O55" s="5" t="n">
        <v>0</v>
      </c>
      <c r="P55" s="20" t="s">
        <v>40</v>
      </c>
      <c r="Q55" s="20" t="s">
        <v>12</v>
      </c>
      <c r="R55" s="14"/>
      <c r="S55" s="14"/>
      <c r="T55" s="14"/>
      <c r="U55" s="5" t="n">
        <v>85</v>
      </c>
      <c r="V55" s="5" t="n">
        <v>85</v>
      </c>
      <c r="W55" s="5" t="n">
        <v>70</v>
      </c>
      <c r="X55" s="14" t="n">
        <f aca="false">SUM(R55:W55)</f>
        <v>240</v>
      </c>
      <c r="Y55" s="15" t="n">
        <f aca="false">X55/300*100</f>
        <v>80</v>
      </c>
      <c r="Z55" s="16" t="n">
        <v>4.5</v>
      </c>
      <c r="AA55" s="14"/>
      <c r="AB55" s="14"/>
      <c r="AC55" s="14"/>
      <c r="AD55" s="14"/>
      <c r="AE55" s="15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  <c r="BN55" s="28"/>
      <c r="BO55" s="28"/>
      <c r="BP55" s="29"/>
      <c r="BQ55" s="29"/>
      <c r="BR55" s="29"/>
      <c r="BS55" s="29"/>
    </row>
    <row r="56" customFormat="false" ht="15.65" hidden="false" customHeight="false" outlineLevel="0" collapsed="false">
      <c r="A56" s="44" t="n">
        <v>24</v>
      </c>
      <c r="B56" s="44" t="n">
        <v>3</v>
      </c>
      <c r="C56" s="39" t="n">
        <v>488398</v>
      </c>
      <c r="D56" s="61" t="n">
        <v>1</v>
      </c>
      <c r="E56" s="61" t="n">
        <v>1</v>
      </c>
      <c r="F56" s="61" t="n">
        <v>1</v>
      </c>
      <c r="G56" s="61" t="n">
        <v>1</v>
      </c>
      <c r="H56" s="61" t="n">
        <v>1</v>
      </c>
      <c r="I56" s="45" t="n">
        <v>1</v>
      </c>
      <c r="J56" s="61" t="n">
        <v>1</v>
      </c>
      <c r="K56" s="61" t="n">
        <v>1</v>
      </c>
      <c r="L56" s="61" t="n">
        <v>1</v>
      </c>
      <c r="M56" s="61" t="n">
        <v>1</v>
      </c>
      <c r="N56" s="39" t="n">
        <v>1</v>
      </c>
      <c r="O56" s="61" t="n">
        <v>0</v>
      </c>
      <c r="P56" s="12" t="s">
        <v>48</v>
      </c>
      <c r="Q56" s="20" t="s">
        <v>5</v>
      </c>
      <c r="R56" s="62" t="n">
        <v>8</v>
      </c>
      <c r="S56" s="62"/>
      <c r="T56" s="62"/>
      <c r="U56" s="39" t="n">
        <v>89</v>
      </c>
      <c r="V56" s="39" t="n">
        <v>90</v>
      </c>
      <c r="W56" s="39" t="n">
        <v>88</v>
      </c>
      <c r="X56" s="14" t="n">
        <f aca="false">SUM(R56:W56)</f>
        <v>275</v>
      </c>
      <c r="Y56" s="15" t="n">
        <f aca="false">X56/300*100</f>
        <v>91.6666666666667</v>
      </c>
      <c r="Z56" s="42" t="n">
        <v>5</v>
      </c>
      <c r="AA56" s="40"/>
      <c r="AB56" s="40"/>
      <c r="AC56" s="40"/>
      <c r="AD56" s="40"/>
      <c r="AE56" s="41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  <c r="BN56" s="28"/>
      <c r="BO56" s="28"/>
      <c r="BP56" s="29"/>
      <c r="BQ56" s="29"/>
      <c r="BR56" s="29"/>
      <c r="BS56" s="29"/>
    </row>
    <row r="57" customFormat="false" ht="15.65" hidden="false" customHeight="false" outlineLevel="0" collapsed="false">
      <c r="A57" s="5" t="n">
        <v>25</v>
      </c>
      <c r="B57" s="44" t="n">
        <v>3</v>
      </c>
      <c r="C57" s="39" t="n">
        <v>424162</v>
      </c>
      <c r="D57" s="61" t="n">
        <v>1</v>
      </c>
      <c r="E57" s="61" t="n">
        <v>1</v>
      </c>
      <c r="F57" s="61" t="n">
        <v>0</v>
      </c>
      <c r="G57" s="61" t="n">
        <v>1</v>
      </c>
      <c r="H57" s="61" t="n">
        <v>1</v>
      </c>
      <c r="I57" s="45" t="n">
        <v>1</v>
      </c>
      <c r="J57" s="61" t="n">
        <v>1</v>
      </c>
      <c r="K57" s="61" t="n">
        <v>1</v>
      </c>
      <c r="L57" s="61" t="n">
        <v>0</v>
      </c>
      <c r="M57" s="61" t="n">
        <v>1</v>
      </c>
      <c r="N57" s="39" t="n">
        <v>1</v>
      </c>
      <c r="O57" s="61" t="n">
        <v>0</v>
      </c>
      <c r="P57" s="30" t="s">
        <v>59</v>
      </c>
      <c r="Q57" s="12" t="s">
        <v>13</v>
      </c>
      <c r="R57" s="62"/>
      <c r="S57" s="62"/>
      <c r="T57" s="62"/>
      <c r="U57" s="39"/>
      <c r="V57" s="39"/>
      <c r="W57" s="39"/>
      <c r="X57" s="14" t="n">
        <f aca="false">SUM(R57:W57)</f>
        <v>0</v>
      </c>
      <c r="Y57" s="15" t="n">
        <f aca="false">X57/300*100</f>
        <v>0</v>
      </c>
      <c r="Z57" s="42" t="n">
        <v>2</v>
      </c>
      <c r="AA57" s="40"/>
      <c r="AB57" s="40"/>
      <c r="AC57" s="40"/>
      <c r="AD57" s="40"/>
      <c r="AE57" s="41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  <c r="BN57" s="28"/>
      <c r="BO57" s="28"/>
      <c r="BP57" s="29"/>
      <c r="BQ57" s="29"/>
      <c r="BR57" s="29"/>
      <c r="BS57" s="29"/>
    </row>
    <row r="58" customFormat="false" ht="15.65" hidden="false" customHeight="false" outlineLevel="0" collapsed="false">
      <c r="A58" s="44" t="n">
        <v>26</v>
      </c>
      <c r="B58" s="44" t="n">
        <v>3</v>
      </c>
      <c r="C58" s="39" t="n">
        <v>474554</v>
      </c>
      <c r="D58" s="61" t="n">
        <v>0</v>
      </c>
      <c r="E58" s="61" t="n">
        <v>0</v>
      </c>
      <c r="F58" s="61" t="n">
        <v>0</v>
      </c>
      <c r="G58" s="61" t="n">
        <v>0</v>
      </c>
      <c r="H58" s="61" t="n">
        <v>0</v>
      </c>
      <c r="I58" s="45" t="n">
        <v>1</v>
      </c>
      <c r="J58" s="61" t="n">
        <v>0</v>
      </c>
      <c r="K58" s="61" t="n">
        <v>0</v>
      </c>
      <c r="L58" s="61" t="n">
        <v>0</v>
      </c>
      <c r="M58" s="61" t="n">
        <v>0</v>
      </c>
      <c r="N58" s="39" t="n">
        <v>1</v>
      </c>
      <c r="O58" s="61" t="n">
        <v>0</v>
      </c>
      <c r="P58" s="26" t="s">
        <v>52</v>
      </c>
      <c r="Q58" s="26" t="s">
        <v>10</v>
      </c>
      <c r="R58" s="63"/>
      <c r="S58" s="63"/>
      <c r="T58" s="63"/>
      <c r="U58" s="39"/>
      <c r="V58" s="39"/>
      <c r="W58" s="39"/>
      <c r="X58" s="14" t="n">
        <f aca="false">SUM(R58:W58)</f>
        <v>0</v>
      </c>
      <c r="Y58" s="15" t="n">
        <f aca="false">X58/300*100</f>
        <v>0</v>
      </c>
      <c r="Z58" s="42" t="n">
        <v>2</v>
      </c>
      <c r="AA58" s="41"/>
      <c r="AB58" s="41"/>
      <c r="AC58" s="41"/>
      <c r="AD58" s="41"/>
      <c r="AE58" s="41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  <c r="BN58" s="28"/>
      <c r="BO58" s="28"/>
      <c r="BP58" s="29"/>
      <c r="BQ58" s="29"/>
      <c r="BR58" s="29"/>
      <c r="BS58" s="29"/>
    </row>
    <row r="59" customFormat="false" ht="15.65" hidden="false" customHeight="false" outlineLevel="0" collapsed="false">
      <c r="A59" s="5" t="n">
        <v>27</v>
      </c>
      <c r="B59" s="44" t="n">
        <v>3</v>
      </c>
      <c r="C59" s="5" t="n">
        <v>488381</v>
      </c>
      <c r="D59" s="5" t="n">
        <v>1</v>
      </c>
      <c r="E59" s="5" t="n">
        <v>1</v>
      </c>
      <c r="F59" s="5" t="n">
        <v>1</v>
      </c>
      <c r="G59" s="5" t="n">
        <v>0</v>
      </c>
      <c r="H59" s="5" t="n">
        <v>1</v>
      </c>
      <c r="I59" s="45" t="n">
        <v>1</v>
      </c>
      <c r="J59" s="5" t="n">
        <v>1</v>
      </c>
      <c r="K59" s="5" t="n">
        <v>1</v>
      </c>
      <c r="L59" s="5" t="n">
        <v>1</v>
      </c>
      <c r="M59" s="5" t="n">
        <v>1</v>
      </c>
      <c r="N59" s="39" t="n">
        <v>1</v>
      </c>
      <c r="O59" s="5" t="n">
        <v>1</v>
      </c>
      <c r="P59" s="12" t="s">
        <v>47</v>
      </c>
      <c r="Q59" s="12" t="s">
        <v>13</v>
      </c>
      <c r="R59" s="14" t="n">
        <v>7</v>
      </c>
      <c r="S59" s="14"/>
      <c r="T59" s="14" t="n">
        <v>7</v>
      </c>
      <c r="U59" s="5" t="n">
        <v>86</v>
      </c>
      <c r="V59" s="5" t="n">
        <v>86</v>
      </c>
      <c r="W59" s="5" t="n">
        <v>84</v>
      </c>
      <c r="X59" s="14" t="n">
        <f aca="false">SUM(R59:W59)</f>
        <v>270</v>
      </c>
      <c r="Y59" s="15" t="n">
        <f aca="false">X59/300*100</f>
        <v>90</v>
      </c>
      <c r="Z59" s="16" t="n">
        <v>5</v>
      </c>
      <c r="AA59" s="15"/>
      <c r="AB59" s="15"/>
      <c r="AC59" s="15"/>
      <c r="AD59" s="15"/>
      <c r="AE59" s="14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  <c r="BN59" s="28"/>
      <c r="BO59" s="28"/>
      <c r="BP59" s="29"/>
      <c r="BQ59" s="29"/>
      <c r="BR59" s="29"/>
      <c r="BS59" s="29"/>
    </row>
    <row r="60" customFormat="false" ht="15.65" hidden="false" customHeight="false" outlineLevel="0" collapsed="false">
      <c r="A60" s="44" t="n">
        <v>28</v>
      </c>
      <c r="B60" s="44" t="n">
        <v>3</v>
      </c>
      <c r="C60" s="5" t="n">
        <v>473462</v>
      </c>
      <c r="D60" s="6" t="n">
        <v>0</v>
      </c>
      <c r="E60" s="6" t="n">
        <v>1</v>
      </c>
      <c r="F60" s="6" t="n">
        <v>1</v>
      </c>
      <c r="G60" s="6" t="n">
        <v>1</v>
      </c>
      <c r="H60" s="6" t="n">
        <v>1</v>
      </c>
      <c r="I60" s="45" t="n">
        <v>1</v>
      </c>
      <c r="J60" s="6" t="n">
        <v>1</v>
      </c>
      <c r="K60" s="6" t="n">
        <v>0</v>
      </c>
      <c r="L60" s="6" t="n">
        <v>1</v>
      </c>
      <c r="M60" s="6" t="n">
        <v>1</v>
      </c>
      <c r="N60" s="39" t="n">
        <v>1</v>
      </c>
      <c r="O60" s="6" t="n">
        <v>1</v>
      </c>
      <c r="P60" s="12" t="s">
        <v>31</v>
      </c>
      <c r="Q60" s="12" t="s">
        <v>11</v>
      </c>
      <c r="R60" s="7"/>
      <c r="S60" s="7"/>
      <c r="T60" s="7"/>
      <c r="U60" s="5" t="n">
        <v>86</v>
      </c>
      <c r="V60" s="5" t="n">
        <v>88</v>
      </c>
      <c r="W60" s="5" t="n">
        <v>88</v>
      </c>
      <c r="X60" s="14" t="n">
        <f aca="false">SUM(R60:W60)</f>
        <v>262</v>
      </c>
      <c r="Y60" s="15" t="n">
        <f aca="false">X60/300*100</f>
        <v>87.3333333333333</v>
      </c>
      <c r="Z60" s="16" t="n">
        <v>4.5</v>
      </c>
      <c r="AA60" s="14"/>
      <c r="AB60" s="14"/>
      <c r="AC60" s="14"/>
      <c r="AD60" s="14"/>
      <c r="AE60" s="15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  <c r="BN60" s="28"/>
      <c r="BO60" s="28"/>
      <c r="BP60" s="29"/>
      <c r="BQ60" s="29"/>
      <c r="BR60" s="29"/>
      <c r="BS60" s="29"/>
    </row>
    <row r="61" customFormat="false" ht="15.65" hidden="false" customHeight="false" outlineLevel="0" collapsed="false">
      <c r="A61" s="5" t="n">
        <v>29</v>
      </c>
      <c r="B61" s="44" t="n">
        <v>3</v>
      </c>
      <c r="C61" s="5" t="n">
        <v>488380</v>
      </c>
      <c r="D61" s="5" t="n">
        <v>1</v>
      </c>
      <c r="E61" s="5" t="n">
        <v>1</v>
      </c>
      <c r="F61" s="5" t="n">
        <v>0</v>
      </c>
      <c r="G61" s="5" t="n">
        <v>1</v>
      </c>
      <c r="H61" s="5" t="n">
        <v>1</v>
      </c>
      <c r="I61" s="45" t="n">
        <v>1</v>
      </c>
      <c r="J61" s="5" t="n">
        <v>1</v>
      </c>
      <c r="K61" s="5" t="n">
        <v>1</v>
      </c>
      <c r="L61" s="5" t="n">
        <v>1</v>
      </c>
      <c r="M61" s="5" t="n">
        <v>1</v>
      </c>
      <c r="N61" s="39" t="n">
        <v>1</v>
      </c>
      <c r="O61" s="5" t="n">
        <v>0</v>
      </c>
      <c r="P61" s="18" t="s">
        <v>61</v>
      </c>
      <c r="Q61" s="12" t="s">
        <v>10</v>
      </c>
      <c r="R61" s="14" t="n">
        <v>7</v>
      </c>
      <c r="S61" s="14"/>
      <c r="T61" s="14"/>
      <c r="U61" s="5" t="n">
        <v>76</v>
      </c>
      <c r="V61" s="5" t="n">
        <v>78</v>
      </c>
      <c r="W61" s="5" t="n">
        <v>80</v>
      </c>
      <c r="X61" s="14" t="n">
        <f aca="false">SUM(R61:W61)</f>
        <v>241</v>
      </c>
      <c r="Y61" s="15" t="n">
        <f aca="false">X61/300*100</f>
        <v>80.3333333333333</v>
      </c>
      <c r="Z61" s="16" t="n">
        <v>4.5</v>
      </c>
      <c r="AA61" s="15"/>
      <c r="AB61" s="15"/>
      <c r="AC61" s="15"/>
      <c r="AD61" s="15"/>
      <c r="AE61" s="15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  <c r="BN61" s="28"/>
      <c r="BO61" s="28"/>
      <c r="BP61" s="29"/>
      <c r="BQ61" s="29"/>
      <c r="BR61" s="29"/>
      <c r="BS61" s="29"/>
    </row>
    <row r="62" customFormat="false" ht="15.65" hidden="false" customHeight="false" outlineLevel="0" collapsed="false">
      <c r="A62" s="44" t="n">
        <v>30</v>
      </c>
      <c r="B62" s="44" t="n">
        <v>3</v>
      </c>
      <c r="C62" s="5" t="n">
        <v>394608</v>
      </c>
      <c r="D62" s="5" t="n">
        <v>1</v>
      </c>
      <c r="E62" s="5" t="n">
        <v>1</v>
      </c>
      <c r="F62" s="5" t="n">
        <v>1</v>
      </c>
      <c r="G62" s="5" t="n">
        <v>1</v>
      </c>
      <c r="H62" s="5" t="n">
        <v>1</v>
      </c>
      <c r="I62" s="45" t="n">
        <v>1</v>
      </c>
      <c r="J62" s="5" t="n">
        <v>1</v>
      </c>
      <c r="K62" s="5" t="n">
        <v>1</v>
      </c>
      <c r="L62" s="5" t="n">
        <v>0</v>
      </c>
      <c r="M62" s="5" t="n">
        <v>1</v>
      </c>
      <c r="N62" s="39" t="n">
        <v>1</v>
      </c>
      <c r="O62" s="5" t="n">
        <v>1</v>
      </c>
      <c r="P62" s="12" t="s">
        <v>50</v>
      </c>
      <c r="Q62" s="12" t="s">
        <v>4</v>
      </c>
      <c r="R62" s="14"/>
      <c r="S62" s="14"/>
      <c r="T62" s="14"/>
      <c r="U62" s="5" t="n">
        <v>85</v>
      </c>
      <c r="V62" s="5" t="n">
        <v>85</v>
      </c>
      <c r="W62" s="5" t="n">
        <v>88</v>
      </c>
      <c r="X62" s="14" t="n">
        <f aca="false">SUM(R62:W62)</f>
        <v>258</v>
      </c>
      <c r="Y62" s="15" t="n">
        <f aca="false">X62/300*100</f>
        <v>86</v>
      </c>
      <c r="Z62" s="16" t="n">
        <v>4.5</v>
      </c>
      <c r="AA62" s="15"/>
      <c r="AB62" s="15"/>
      <c r="AC62" s="15"/>
      <c r="AD62" s="15"/>
      <c r="AE62" s="15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  <c r="BN62" s="28"/>
      <c r="BO62" s="28"/>
      <c r="BP62" s="29"/>
      <c r="BQ62" s="29"/>
      <c r="BR62" s="29"/>
      <c r="BS62" s="29"/>
    </row>
    <row r="63" customFormat="false" ht="15.65" hidden="false" customHeight="false" outlineLevel="0" collapsed="false">
      <c r="A63" s="32" t="n">
        <v>31</v>
      </c>
      <c r="B63" s="64" t="n">
        <v>3</v>
      </c>
      <c r="C63" s="32" t="n">
        <v>488231</v>
      </c>
      <c r="D63" s="32" t="n">
        <v>1</v>
      </c>
      <c r="E63" s="65" t="n">
        <v>1</v>
      </c>
      <c r="F63" s="65" t="n">
        <v>1</v>
      </c>
      <c r="G63" s="65" t="n">
        <v>1</v>
      </c>
      <c r="H63" s="65" t="n">
        <v>1</v>
      </c>
      <c r="I63" s="66" t="n">
        <v>1</v>
      </c>
      <c r="J63" s="65" t="n">
        <v>1</v>
      </c>
      <c r="K63" s="65" t="n">
        <v>1</v>
      </c>
      <c r="L63" s="65" t="n">
        <v>1</v>
      </c>
      <c r="M63" s="65" t="n">
        <v>1</v>
      </c>
      <c r="N63" s="65" t="n">
        <v>1</v>
      </c>
      <c r="O63" s="65" t="n">
        <v>1</v>
      </c>
      <c r="P63" s="34" t="s">
        <v>55</v>
      </c>
      <c r="Q63" s="34" t="s">
        <v>6</v>
      </c>
      <c r="R63" s="35"/>
      <c r="S63" s="35"/>
      <c r="T63" s="35"/>
      <c r="U63" s="32"/>
      <c r="V63" s="32"/>
      <c r="W63" s="32"/>
      <c r="X63" s="35" t="n">
        <f aca="false">SUM(R63:W63)</f>
        <v>0</v>
      </c>
      <c r="Y63" s="36" t="n">
        <f aca="false">X63/300*100</f>
        <v>0</v>
      </c>
      <c r="Z63" s="37" t="n">
        <v>2</v>
      </c>
      <c r="AA63" s="35"/>
      <c r="AB63" s="35"/>
      <c r="AC63" s="35"/>
      <c r="AD63" s="35"/>
      <c r="AE63" s="36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  <c r="BN63" s="28"/>
      <c r="BO63" s="28"/>
      <c r="BP63" s="29"/>
      <c r="BQ63" s="29"/>
      <c r="BR63" s="29"/>
      <c r="BS63" s="29"/>
    </row>
    <row r="64" s="48" customFormat="true" ht="15.65" hidden="false" customHeight="false" outlineLevel="0" collapsed="false">
      <c r="A64" s="39" t="n">
        <v>1</v>
      </c>
      <c r="B64" s="39" t="n">
        <v>4</v>
      </c>
      <c r="C64" s="39" t="n">
        <v>487809</v>
      </c>
      <c r="D64" s="39" t="n">
        <v>1</v>
      </c>
      <c r="E64" s="39" t="n">
        <v>1</v>
      </c>
      <c r="F64" s="39" t="n">
        <v>1</v>
      </c>
      <c r="G64" s="39" t="n">
        <v>1</v>
      </c>
      <c r="H64" s="39" t="n">
        <v>1</v>
      </c>
      <c r="I64" s="39" t="n">
        <v>1</v>
      </c>
      <c r="J64" s="39" t="n">
        <v>0</v>
      </c>
      <c r="K64" s="39" t="n">
        <v>1</v>
      </c>
      <c r="L64" s="39" t="n">
        <v>1</v>
      </c>
      <c r="M64" s="39" t="n">
        <v>1</v>
      </c>
      <c r="N64" s="39" t="n">
        <v>1</v>
      </c>
      <c r="O64" s="39" t="n">
        <v>0</v>
      </c>
      <c r="P64" s="67" t="s">
        <v>31</v>
      </c>
      <c r="Q64" s="67" t="s">
        <v>11</v>
      </c>
      <c r="R64" s="40" t="n">
        <v>6</v>
      </c>
      <c r="S64" s="40"/>
      <c r="T64" s="40"/>
      <c r="U64" s="39" t="n">
        <v>90</v>
      </c>
      <c r="V64" s="39" t="n">
        <v>75</v>
      </c>
      <c r="W64" s="39" t="n">
        <v>75</v>
      </c>
      <c r="X64" s="40" t="n">
        <f aca="false">SUM(R64:W64)</f>
        <v>246</v>
      </c>
      <c r="Y64" s="41" t="n">
        <f aca="false">X64/300*100</f>
        <v>82</v>
      </c>
      <c r="Z64" s="42" t="n">
        <v>4.5</v>
      </c>
      <c r="AA64" s="41"/>
      <c r="AB64" s="41"/>
      <c r="AC64" s="41"/>
      <c r="AD64" s="41"/>
      <c r="AE64" s="40"/>
      <c r="AF64" s="46"/>
      <c r="AG64" s="46"/>
      <c r="AH64" s="46"/>
      <c r="AI64" s="46"/>
      <c r="AJ64" s="46"/>
      <c r="AK64" s="46"/>
      <c r="AL64" s="46"/>
      <c r="AM64" s="46"/>
      <c r="AN64" s="46"/>
      <c r="AO64" s="46"/>
      <c r="AP64" s="46"/>
      <c r="AQ64" s="46"/>
      <c r="AR64" s="46"/>
      <c r="AS64" s="46"/>
      <c r="AT64" s="46"/>
      <c r="AU64" s="46"/>
      <c r="AV64" s="46"/>
      <c r="AW64" s="46"/>
      <c r="AX64" s="46"/>
      <c r="AY64" s="46"/>
      <c r="AZ64" s="46"/>
      <c r="BA64" s="46"/>
      <c r="BB64" s="46"/>
      <c r="BC64" s="46"/>
      <c r="BD64" s="46"/>
      <c r="BE64" s="46"/>
      <c r="BF64" s="46"/>
      <c r="BG64" s="46"/>
      <c r="BH64" s="46"/>
      <c r="BI64" s="46"/>
      <c r="BJ64" s="46"/>
      <c r="BK64" s="46"/>
      <c r="BL64" s="46"/>
      <c r="BM64" s="46"/>
      <c r="BN64" s="46"/>
      <c r="BO64" s="46"/>
      <c r="BP64" s="47"/>
      <c r="BQ64" s="47"/>
      <c r="BR64" s="47"/>
      <c r="BS64" s="47"/>
    </row>
    <row r="65" customFormat="false" ht="15.65" hidden="false" customHeight="false" outlineLevel="0" collapsed="false">
      <c r="A65" s="5" t="n">
        <v>2</v>
      </c>
      <c r="B65" s="5" t="n">
        <v>4</v>
      </c>
      <c r="C65" s="5" t="n">
        <v>487807</v>
      </c>
      <c r="D65" s="5" t="n">
        <v>1</v>
      </c>
      <c r="E65" s="5" t="n">
        <v>1</v>
      </c>
      <c r="F65" s="5" t="n">
        <v>1</v>
      </c>
      <c r="G65" s="5" t="n">
        <v>1</v>
      </c>
      <c r="H65" s="5" t="n">
        <v>1</v>
      </c>
      <c r="I65" s="5" t="n">
        <v>1</v>
      </c>
      <c r="J65" s="5" t="n">
        <v>1</v>
      </c>
      <c r="K65" s="5" t="n">
        <v>0</v>
      </c>
      <c r="L65" s="5" t="n">
        <v>1</v>
      </c>
      <c r="M65" s="5" t="n">
        <v>1</v>
      </c>
      <c r="N65" s="39" t="n">
        <v>1</v>
      </c>
      <c r="O65" s="5" t="n">
        <v>1</v>
      </c>
      <c r="P65" s="12" t="s">
        <v>55</v>
      </c>
      <c r="Q65" s="12" t="s">
        <v>6</v>
      </c>
      <c r="R65" s="31"/>
      <c r="S65" s="31" t="n">
        <v>9</v>
      </c>
      <c r="T65" s="31" t="n">
        <v>9</v>
      </c>
      <c r="U65" s="5" t="n">
        <v>86</v>
      </c>
      <c r="V65" s="5" t="n">
        <v>90</v>
      </c>
      <c r="W65" s="5" t="n">
        <v>91</v>
      </c>
      <c r="X65" s="14" t="n">
        <f aca="false">SUM(R65:W65)</f>
        <v>285</v>
      </c>
      <c r="Y65" s="15" t="n">
        <f aca="false">X65/300*100</f>
        <v>95</v>
      </c>
      <c r="Z65" s="16" t="s">
        <v>37</v>
      </c>
      <c r="AA65" s="14"/>
      <c r="AB65" s="14"/>
      <c r="AC65" s="14"/>
      <c r="AD65" s="14"/>
      <c r="AE65" s="15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  <c r="BN65" s="28"/>
      <c r="BO65" s="28"/>
      <c r="BP65" s="29"/>
      <c r="BQ65" s="29"/>
      <c r="BR65" s="29"/>
      <c r="BS65" s="29"/>
    </row>
    <row r="66" customFormat="false" ht="15.65" hidden="false" customHeight="false" outlineLevel="0" collapsed="false">
      <c r="A66" s="39" t="n">
        <v>3</v>
      </c>
      <c r="B66" s="5" t="n">
        <v>4</v>
      </c>
      <c r="C66" s="5" t="n">
        <v>474663</v>
      </c>
      <c r="D66" s="5" t="n">
        <v>1</v>
      </c>
      <c r="E66" s="5" t="n">
        <v>1</v>
      </c>
      <c r="F66" s="5" t="n">
        <v>1</v>
      </c>
      <c r="G66" s="5" t="n">
        <v>1</v>
      </c>
      <c r="H66" s="5" t="n">
        <v>1</v>
      </c>
      <c r="I66" s="5" t="n">
        <v>1</v>
      </c>
      <c r="J66" s="5" t="n">
        <v>1</v>
      </c>
      <c r="K66" s="5" t="n">
        <v>1</v>
      </c>
      <c r="L66" s="5" t="n">
        <v>1</v>
      </c>
      <c r="M66" s="5" t="n">
        <v>1</v>
      </c>
      <c r="N66" s="39" t="n">
        <v>1</v>
      </c>
      <c r="O66" s="5" t="n">
        <v>1</v>
      </c>
      <c r="P66" s="12" t="s">
        <v>52</v>
      </c>
      <c r="Q66" s="12" t="s">
        <v>10</v>
      </c>
      <c r="R66" s="31" t="n">
        <v>5</v>
      </c>
      <c r="S66" s="31"/>
      <c r="T66" s="31"/>
      <c r="U66" s="5" t="n">
        <v>90</v>
      </c>
      <c r="V66" s="5" t="n">
        <v>90</v>
      </c>
      <c r="W66" s="5" t="n">
        <v>88</v>
      </c>
      <c r="X66" s="14" t="n">
        <f aca="false">SUM(R66:W66)</f>
        <v>273</v>
      </c>
      <c r="Y66" s="15" t="n">
        <f aca="false">X66/300*100</f>
        <v>91</v>
      </c>
      <c r="Z66" s="16" t="n">
        <v>5</v>
      </c>
      <c r="AA66" s="15"/>
      <c r="AB66" s="15"/>
      <c r="AC66" s="15"/>
      <c r="AD66" s="15"/>
      <c r="AE66" s="14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/>
      <c r="BP66" s="29"/>
      <c r="BQ66" s="29"/>
      <c r="BR66" s="29"/>
      <c r="BS66" s="29"/>
    </row>
    <row r="67" customFormat="false" ht="15.65" hidden="false" customHeight="false" outlineLevel="0" collapsed="false">
      <c r="A67" s="5" t="n">
        <v>4</v>
      </c>
      <c r="B67" s="5" t="n">
        <v>4</v>
      </c>
      <c r="C67" s="5" t="n">
        <v>483794</v>
      </c>
      <c r="D67" s="5" t="n">
        <v>1</v>
      </c>
      <c r="E67" s="5" t="n">
        <v>1</v>
      </c>
      <c r="F67" s="5" t="n">
        <v>1</v>
      </c>
      <c r="G67" s="5" t="n">
        <v>1</v>
      </c>
      <c r="H67" s="5" t="n">
        <v>1</v>
      </c>
      <c r="I67" s="5" t="n">
        <v>1</v>
      </c>
      <c r="J67" s="5" t="n">
        <v>0</v>
      </c>
      <c r="K67" s="5" t="n">
        <v>1</v>
      </c>
      <c r="L67" s="5" t="n">
        <v>1</v>
      </c>
      <c r="M67" s="5" t="n">
        <v>1</v>
      </c>
      <c r="N67" s="39" t="n">
        <v>1</v>
      </c>
      <c r="O67" s="5" t="n">
        <v>0</v>
      </c>
      <c r="P67" s="18" t="s">
        <v>57</v>
      </c>
      <c r="Q67" s="12" t="s">
        <v>12</v>
      </c>
      <c r="R67" s="14"/>
      <c r="S67" s="14"/>
      <c r="T67" s="14"/>
      <c r="U67" s="5" t="n">
        <v>75</v>
      </c>
      <c r="V67" s="5" t="n">
        <v>75</v>
      </c>
      <c r="W67" s="5" t="n">
        <v>77</v>
      </c>
      <c r="X67" s="14" t="n">
        <f aca="false">SUM(R67:W67)</f>
        <v>227</v>
      </c>
      <c r="Y67" s="15" t="n">
        <f aca="false">X67/300*100</f>
        <v>75.6666666666667</v>
      </c>
      <c r="Z67" s="16" t="n">
        <v>4</v>
      </c>
      <c r="AA67" s="14"/>
      <c r="AB67" s="14"/>
      <c r="AC67" s="14"/>
      <c r="AD67" s="14"/>
      <c r="AE67" s="15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  <c r="BN67" s="28"/>
      <c r="BO67" s="28"/>
      <c r="BP67" s="29"/>
      <c r="BQ67" s="29"/>
      <c r="BR67" s="29"/>
      <c r="BS67" s="29"/>
    </row>
    <row r="68" customFormat="false" ht="15.65" hidden="false" customHeight="false" outlineLevel="0" collapsed="false">
      <c r="A68" s="39" t="n">
        <v>5</v>
      </c>
      <c r="B68" s="5" t="n">
        <v>4</v>
      </c>
      <c r="C68" s="5" t="n">
        <v>486770</v>
      </c>
      <c r="D68" s="5" t="n">
        <v>1</v>
      </c>
      <c r="E68" s="5" t="n">
        <v>1</v>
      </c>
      <c r="F68" s="5" t="n">
        <v>1</v>
      </c>
      <c r="G68" s="5" t="n">
        <v>1</v>
      </c>
      <c r="H68" s="5" t="n">
        <v>1</v>
      </c>
      <c r="I68" s="5" t="n">
        <v>1</v>
      </c>
      <c r="J68" s="5" t="n">
        <v>1</v>
      </c>
      <c r="K68" s="5" t="n">
        <v>1</v>
      </c>
      <c r="L68" s="5" t="n">
        <v>1</v>
      </c>
      <c r="M68" s="5" t="n">
        <v>1</v>
      </c>
      <c r="N68" s="39" t="n">
        <v>1</v>
      </c>
      <c r="O68" s="5" t="n">
        <v>0</v>
      </c>
      <c r="P68" s="12" t="s">
        <v>33</v>
      </c>
      <c r="Q68" s="12" t="s">
        <v>4</v>
      </c>
      <c r="R68" s="31"/>
      <c r="S68" s="31"/>
      <c r="T68" s="31"/>
      <c r="U68" s="5" t="n">
        <v>90</v>
      </c>
      <c r="V68" s="5" t="n">
        <v>85</v>
      </c>
      <c r="W68" s="5" t="n">
        <v>90</v>
      </c>
      <c r="X68" s="14" t="n">
        <f aca="false">SUM(R68:W68)</f>
        <v>265</v>
      </c>
      <c r="Y68" s="15" t="n">
        <f aca="false">X68/300*100</f>
        <v>88.3333333333333</v>
      </c>
      <c r="Z68" s="16" t="n">
        <v>4.5</v>
      </c>
      <c r="AA68" s="15"/>
      <c r="AB68" s="15"/>
      <c r="AC68" s="15"/>
      <c r="AD68" s="15"/>
      <c r="AE68" s="15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  <c r="BN68" s="28"/>
      <c r="BO68" s="28"/>
      <c r="BP68" s="29"/>
      <c r="BQ68" s="29"/>
      <c r="BR68" s="29"/>
      <c r="BS68" s="29"/>
    </row>
    <row r="69" customFormat="false" ht="15.65" hidden="false" customHeight="false" outlineLevel="0" collapsed="false">
      <c r="A69" s="5" t="n">
        <v>6</v>
      </c>
      <c r="B69" s="5" t="n">
        <v>4</v>
      </c>
      <c r="C69" s="5" t="n">
        <v>430135</v>
      </c>
      <c r="D69" s="5" t="n">
        <v>1</v>
      </c>
      <c r="E69" s="5" t="n">
        <v>1</v>
      </c>
      <c r="F69" s="5" t="n">
        <v>1</v>
      </c>
      <c r="G69" s="5" t="n">
        <v>1</v>
      </c>
      <c r="H69" s="5" t="n">
        <v>1</v>
      </c>
      <c r="I69" s="5" t="n">
        <v>1</v>
      </c>
      <c r="J69" s="5" t="n">
        <v>1</v>
      </c>
      <c r="K69" s="5" t="n">
        <v>1</v>
      </c>
      <c r="L69" s="5" t="n">
        <v>1</v>
      </c>
      <c r="M69" s="5" t="n">
        <v>1</v>
      </c>
      <c r="N69" s="39" t="n">
        <v>1</v>
      </c>
      <c r="O69" s="5" t="n">
        <v>1</v>
      </c>
      <c r="P69" s="30" t="s">
        <v>59</v>
      </c>
      <c r="Q69" s="12" t="s">
        <v>13</v>
      </c>
      <c r="R69" s="14" t="n">
        <v>9</v>
      </c>
      <c r="S69" s="14"/>
      <c r="T69" s="14"/>
      <c r="U69" s="5" t="n">
        <v>90</v>
      </c>
      <c r="V69" s="5" t="n">
        <v>91</v>
      </c>
      <c r="W69" s="5" t="n">
        <v>90</v>
      </c>
      <c r="X69" s="14" t="n">
        <f aca="false">SUM(R69:W69)</f>
        <v>280</v>
      </c>
      <c r="Y69" s="15" t="n">
        <f aca="false">X69/300*100</f>
        <v>93.3333333333333</v>
      </c>
      <c r="Z69" s="16" t="n">
        <v>5</v>
      </c>
      <c r="AA69" s="15"/>
      <c r="AB69" s="15"/>
      <c r="AC69" s="15"/>
      <c r="AD69" s="15"/>
      <c r="AE69" s="14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9"/>
      <c r="BQ69" s="29"/>
      <c r="BR69" s="29"/>
      <c r="BS69" s="29"/>
    </row>
    <row r="70" customFormat="false" ht="15.65" hidden="false" customHeight="false" outlineLevel="0" collapsed="false">
      <c r="A70" s="39" t="n">
        <v>7</v>
      </c>
      <c r="B70" s="5" t="n">
        <v>4</v>
      </c>
      <c r="C70" s="5" t="n">
        <v>482708</v>
      </c>
      <c r="D70" s="5" t="n">
        <v>1</v>
      </c>
      <c r="E70" s="5" t="n">
        <v>1</v>
      </c>
      <c r="F70" s="5" t="n">
        <v>1</v>
      </c>
      <c r="G70" s="5" t="n">
        <v>1</v>
      </c>
      <c r="H70" s="5" t="n">
        <v>1</v>
      </c>
      <c r="I70" s="5" t="n">
        <v>1</v>
      </c>
      <c r="J70" s="5" t="n">
        <v>1</v>
      </c>
      <c r="K70" s="5" t="n">
        <v>1</v>
      </c>
      <c r="L70" s="5" t="n">
        <v>1</v>
      </c>
      <c r="M70" s="5" t="n">
        <v>0</v>
      </c>
      <c r="N70" s="39" t="n">
        <v>1</v>
      </c>
      <c r="O70" s="5" t="n">
        <v>1</v>
      </c>
      <c r="P70" s="18" t="s">
        <v>61</v>
      </c>
      <c r="Q70" s="12" t="s">
        <v>10</v>
      </c>
      <c r="R70" s="14"/>
      <c r="S70" s="14"/>
      <c r="T70" s="14"/>
      <c r="U70" s="5" t="n">
        <v>93</v>
      </c>
      <c r="V70" s="5" t="n">
        <v>91</v>
      </c>
      <c r="W70" s="5" t="n">
        <v>88</v>
      </c>
      <c r="X70" s="14" t="n">
        <f aca="false">SUM(R70:W70)</f>
        <v>272</v>
      </c>
      <c r="Y70" s="15" t="n">
        <f aca="false">X70/300*100</f>
        <v>90.6666666666667</v>
      </c>
      <c r="Z70" s="16" t="n">
        <v>5</v>
      </c>
      <c r="AA70" s="14"/>
      <c r="AB70" s="14"/>
      <c r="AC70" s="14"/>
      <c r="AD70" s="14"/>
      <c r="AE70" s="15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9"/>
      <c r="BQ70" s="29"/>
      <c r="BR70" s="29"/>
      <c r="BS70" s="29"/>
    </row>
    <row r="71" customFormat="false" ht="15.65" hidden="false" customHeight="false" outlineLevel="0" collapsed="false">
      <c r="A71" s="5" t="n">
        <v>8</v>
      </c>
      <c r="B71" s="5" t="n">
        <v>4</v>
      </c>
      <c r="C71" s="5" t="n">
        <v>482715</v>
      </c>
      <c r="D71" s="5" t="n">
        <v>1</v>
      </c>
      <c r="E71" s="6" t="n">
        <v>1</v>
      </c>
      <c r="F71" s="6" t="n">
        <v>1</v>
      </c>
      <c r="G71" s="6" t="n">
        <v>1</v>
      </c>
      <c r="H71" s="6" t="n">
        <v>1</v>
      </c>
      <c r="I71" s="5" t="n">
        <v>1</v>
      </c>
      <c r="J71" s="6" t="n">
        <v>1</v>
      </c>
      <c r="K71" s="6" t="n">
        <v>1</v>
      </c>
      <c r="L71" s="6" t="n">
        <v>1</v>
      </c>
      <c r="M71" s="6" t="n">
        <v>0</v>
      </c>
      <c r="N71" s="39" t="n">
        <v>1</v>
      </c>
      <c r="O71" s="6" t="n">
        <v>1</v>
      </c>
      <c r="P71" s="18" t="s">
        <v>60</v>
      </c>
      <c r="Q71" s="20" t="s">
        <v>5</v>
      </c>
      <c r="R71" s="14" t="n">
        <v>7</v>
      </c>
      <c r="S71" s="14"/>
      <c r="T71" s="14"/>
      <c r="U71" s="5" t="n">
        <v>90</v>
      </c>
      <c r="V71" s="5" t="n">
        <v>88</v>
      </c>
      <c r="W71" s="5" t="n">
        <v>87</v>
      </c>
      <c r="X71" s="14" t="n">
        <f aca="false">SUM(R71:W71)</f>
        <v>272</v>
      </c>
      <c r="Y71" s="15" t="n">
        <f aca="false">X71/300*100</f>
        <v>90.6666666666667</v>
      </c>
      <c r="Z71" s="16" t="n">
        <v>5</v>
      </c>
      <c r="AA71" s="14"/>
      <c r="AB71" s="14"/>
      <c r="AC71" s="14"/>
      <c r="AD71" s="14"/>
      <c r="AE71" s="15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9"/>
      <c r="BQ71" s="29"/>
      <c r="BR71" s="29"/>
      <c r="BS71" s="29"/>
    </row>
    <row r="72" customFormat="false" ht="15.65" hidden="false" customHeight="false" outlineLevel="0" collapsed="false">
      <c r="A72" s="39" t="n">
        <v>9</v>
      </c>
      <c r="B72" s="5" t="n">
        <v>4</v>
      </c>
      <c r="C72" s="5" t="n">
        <v>488388</v>
      </c>
      <c r="D72" s="5" t="n">
        <v>1</v>
      </c>
      <c r="E72" s="5" t="n">
        <v>1</v>
      </c>
      <c r="F72" s="5" t="n">
        <v>1</v>
      </c>
      <c r="G72" s="5" t="n">
        <v>1</v>
      </c>
      <c r="H72" s="5" t="n">
        <v>1</v>
      </c>
      <c r="I72" s="5" t="n">
        <v>1</v>
      </c>
      <c r="J72" s="5" t="n">
        <v>1</v>
      </c>
      <c r="K72" s="5" t="n">
        <v>1</v>
      </c>
      <c r="L72" s="5" t="n">
        <v>1</v>
      </c>
      <c r="M72" s="5" t="n">
        <v>1</v>
      </c>
      <c r="N72" s="39" t="n">
        <v>1</v>
      </c>
      <c r="O72" s="5" t="n">
        <v>0</v>
      </c>
      <c r="P72" s="12" t="s">
        <v>62</v>
      </c>
      <c r="Q72" s="12" t="s">
        <v>12</v>
      </c>
      <c r="R72" s="14" t="n">
        <v>8</v>
      </c>
      <c r="S72" s="14"/>
      <c r="T72" s="14"/>
      <c r="U72" s="5" t="n">
        <v>89</v>
      </c>
      <c r="V72" s="5" t="n">
        <v>90</v>
      </c>
      <c r="W72" s="5" t="n">
        <v>84</v>
      </c>
      <c r="X72" s="14" t="n">
        <f aca="false">SUM(R72:W72)</f>
        <v>271</v>
      </c>
      <c r="Y72" s="15" t="n">
        <f aca="false">X72/300*100</f>
        <v>90.3333333333333</v>
      </c>
      <c r="Z72" s="16" t="n">
        <v>5</v>
      </c>
      <c r="AA72" s="15"/>
      <c r="AB72" s="15"/>
      <c r="AC72" s="15"/>
      <c r="AD72" s="15"/>
      <c r="AE72" s="14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9"/>
      <c r="BQ72" s="29"/>
      <c r="BR72" s="29"/>
      <c r="BS72" s="29"/>
    </row>
    <row r="73" customFormat="false" ht="15.65" hidden="false" customHeight="false" outlineLevel="0" collapsed="false">
      <c r="A73" s="5" t="n">
        <v>10</v>
      </c>
      <c r="B73" s="5" t="n">
        <v>4</v>
      </c>
      <c r="C73" s="5" t="n">
        <v>434888</v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1</v>
      </c>
      <c r="J73" s="5" t="n">
        <v>0</v>
      </c>
      <c r="K73" s="5" t="n">
        <v>0</v>
      </c>
      <c r="L73" s="5" t="n">
        <v>0</v>
      </c>
      <c r="M73" s="5" t="n">
        <v>0</v>
      </c>
      <c r="N73" s="39" t="n">
        <v>1</v>
      </c>
      <c r="O73" s="6" t="n">
        <v>0</v>
      </c>
      <c r="P73" s="26" t="s">
        <v>47</v>
      </c>
      <c r="Q73" s="26" t="s">
        <v>13</v>
      </c>
      <c r="R73" s="31"/>
      <c r="S73" s="31"/>
      <c r="T73" s="31"/>
      <c r="U73" s="5"/>
      <c r="V73" s="5"/>
      <c r="W73" s="5"/>
      <c r="X73" s="14" t="n">
        <f aca="false">SUM(R73:W73)</f>
        <v>0</v>
      </c>
      <c r="Y73" s="15" t="n">
        <f aca="false">X73/300*100</f>
        <v>0</v>
      </c>
      <c r="Z73" s="16" t="n">
        <v>2</v>
      </c>
      <c r="AA73" s="14"/>
      <c r="AB73" s="14"/>
      <c r="AC73" s="14"/>
      <c r="AD73" s="14"/>
      <c r="AE73" s="15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9"/>
      <c r="BQ73" s="29"/>
      <c r="BR73" s="29"/>
      <c r="BS73" s="29"/>
    </row>
    <row r="74" customFormat="false" ht="15.65" hidden="false" customHeight="false" outlineLevel="0" collapsed="false">
      <c r="A74" s="39" t="n">
        <v>11</v>
      </c>
      <c r="B74" s="5" t="n">
        <v>4</v>
      </c>
      <c r="C74" s="5" t="n">
        <v>488387</v>
      </c>
      <c r="D74" s="5" t="n">
        <v>1</v>
      </c>
      <c r="E74" s="5" t="n">
        <v>1</v>
      </c>
      <c r="F74" s="5" t="n">
        <v>1</v>
      </c>
      <c r="G74" s="5" t="n">
        <v>1</v>
      </c>
      <c r="H74" s="5" t="n">
        <v>1</v>
      </c>
      <c r="I74" s="5" t="n">
        <v>1</v>
      </c>
      <c r="J74" s="5" t="n">
        <v>1</v>
      </c>
      <c r="K74" s="5" t="n">
        <v>1</v>
      </c>
      <c r="L74" s="5" t="n">
        <v>1</v>
      </c>
      <c r="M74" s="5" t="n">
        <v>1</v>
      </c>
      <c r="N74" s="39" t="n">
        <v>1</v>
      </c>
      <c r="O74" s="5" t="n">
        <v>1</v>
      </c>
      <c r="P74" s="12" t="s">
        <v>41</v>
      </c>
      <c r="Q74" s="12" t="s">
        <v>7</v>
      </c>
      <c r="R74" s="14"/>
      <c r="S74" s="14"/>
      <c r="T74" s="14"/>
      <c r="U74" s="5" t="n">
        <v>75</v>
      </c>
      <c r="V74" s="5" t="n">
        <v>75</v>
      </c>
      <c r="W74" s="5" t="n">
        <v>78</v>
      </c>
      <c r="X74" s="14" t="n">
        <f aca="false">SUM(R74:W74)</f>
        <v>228</v>
      </c>
      <c r="Y74" s="15" t="n">
        <f aca="false">X74/300*100</f>
        <v>76</v>
      </c>
      <c r="Z74" s="16" t="n">
        <v>4</v>
      </c>
      <c r="AA74" s="15"/>
      <c r="AB74" s="15"/>
      <c r="AC74" s="15"/>
      <c r="AD74" s="15"/>
      <c r="AE74" s="14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9"/>
      <c r="BQ74" s="29"/>
      <c r="BR74" s="29"/>
      <c r="BS74" s="29"/>
    </row>
    <row r="75" customFormat="false" ht="15.65" hidden="false" customHeight="false" outlineLevel="0" collapsed="false">
      <c r="A75" s="5" t="n">
        <v>12</v>
      </c>
      <c r="B75" s="5" t="n">
        <v>4</v>
      </c>
      <c r="C75" s="5" t="n">
        <v>420708</v>
      </c>
      <c r="D75" s="5" t="n">
        <v>1</v>
      </c>
      <c r="E75" s="5" t="n">
        <v>1</v>
      </c>
      <c r="F75" s="5" t="n">
        <v>1</v>
      </c>
      <c r="G75" s="5" t="n">
        <v>1</v>
      </c>
      <c r="H75" s="5" t="n">
        <v>1</v>
      </c>
      <c r="I75" s="5" t="n">
        <v>1</v>
      </c>
      <c r="J75" s="5" t="n">
        <v>1</v>
      </c>
      <c r="K75" s="5" t="n">
        <v>0</v>
      </c>
      <c r="L75" s="5" t="n">
        <v>1</v>
      </c>
      <c r="M75" s="5" t="n">
        <v>1</v>
      </c>
      <c r="N75" s="39" t="n">
        <v>1</v>
      </c>
      <c r="O75" s="5" t="n">
        <v>1</v>
      </c>
      <c r="P75" s="18" t="s">
        <v>36</v>
      </c>
      <c r="Q75" s="12" t="s">
        <v>6</v>
      </c>
      <c r="R75" s="14"/>
      <c r="S75" s="14"/>
      <c r="T75" s="14"/>
      <c r="U75" s="5"/>
      <c r="V75" s="5"/>
      <c r="W75" s="5"/>
      <c r="X75" s="14" t="n">
        <f aca="false">SUM(R75:W75)</f>
        <v>0</v>
      </c>
      <c r="Y75" s="15" t="n">
        <f aca="false">X75/300*100</f>
        <v>0</v>
      </c>
      <c r="Z75" s="16" t="n">
        <v>2</v>
      </c>
      <c r="AA75" s="15"/>
      <c r="AB75" s="15"/>
      <c r="AC75" s="15"/>
      <c r="AD75" s="15"/>
      <c r="AE75" s="15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9"/>
      <c r="BQ75" s="29"/>
      <c r="BR75" s="29"/>
      <c r="BS75" s="29"/>
    </row>
    <row r="76" customFormat="false" ht="15.65" hidden="false" customHeight="false" outlineLevel="0" collapsed="false">
      <c r="A76" s="39" t="n">
        <v>13</v>
      </c>
      <c r="B76" s="5" t="n">
        <v>4</v>
      </c>
      <c r="C76" s="5" t="n">
        <v>455286</v>
      </c>
      <c r="D76" s="5" t="n">
        <v>1</v>
      </c>
      <c r="E76" s="5" t="n">
        <v>1</v>
      </c>
      <c r="F76" s="5" t="n">
        <v>1</v>
      </c>
      <c r="G76" s="5" t="n">
        <v>0</v>
      </c>
      <c r="H76" s="5" t="n">
        <v>1</v>
      </c>
      <c r="I76" s="5" t="n">
        <v>1</v>
      </c>
      <c r="J76" s="5" t="n">
        <v>0</v>
      </c>
      <c r="K76" s="5" t="n">
        <v>0</v>
      </c>
      <c r="L76" s="5" t="n">
        <v>0</v>
      </c>
      <c r="M76" s="5" t="n">
        <v>0</v>
      </c>
      <c r="N76" s="39" t="n">
        <v>1</v>
      </c>
      <c r="O76" s="6" t="n">
        <v>0</v>
      </c>
      <c r="P76" s="12" t="s">
        <v>50</v>
      </c>
      <c r="Q76" s="12" t="s">
        <v>4</v>
      </c>
      <c r="R76" s="14"/>
      <c r="S76" s="14"/>
      <c r="T76" s="14"/>
      <c r="U76" s="5"/>
      <c r="V76" s="5"/>
      <c r="W76" s="5"/>
      <c r="X76" s="14" t="n">
        <f aca="false">SUM(R76:W76)</f>
        <v>0</v>
      </c>
      <c r="Y76" s="15" t="n">
        <f aca="false">X76/300*100</f>
        <v>0</v>
      </c>
      <c r="Z76" s="16" t="n">
        <v>2</v>
      </c>
      <c r="AA76" s="15"/>
      <c r="AB76" s="15"/>
      <c r="AC76" s="15"/>
      <c r="AD76" s="15"/>
      <c r="AE76" s="15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9"/>
      <c r="BQ76" s="29"/>
      <c r="BR76" s="29"/>
      <c r="BS76" s="29"/>
    </row>
    <row r="77" customFormat="false" ht="15.65" hidden="false" customHeight="false" outlineLevel="0" collapsed="false">
      <c r="A77" s="5" t="n">
        <v>14</v>
      </c>
      <c r="B77" s="5" t="n">
        <v>4</v>
      </c>
      <c r="C77" s="5" t="n">
        <v>419641</v>
      </c>
      <c r="D77" s="5" t="n">
        <v>0</v>
      </c>
      <c r="E77" s="6" t="n">
        <v>0</v>
      </c>
      <c r="F77" s="6" t="n">
        <v>0</v>
      </c>
      <c r="G77" s="6" t="n">
        <v>0</v>
      </c>
      <c r="H77" s="6" t="n">
        <v>0</v>
      </c>
      <c r="I77" s="5" t="n">
        <v>1</v>
      </c>
      <c r="J77" s="6" t="n">
        <v>0</v>
      </c>
      <c r="K77" s="6" t="n">
        <v>0</v>
      </c>
      <c r="L77" s="6" t="n">
        <v>0</v>
      </c>
      <c r="M77" s="6" t="n">
        <v>0</v>
      </c>
      <c r="N77" s="39" t="n">
        <v>1</v>
      </c>
      <c r="O77" s="6" t="n">
        <v>0</v>
      </c>
      <c r="P77" s="68" t="s">
        <v>53</v>
      </c>
      <c r="Q77" s="69" t="s">
        <v>11</v>
      </c>
      <c r="R77" s="14"/>
      <c r="S77" s="14"/>
      <c r="T77" s="14"/>
      <c r="U77" s="5"/>
      <c r="V77" s="5"/>
      <c r="W77" s="5"/>
      <c r="X77" s="14" t="n">
        <f aca="false">SUM(R77:W77)</f>
        <v>0</v>
      </c>
      <c r="Y77" s="15" t="n">
        <f aca="false">X77/300*100</f>
        <v>0</v>
      </c>
      <c r="Z77" s="16" t="n">
        <v>2</v>
      </c>
      <c r="AA77" s="15"/>
      <c r="AB77" s="15"/>
      <c r="AC77" s="15"/>
      <c r="AD77" s="15"/>
      <c r="AE77" s="14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9"/>
      <c r="BQ77" s="29"/>
      <c r="BR77" s="29"/>
      <c r="BS77" s="29"/>
    </row>
    <row r="78" customFormat="false" ht="15.65" hidden="false" customHeight="false" outlineLevel="0" collapsed="false">
      <c r="A78" s="39" t="n">
        <v>15</v>
      </c>
      <c r="B78" s="5" t="n">
        <v>4</v>
      </c>
      <c r="C78" s="5" t="n">
        <v>452956</v>
      </c>
      <c r="D78" s="5" t="n">
        <v>1</v>
      </c>
      <c r="E78" s="5" t="n">
        <v>1</v>
      </c>
      <c r="F78" s="5" t="n">
        <v>1</v>
      </c>
      <c r="G78" s="5" t="n">
        <v>1</v>
      </c>
      <c r="H78" s="5" t="n">
        <v>1</v>
      </c>
      <c r="I78" s="5" t="n">
        <v>1</v>
      </c>
      <c r="J78" s="5" t="n">
        <v>1</v>
      </c>
      <c r="K78" s="5" t="n">
        <v>1</v>
      </c>
      <c r="L78" s="5" t="n">
        <v>1</v>
      </c>
      <c r="M78" s="5" t="n">
        <v>0</v>
      </c>
      <c r="N78" s="39" t="n">
        <v>1</v>
      </c>
      <c r="O78" s="5" t="n">
        <v>0</v>
      </c>
      <c r="P78" s="12" t="s">
        <v>54</v>
      </c>
      <c r="Q78" s="12" t="s">
        <v>13</v>
      </c>
      <c r="R78" s="14"/>
      <c r="S78" s="14"/>
      <c r="T78" s="14"/>
      <c r="U78" s="5" t="n">
        <v>87</v>
      </c>
      <c r="V78" s="5" t="n">
        <v>85</v>
      </c>
      <c r="W78" s="5" t="n">
        <v>88</v>
      </c>
      <c r="X78" s="14" t="n">
        <f aca="false">SUM(R78:W78)</f>
        <v>260</v>
      </c>
      <c r="Y78" s="15" t="n">
        <f aca="false">X78/300*100</f>
        <v>86.6666666666667</v>
      </c>
      <c r="Z78" s="16" t="n">
        <v>4.5</v>
      </c>
      <c r="AA78" s="5"/>
      <c r="AB78" s="5"/>
      <c r="AC78" s="5"/>
      <c r="AD78" s="5"/>
      <c r="AE78" s="5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9"/>
      <c r="BQ78" s="29"/>
      <c r="BR78" s="29"/>
      <c r="BS78" s="29"/>
    </row>
    <row r="79" customFormat="false" ht="15.65" hidden="false" customHeight="false" outlineLevel="0" collapsed="false">
      <c r="A79" s="5" t="n">
        <v>16</v>
      </c>
      <c r="B79" s="5" t="n">
        <v>4</v>
      </c>
      <c r="C79" s="5" t="n">
        <v>490190</v>
      </c>
      <c r="D79" s="5" t="n">
        <v>1</v>
      </c>
      <c r="E79" s="5" t="n">
        <v>1</v>
      </c>
      <c r="F79" s="5" t="n">
        <v>1</v>
      </c>
      <c r="G79" s="5" t="n">
        <v>1</v>
      </c>
      <c r="H79" s="5" t="n">
        <v>1</v>
      </c>
      <c r="I79" s="5" t="n">
        <v>1</v>
      </c>
      <c r="J79" s="5" t="n">
        <v>1</v>
      </c>
      <c r="K79" s="5" t="n">
        <v>1</v>
      </c>
      <c r="L79" s="5" t="n">
        <v>1</v>
      </c>
      <c r="M79" s="5" t="n">
        <v>1</v>
      </c>
      <c r="N79" s="39" t="n">
        <v>1</v>
      </c>
      <c r="O79" s="5" t="n">
        <v>1</v>
      </c>
      <c r="P79" s="12" t="s">
        <v>39</v>
      </c>
      <c r="Q79" s="20" t="s">
        <v>5</v>
      </c>
      <c r="R79" s="14"/>
      <c r="S79" s="14"/>
      <c r="T79" s="14"/>
      <c r="U79" s="5" t="n">
        <v>86</v>
      </c>
      <c r="V79" s="5" t="n">
        <v>86</v>
      </c>
      <c r="W79" s="5" t="n">
        <v>85</v>
      </c>
      <c r="X79" s="14" t="n">
        <f aca="false">SUM(R79:W79)</f>
        <v>257</v>
      </c>
      <c r="Y79" s="15" t="n">
        <f aca="false">X79/300*100</f>
        <v>85.6666666666667</v>
      </c>
      <c r="Z79" s="16" t="n">
        <v>4.5</v>
      </c>
      <c r="AA79" s="5"/>
      <c r="AB79" s="5"/>
      <c r="AC79" s="5"/>
      <c r="AD79" s="5"/>
      <c r="AE79" s="5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  <c r="BN79" s="28"/>
      <c r="BO79" s="28"/>
      <c r="BP79" s="29"/>
      <c r="BQ79" s="29"/>
      <c r="BR79" s="29"/>
      <c r="BS79" s="29"/>
    </row>
    <row r="80" customFormat="false" ht="15.65" hidden="false" customHeight="false" outlineLevel="0" collapsed="false">
      <c r="A80" s="39" t="n">
        <v>17</v>
      </c>
      <c r="B80" s="5" t="n">
        <v>4</v>
      </c>
      <c r="C80" s="5" t="n">
        <v>434200</v>
      </c>
      <c r="D80" s="6" t="n">
        <v>1</v>
      </c>
      <c r="E80" s="6" t="n">
        <v>1</v>
      </c>
      <c r="F80" s="6" t="n">
        <v>1</v>
      </c>
      <c r="G80" s="6" t="n">
        <v>1</v>
      </c>
      <c r="H80" s="6" t="n">
        <v>1</v>
      </c>
      <c r="I80" s="5" t="n">
        <v>1</v>
      </c>
      <c r="J80" s="6" t="n">
        <v>1</v>
      </c>
      <c r="K80" s="6" t="n">
        <v>1</v>
      </c>
      <c r="L80" s="6" t="n">
        <v>1</v>
      </c>
      <c r="M80" s="6" t="n">
        <v>1</v>
      </c>
      <c r="N80" s="39" t="n">
        <v>1</v>
      </c>
      <c r="O80" s="6" t="n">
        <v>0</v>
      </c>
      <c r="P80" s="12" t="s">
        <v>51</v>
      </c>
      <c r="Q80" s="12" t="s">
        <v>11</v>
      </c>
      <c r="R80" s="14" t="n">
        <v>7</v>
      </c>
      <c r="S80" s="14" t="n">
        <v>8</v>
      </c>
      <c r="T80" s="14" t="n">
        <v>7</v>
      </c>
      <c r="U80" s="5" t="n">
        <v>84</v>
      </c>
      <c r="V80" s="5" t="n">
        <v>90</v>
      </c>
      <c r="W80" s="5" t="n">
        <v>87</v>
      </c>
      <c r="X80" s="14" t="n">
        <f aca="false">SUM(R80:W80)</f>
        <v>283</v>
      </c>
      <c r="Y80" s="15" t="n">
        <f aca="false">X80/300*100</f>
        <v>94.3333333333333</v>
      </c>
      <c r="Z80" s="16" t="n">
        <v>5</v>
      </c>
      <c r="AA80" s="5"/>
      <c r="AB80" s="5"/>
      <c r="AC80" s="5"/>
      <c r="AD80" s="5"/>
      <c r="AE80" s="5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9"/>
      <c r="BQ80" s="29"/>
      <c r="BR80" s="29"/>
      <c r="BS80" s="29"/>
    </row>
    <row r="81" customFormat="false" ht="15.65" hidden="false" customHeight="false" outlineLevel="0" collapsed="false">
      <c r="A81" s="5" t="n">
        <v>18</v>
      </c>
      <c r="B81" s="5" t="n">
        <v>4</v>
      </c>
      <c r="C81" s="5" t="n">
        <v>483936</v>
      </c>
      <c r="D81" s="5" t="n">
        <v>1</v>
      </c>
      <c r="E81" s="5" t="n">
        <v>1</v>
      </c>
      <c r="F81" s="5" t="n">
        <v>1</v>
      </c>
      <c r="G81" s="5" t="n">
        <v>1</v>
      </c>
      <c r="H81" s="5" t="n">
        <v>1</v>
      </c>
      <c r="I81" s="5" t="n">
        <v>1</v>
      </c>
      <c r="J81" s="5" t="n">
        <v>1</v>
      </c>
      <c r="K81" s="5" t="n">
        <v>1</v>
      </c>
      <c r="L81" s="5" t="n">
        <v>1</v>
      </c>
      <c r="M81" s="5" t="n">
        <v>0</v>
      </c>
      <c r="N81" s="39" t="n">
        <v>1</v>
      </c>
      <c r="O81" s="6" t="n">
        <v>1</v>
      </c>
      <c r="P81" s="30" t="s">
        <v>58</v>
      </c>
      <c r="Q81" s="30" t="s">
        <v>7</v>
      </c>
      <c r="R81" s="14" t="n">
        <v>9</v>
      </c>
      <c r="S81" s="14"/>
      <c r="T81" s="14"/>
      <c r="U81" s="5" t="n">
        <v>85</v>
      </c>
      <c r="V81" s="5" t="n">
        <v>85</v>
      </c>
      <c r="W81" s="5" t="n">
        <v>91</v>
      </c>
      <c r="X81" s="14" t="n">
        <f aca="false">SUM(R81:W81)</f>
        <v>270</v>
      </c>
      <c r="Y81" s="15" t="n">
        <f aca="false">X81/300*100</f>
        <v>90</v>
      </c>
      <c r="Z81" s="16" t="n">
        <v>5</v>
      </c>
      <c r="AA81" s="5"/>
      <c r="AB81" s="5"/>
      <c r="AC81" s="5"/>
      <c r="AD81" s="5"/>
      <c r="AE81" s="5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9"/>
      <c r="BQ81" s="29"/>
      <c r="BR81" s="29"/>
      <c r="BS81" s="29"/>
    </row>
    <row r="82" customFormat="false" ht="15.65" hidden="false" customHeight="false" outlineLevel="0" collapsed="false">
      <c r="A82" s="39" t="n">
        <v>19</v>
      </c>
      <c r="B82" s="5" t="n">
        <v>4</v>
      </c>
      <c r="C82" s="5" t="n">
        <v>488383</v>
      </c>
      <c r="D82" s="5" t="n">
        <v>0</v>
      </c>
      <c r="E82" s="5" t="n">
        <v>1</v>
      </c>
      <c r="F82" s="5" t="n">
        <v>1</v>
      </c>
      <c r="G82" s="5" t="n">
        <v>1</v>
      </c>
      <c r="H82" s="5" t="n">
        <v>1</v>
      </c>
      <c r="I82" s="5" t="n">
        <v>1</v>
      </c>
      <c r="J82" s="5" t="n">
        <v>1</v>
      </c>
      <c r="K82" s="5" t="n">
        <v>0</v>
      </c>
      <c r="L82" s="5" t="n">
        <v>0</v>
      </c>
      <c r="M82" s="5" t="n">
        <v>1</v>
      </c>
      <c r="N82" s="39" t="n">
        <v>1</v>
      </c>
      <c r="O82" s="5" t="n">
        <v>1</v>
      </c>
      <c r="P82" s="20" t="s">
        <v>40</v>
      </c>
      <c r="Q82" s="20" t="s">
        <v>12</v>
      </c>
      <c r="R82" s="14"/>
      <c r="S82" s="14"/>
      <c r="T82" s="14"/>
      <c r="U82" s="5"/>
      <c r="V82" s="5"/>
      <c r="W82" s="5"/>
      <c r="X82" s="14" t="n">
        <f aca="false">SUM(R82:W82)</f>
        <v>0</v>
      </c>
      <c r="Y82" s="15" t="n">
        <f aca="false">X82/300*100</f>
        <v>0</v>
      </c>
      <c r="Z82" s="16" t="n">
        <v>2</v>
      </c>
      <c r="AA82" s="5" t="n">
        <v>68</v>
      </c>
      <c r="AB82" s="5" t="n">
        <v>75</v>
      </c>
      <c r="AC82" s="5" t="n">
        <v>70</v>
      </c>
      <c r="AD82" s="5" t="n">
        <f aca="false">SUM(AA82:AC82)/3</f>
        <v>71</v>
      </c>
      <c r="AE82" s="5" t="n">
        <v>4</v>
      </c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9"/>
      <c r="BQ82" s="29"/>
      <c r="BR82" s="29"/>
      <c r="BS82" s="29"/>
    </row>
    <row r="83" customFormat="false" ht="15.65" hidden="false" customHeight="false" outlineLevel="0" collapsed="false">
      <c r="A83" s="5" t="n">
        <v>20</v>
      </c>
      <c r="B83" s="5" t="n">
        <v>4</v>
      </c>
      <c r="C83" s="5" t="n">
        <v>483938</v>
      </c>
      <c r="D83" s="5" t="n">
        <v>1</v>
      </c>
      <c r="E83" s="6" t="n">
        <v>1</v>
      </c>
      <c r="F83" s="6" t="n">
        <v>1</v>
      </c>
      <c r="G83" s="6" t="n">
        <v>1</v>
      </c>
      <c r="H83" s="6" t="n">
        <v>1</v>
      </c>
      <c r="I83" s="5" t="n">
        <v>1</v>
      </c>
      <c r="J83" s="6" t="n">
        <v>1</v>
      </c>
      <c r="K83" s="6" t="n">
        <v>1</v>
      </c>
      <c r="L83" s="6" t="n">
        <v>1</v>
      </c>
      <c r="M83" s="6" t="n">
        <v>1</v>
      </c>
      <c r="N83" s="39" t="n">
        <v>1</v>
      </c>
      <c r="O83" s="6" t="n">
        <v>1</v>
      </c>
      <c r="P83" s="12" t="s">
        <v>43</v>
      </c>
      <c r="Q83" s="12" t="s">
        <v>4</v>
      </c>
      <c r="R83" s="14"/>
      <c r="S83" s="14"/>
      <c r="T83" s="14"/>
      <c r="U83" s="5" t="n">
        <v>90</v>
      </c>
      <c r="V83" s="5" t="n">
        <v>80</v>
      </c>
      <c r="W83" s="5" t="n">
        <v>76</v>
      </c>
      <c r="X83" s="14" t="n">
        <f aca="false">SUM(R83:W83)</f>
        <v>246</v>
      </c>
      <c r="Y83" s="15" t="n">
        <f aca="false">X83/300*100</f>
        <v>82</v>
      </c>
      <c r="Z83" s="16" t="n">
        <v>4.5</v>
      </c>
      <c r="AA83" s="5"/>
      <c r="AB83" s="5"/>
      <c r="AC83" s="5"/>
      <c r="AD83" s="5"/>
      <c r="AE83" s="5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  <c r="BN83" s="28"/>
      <c r="BO83" s="28"/>
      <c r="BP83" s="29"/>
      <c r="BQ83" s="29"/>
      <c r="BR83" s="29"/>
      <c r="BS83" s="29"/>
    </row>
    <row r="84" customFormat="false" ht="15.65" hidden="false" customHeight="false" outlineLevel="0" collapsed="false">
      <c r="A84" s="39" t="n">
        <v>21</v>
      </c>
      <c r="B84" s="5" t="n">
        <v>4</v>
      </c>
      <c r="C84" s="5" t="n">
        <v>427849</v>
      </c>
      <c r="D84" s="5" t="n">
        <v>1</v>
      </c>
      <c r="E84" s="5" t="n">
        <v>1</v>
      </c>
      <c r="F84" s="5" t="n">
        <v>1</v>
      </c>
      <c r="G84" s="5" t="n">
        <v>1</v>
      </c>
      <c r="H84" s="5" t="n">
        <v>1</v>
      </c>
      <c r="I84" s="5" t="n">
        <v>1</v>
      </c>
      <c r="J84" s="5" t="n">
        <v>1</v>
      </c>
      <c r="K84" s="5" t="n">
        <v>1</v>
      </c>
      <c r="L84" s="5" t="n">
        <v>1</v>
      </c>
      <c r="M84" s="5" t="n">
        <v>1</v>
      </c>
      <c r="N84" s="39" t="n">
        <v>1</v>
      </c>
      <c r="O84" s="5" t="n">
        <v>0</v>
      </c>
      <c r="P84" s="12" t="s">
        <v>34</v>
      </c>
      <c r="Q84" s="12" t="s">
        <v>12</v>
      </c>
      <c r="R84" s="14"/>
      <c r="S84" s="14"/>
      <c r="T84" s="14"/>
      <c r="U84" s="5"/>
      <c r="V84" s="5"/>
      <c r="W84" s="5"/>
      <c r="X84" s="14" t="n">
        <f aca="false">SUM(R84:W84)</f>
        <v>0</v>
      </c>
      <c r="Y84" s="15" t="n">
        <f aca="false">X84/300*100</f>
        <v>0</v>
      </c>
      <c r="Z84" s="16" t="n">
        <v>2</v>
      </c>
      <c r="AA84" s="5"/>
      <c r="AB84" s="5"/>
      <c r="AC84" s="5"/>
      <c r="AD84" s="5"/>
      <c r="AE84" s="5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9"/>
      <c r="BQ84" s="29"/>
      <c r="BR84" s="29"/>
      <c r="BS84" s="29"/>
    </row>
    <row r="85" customFormat="false" ht="15.65" hidden="false" customHeight="false" outlineLevel="0" collapsed="false">
      <c r="A85" s="5" t="n">
        <v>22</v>
      </c>
      <c r="B85" s="5" t="n">
        <v>4</v>
      </c>
      <c r="C85" s="5" t="n">
        <v>488209</v>
      </c>
      <c r="D85" s="39" t="n">
        <v>1</v>
      </c>
      <c r="E85" s="39" t="n">
        <v>1</v>
      </c>
      <c r="F85" s="39" t="n">
        <v>1</v>
      </c>
      <c r="G85" s="39" t="n">
        <v>1</v>
      </c>
      <c r="H85" s="39" t="n">
        <v>1</v>
      </c>
      <c r="I85" s="5" t="n">
        <v>1</v>
      </c>
      <c r="J85" s="39" t="n">
        <v>1</v>
      </c>
      <c r="K85" s="39" t="n">
        <v>1</v>
      </c>
      <c r="L85" s="39" t="n">
        <v>1</v>
      </c>
      <c r="M85" s="39" t="n">
        <v>0</v>
      </c>
      <c r="N85" s="39" t="n">
        <v>1</v>
      </c>
      <c r="O85" s="39" t="n">
        <v>0</v>
      </c>
      <c r="P85" s="12" t="s">
        <v>45</v>
      </c>
      <c r="Q85" s="12" t="s">
        <v>6</v>
      </c>
      <c r="R85" s="14"/>
      <c r="S85" s="14"/>
      <c r="T85" s="14"/>
      <c r="U85" s="5" t="n">
        <v>92</v>
      </c>
      <c r="V85" s="5" t="n">
        <v>88</v>
      </c>
      <c r="W85" s="5" t="n">
        <v>90</v>
      </c>
      <c r="X85" s="14" t="n">
        <f aca="false">SUM(R85:W85)</f>
        <v>270</v>
      </c>
      <c r="Y85" s="15" t="n">
        <f aca="false">X85/300*100</f>
        <v>90</v>
      </c>
      <c r="Z85" s="16" t="n">
        <v>5</v>
      </c>
      <c r="AA85" s="5"/>
      <c r="AB85" s="5"/>
      <c r="AC85" s="5"/>
      <c r="AD85" s="5"/>
      <c r="AE85" s="5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  <c r="BN85" s="28"/>
      <c r="BO85" s="28"/>
      <c r="BP85" s="29"/>
      <c r="BQ85" s="29"/>
      <c r="BR85" s="29"/>
      <c r="BS85" s="29"/>
    </row>
    <row r="86" customFormat="false" ht="15.65" hidden="false" customHeight="false" outlineLevel="0" collapsed="false">
      <c r="A86" s="39" t="n">
        <v>23</v>
      </c>
      <c r="B86" s="5" t="n">
        <v>4</v>
      </c>
      <c r="C86" s="5" t="n">
        <v>482247</v>
      </c>
      <c r="D86" s="39"/>
      <c r="E86" s="39"/>
      <c r="F86" s="39"/>
      <c r="G86" s="39"/>
      <c r="H86" s="39"/>
      <c r="I86" s="5"/>
      <c r="J86" s="39"/>
      <c r="K86" s="39"/>
      <c r="L86" s="39"/>
      <c r="M86" s="39"/>
      <c r="N86" s="39" t="n">
        <v>1</v>
      </c>
      <c r="O86" s="39" t="n">
        <v>1</v>
      </c>
      <c r="P86" s="12" t="s">
        <v>35</v>
      </c>
      <c r="Q86" s="12" t="s">
        <v>14</v>
      </c>
      <c r="R86" s="14"/>
      <c r="S86" s="14"/>
      <c r="T86" s="14"/>
      <c r="U86" s="5" t="n">
        <v>78</v>
      </c>
      <c r="V86" s="5" t="n">
        <v>83</v>
      </c>
      <c r="W86" s="5"/>
      <c r="X86" s="14" t="n">
        <f aca="false">SUM(R86:W86)</f>
        <v>161</v>
      </c>
      <c r="Y86" s="15" t="n">
        <f aca="false">X86/300*100</f>
        <v>53.6666666666667</v>
      </c>
      <c r="Z86" s="16" t="n">
        <v>3</v>
      </c>
      <c r="AA86" s="5"/>
      <c r="AB86" s="5"/>
      <c r="AC86" s="5"/>
      <c r="AD86" s="5"/>
      <c r="AE86" s="5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  <c r="BN86" s="28"/>
      <c r="BO86" s="28"/>
      <c r="BP86" s="29"/>
      <c r="BQ86" s="29"/>
      <c r="BR86" s="29"/>
      <c r="BS86" s="29"/>
    </row>
    <row r="87" customFormat="false" ht="15.65" hidden="false" customHeight="false" outlineLevel="0" collapsed="false">
      <c r="A87" s="5" t="n">
        <v>24</v>
      </c>
      <c r="B87" s="5" t="n">
        <v>4</v>
      </c>
      <c r="C87" s="5" t="n">
        <v>483932</v>
      </c>
      <c r="D87" s="5" t="n">
        <v>1</v>
      </c>
      <c r="E87" s="5" t="n">
        <v>1</v>
      </c>
      <c r="F87" s="5" t="n">
        <v>0</v>
      </c>
      <c r="G87" s="5" t="n">
        <v>1</v>
      </c>
      <c r="H87" s="5" t="n">
        <v>1</v>
      </c>
      <c r="I87" s="5" t="n">
        <v>1</v>
      </c>
      <c r="J87" s="5" t="n">
        <v>1</v>
      </c>
      <c r="K87" s="5" t="n">
        <v>1</v>
      </c>
      <c r="L87" s="5" t="n">
        <v>1</v>
      </c>
      <c r="M87" s="5" t="n">
        <v>0</v>
      </c>
      <c r="N87" s="39" t="n">
        <v>1</v>
      </c>
      <c r="O87" s="5" t="n">
        <v>1</v>
      </c>
      <c r="P87" s="12" t="s">
        <v>48</v>
      </c>
      <c r="Q87" s="20" t="s">
        <v>5</v>
      </c>
      <c r="R87" s="14"/>
      <c r="S87" s="14"/>
      <c r="T87" s="14"/>
      <c r="U87" s="5" t="n">
        <v>86</v>
      </c>
      <c r="V87" s="5" t="n">
        <v>79</v>
      </c>
      <c r="W87" s="5" t="n">
        <v>87</v>
      </c>
      <c r="X87" s="14" t="n">
        <f aca="false">SUM(R87:W87)</f>
        <v>252</v>
      </c>
      <c r="Y87" s="15" t="n">
        <f aca="false">X87/300*100</f>
        <v>84</v>
      </c>
      <c r="Z87" s="16" t="n">
        <v>4.5</v>
      </c>
      <c r="AA87" s="5"/>
      <c r="AB87" s="5"/>
      <c r="AC87" s="5"/>
      <c r="AD87" s="5"/>
      <c r="AE87" s="5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  <c r="BN87" s="28"/>
      <c r="BO87" s="28"/>
      <c r="BP87" s="29"/>
      <c r="BQ87" s="29"/>
      <c r="BR87" s="29"/>
      <c r="BS87" s="29"/>
    </row>
    <row r="88" customFormat="false" ht="15.65" hidden="false" customHeight="false" outlineLevel="0" collapsed="false">
      <c r="A88" s="39" t="n">
        <v>25</v>
      </c>
      <c r="B88" s="5" t="n">
        <v>4</v>
      </c>
      <c r="C88" s="5" t="n">
        <v>442114</v>
      </c>
      <c r="D88" s="5" t="n">
        <v>1</v>
      </c>
      <c r="E88" s="5" t="n">
        <v>1</v>
      </c>
      <c r="F88" s="5" t="n">
        <v>1</v>
      </c>
      <c r="G88" s="5" t="n">
        <v>1</v>
      </c>
      <c r="H88" s="5" t="n">
        <v>0</v>
      </c>
      <c r="I88" s="5" t="n">
        <v>1</v>
      </c>
      <c r="J88" s="5" t="n">
        <v>1</v>
      </c>
      <c r="K88" s="5" t="n">
        <v>1</v>
      </c>
      <c r="L88" s="5" t="n">
        <v>1</v>
      </c>
      <c r="M88" s="5" t="n">
        <v>1</v>
      </c>
      <c r="N88" s="39" t="n">
        <v>1</v>
      </c>
      <c r="O88" s="5" t="n">
        <v>0</v>
      </c>
      <c r="P88" s="12" t="s">
        <v>56</v>
      </c>
      <c r="Q88" s="12" t="s">
        <v>11</v>
      </c>
      <c r="R88" s="14"/>
      <c r="S88" s="14"/>
      <c r="T88" s="14"/>
      <c r="U88" s="5" t="n">
        <v>87</v>
      </c>
      <c r="V88" s="5" t="n">
        <v>85</v>
      </c>
      <c r="W88" s="5" t="n">
        <v>88</v>
      </c>
      <c r="X88" s="14" t="n">
        <f aca="false">SUM(R88:W88)</f>
        <v>260</v>
      </c>
      <c r="Y88" s="15" t="n">
        <f aca="false">X88/300*100</f>
        <v>86.6666666666667</v>
      </c>
      <c r="Z88" s="16" t="n">
        <v>4.5</v>
      </c>
      <c r="AA88" s="5"/>
      <c r="AB88" s="5"/>
      <c r="AC88" s="5"/>
      <c r="AD88" s="5"/>
      <c r="AE88" s="5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9"/>
      <c r="BQ88" s="29"/>
      <c r="BR88" s="29"/>
      <c r="BS88" s="29"/>
    </row>
    <row r="89" customFormat="false" ht="15.65" hidden="false" customHeight="false" outlineLevel="0" collapsed="false">
      <c r="A89" s="5" t="n">
        <v>26</v>
      </c>
      <c r="B89" s="5" t="n">
        <v>4</v>
      </c>
      <c r="C89" s="5" t="n">
        <v>485314</v>
      </c>
      <c r="D89" s="5" t="n">
        <v>1</v>
      </c>
      <c r="E89" s="5" t="n">
        <v>0</v>
      </c>
      <c r="F89" s="5" t="n">
        <v>1</v>
      </c>
      <c r="G89" s="5" t="n">
        <v>1</v>
      </c>
      <c r="H89" s="5" t="n">
        <v>1</v>
      </c>
      <c r="I89" s="5" t="n">
        <v>1</v>
      </c>
      <c r="J89" s="5" t="n">
        <v>1</v>
      </c>
      <c r="K89" s="5" t="n">
        <v>1</v>
      </c>
      <c r="L89" s="5" t="n">
        <v>1</v>
      </c>
      <c r="M89" s="5" t="n">
        <v>1</v>
      </c>
      <c r="N89" s="39" t="n">
        <v>1</v>
      </c>
      <c r="O89" s="5" t="n">
        <v>1</v>
      </c>
      <c r="P89" s="12" t="s">
        <v>46</v>
      </c>
      <c r="Q89" s="12" t="s">
        <v>10</v>
      </c>
      <c r="R89" s="14" t="n">
        <v>8</v>
      </c>
      <c r="S89" s="14"/>
      <c r="T89" s="14"/>
      <c r="U89" s="5" t="n">
        <v>85</v>
      </c>
      <c r="V89" s="5" t="n">
        <v>86</v>
      </c>
      <c r="W89" s="5" t="n">
        <v>92</v>
      </c>
      <c r="X89" s="14" t="n">
        <f aca="false">SUM(R89:W89)</f>
        <v>271</v>
      </c>
      <c r="Y89" s="15" t="n">
        <f aca="false">X89/300*100</f>
        <v>90.3333333333333</v>
      </c>
      <c r="Z89" s="16" t="n">
        <v>5</v>
      </c>
      <c r="AA89" s="5"/>
      <c r="AB89" s="5"/>
      <c r="AC89" s="5"/>
      <c r="AD89" s="5"/>
      <c r="AE89" s="5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  <c r="BN89" s="28"/>
      <c r="BO89" s="28"/>
      <c r="BP89" s="29"/>
      <c r="BQ89" s="29"/>
      <c r="BR89" s="29"/>
      <c r="BS89" s="29"/>
    </row>
    <row r="90" customFormat="false" ht="15" hidden="false" customHeight="false" outlineLevel="0" collapsed="false">
      <c r="A90" s="70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1"/>
      <c r="S90" s="71"/>
      <c r="T90" s="71"/>
      <c r="U90" s="70"/>
      <c r="V90" s="70"/>
      <c r="W90" s="70"/>
      <c r="X90" s="70"/>
      <c r="Y90" s="72"/>
      <c r="Z90" s="70"/>
      <c r="AA90" s="70"/>
      <c r="AB90" s="70"/>
      <c r="AC90" s="70"/>
      <c r="AD90" s="70"/>
      <c r="AE90" s="70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  <c r="BN90" s="28"/>
      <c r="BO90" s="28"/>
      <c r="BP90" s="29"/>
      <c r="BQ90" s="29"/>
      <c r="BR90" s="29"/>
      <c r="BS90" s="29"/>
    </row>
    <row r="91" customFormat="false" ht="15" hidden="false" customHeight="false" outlineLevel="0" collapsed="false">
      <c r="A91" s="70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1"/>
      <c r="S91" s="71"/>
      <c r="T91" s="71"/>
      <c r="U91" s="70"/>
      <c r="V91" s="70"/>
      <c r="W91" s="70"/>
      <c r="X91" s="70"/>
      <c r="Y91" s="72"/>
      <c r="Z91" s="70"/>
      <c r="AA91" s="70"/>
      <c r="AB91" s="70"/>
      <c r="AC91" s="70"/>
      <c r="AD91" s="70"/>
      <c r="AE91" s="70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  <c r="BN91" s="28"/>
      <c r="BO91" s="28"/>
      <c r="BP91" s="29"/>
      <c r="BQ91" s="29"/>
      <c r="BR91" s="29"/>
      <c r="BS91" s="29"/>
    </row>
    <row r="92" customFormat="false" ht="15" hidden="false" customHeight="false" outlineLevel="0" collapsed="false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1"/>
      <c r="S92" s="71"/>
      <c r="T92" s="71"/>
      <c r="U92" s="70"/>
      <c r="V92" s="70"/>
      <c r="W92" s="70"/>
      <c r="X92" s="70"/>
      <c r="Y92" s="72"/>
      <c r="Z92" s="70"/>
      <c r="AA92" s="70"/>
      <c r="AB92" s="70"/>
      <c r="AC92" s="70"/>
      <c r="AD92" s="70"/>
      <c r="AE92" s="70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  <c r="BN92" s="28"/>
      <c r="BO92" s="28"/>
      <c r="BP92" s="29"/>
      <c r="BQ92" s="29"/>
      <c r="BR92" s="29"/>
      <c r="BS92" s="29"/>
    </row>
    <row r="93" customFormat="false" ht="15" hidden="false" customHeight="false" outlineLevel="0" collapsed="false">
      <c r="A93" s="70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1"/>
      <c r="S93" s="71"/>
      <c r="T93" s="71"/>
      <c r="U93" s="70"/>
      <c r="V93" s="70"/>
      <c r="W93" s="70"/>
      <c r="X93" s="70"/>
      <c r="Y93" s="72"/>
      <c r="Z93" s="70"/>
      <c r="AA93" s="70"/>
      <c r="AB93" s="70"/>
      <c r="AC93" s="70"/>
      <c r="AD93" s="70"/>
      <c r="AE93" s="70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  <c r="BN93" s="28"/>
      <c r="BO93" s="28"/>
      <c r="BP93" s="29"/>
      <c r="BQ93" s="29"/>
      <c r="BR93" s="29"/>
      <c r="BS93" s="29"/>
    </row>
    <row r="94" customFormat="false" ht="15" hidden="false" customHeight="false" outlineLevel="0" collapsed="false">
      <c r="A94" s="70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1"/>
      <c r="S94" s="71"/>
      <c r="T94" s="71"/>
      <c r="U94" s="70"/>
      <c r="V94" s="70"/>
      <c r="W94" s="70"/>
      <c r="X94" s="70"/>
      <c r="Y94" s="72"/>
      <c r="Z94" s="70"/>
      <c r="AA94" s="70"/>
      <c r="AB94" s="70"/>
      <c r="AC94" s="70"/>
      <c r="AD94" s="70"/>
      <c r="AE94" s="70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  <c r="BN94" s="28"/>
      <c r="BO94" s="28"/>
      <c r="BP94" s="29"/>
      <c r="BQ94" s="29"/>
      <c r="BR94" s="29"/>
      <c r="BS94" s="29"/>
    </row>
    <row r="95" customFormat="false" ht="15" hidden="false" customHeight="false" outlineLevel="0" collapsed="false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1"/>
      <c r="S95" s="71"/>
      <c r="T95" s="71"/>
      <c r="U95" s="70"/>
      <c r="V95" s="70"/>
      <c r="W95" s="70"/>
      <c r="X95" s="70"/>
      <c r="Y95" s="72"/>
      <c r="Z95" s="70"/>
      <c r="AA95" s="70"/>
      <c r="AB95" s="70"/>
      <c r="AC95" s="70"/>
      <c r="AD95" s="70"/>
      <c r="AE95" s="70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  <c r="BN95" s="28"/>
      <c r="BO95" s="28"/>
      <c r="BP95" s="29"/>
      <c r="BQ95" s="29"/>
      <c r="BR95" s="29"/>
      <c r="BS95" s="29"/>
    </row>
    <row r="96" customFormat="false" ht="15" hidden="false" customHeight="false" outlineLevel="0" collapsed="false">
      <c r="A96" s="70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1"/>
      <c r="S96" s="71"/>
      <c r="T96" s="71"/>
      <c r="U96" s="70"/>
      <c r="V96" s="70"/>
      <c r="W96" s="70"/>
      <c r="X96" s="70"/>
      <c r="Y96" s="72"/>
      <c r="Z96" s="70"/>
      <c r="AA96" s="70"/>
      <c r="AB96" s="70"/>
      <c r="AC96" s="70"/>
      <c r="AD96" s="70"/>
      <c r="AE96" s="70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  <c r="BN96" s="28"/>
      <c r="BO96" s="28"/>
      <c r="BP96" s="29"/>
      <c r="BQ96" s="29"/>
      <c r="BR96" s="29"/>
      <c r="BS96" s="29"/>
    </row>
    <row r="97" customFormat="false" ht="15" hidden="false" customHeight="false" outlineLevel="0" collapsed="false">
      <c r="A97" s="70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1"/>
      <c r="S97" s="71"/>
      <c r="T97" s="71"/>
      <c r="U97" s="70"/>
      <c r="V97" s="70"/>
      <c r="W97" s="70"/>
      <c r="X97" s="70"/>
      <c r="Y97" s="72"/>
      <c r="Z97" s="70"/>
      <c r="AA97" s="70"/>
      <c r="AB97" s="70"/>
      <c r="AC97" s="70"/>
      <c r="AD97" s="70"/>
      <c r="AE97" s="70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  <c r="BN97" s="28"/>
      <c r="BO97" s="28"/>
      <c r="BP97" s="29"/>
      <c r="BQ97" s="29"/>
      <c r="BR97" s="29"/>
      <c r="BS97" s="29"/>
    </row>
    <row r="98" customFormat="false" ht="15" hidden="false" customHeight="false" outlineLevel="0" collapsed="false">
      <c r="A98" s="70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1"/>
      <c r="S98" s="71"/>
      <c r="T98" s="71"/>
      <c r="U98" s="70"/>
      <c r="V98" s="70"/>
      <c r="W98" s="70"/>
      <c r="X98" s="70"/>
      <c r="Y98" s="72"/>
      <c r="Z98" s="70"/>
      <c r="AA98" s="70"/>
      <c r="AB98" s="70"/>
      <c r="AC98" s="70"/>
      <c r="AD98" s="70"/>
      <c r="AE98" s="70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  <c r="BN98" s="28"/>
      <c r="BO98" s="28"/>
      <c r="BP98" s="29"/>
      <c r="BQ98" s="29"/>
      <c r="BR98" s="29"/>
      <c r="BS98" s="29"/>
    </row>
    <row r="99" customFormat="false" ht="15" hidden="false" customHeight="false" outlineLevel="0" collapsed="false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1"/>
      <c r="S99" s="71"/>
      <c r="T99" s="71"/>
      <c r="U99" s="70"/>
      <c r="V99" s="70"/>
      <c r="W99" s="70"/>
      <c r="X99" s="70"/>
      <c r="Y99" s="72"/>
      <c r="Z99" s="70"/>
      <c r="AA99" s="70"/>
      <c r="AB99" s="70"/>
      <c r="AC99" s="70"/>
      <c r="AD99" s="70"/>
      <c r="AE99" s="70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  <c r="BN99" s="28"/>
      <c r="BO99" s="28"/>
      <c r="BP99" s="29"/>
      <c r="BQ99" s="29"/>
      <c r="BR99" s="29"/>
      <c r="BS99" s="29"/>
    </row>
    <row r="100" customFormat="false" ht="15" hidden="false" customHeight="false" outlineLevel="0" collapsed="false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1"/>
      <c r="S100" s="71"/>
      <c r="T100" s="71"/>
      <c r="U100" s="70"/>
      <c r="V100" s="70"/>
      <c r="W100" s="70"/>
      <c r="X100" s="70"/>
      <c r="Y100" s="72"/>
      <c r="Z100" s="70"/>
      <c r="AA100" s="70"/>
      <c r="AB100" s="70"/>
      <c r="AC100" s="70"/>
      <c r="AD100" s="70"/>
      <c r="AE100" s="70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  <c r="BN100" s="28"/>
      <c r="BO100" s="28"/>
      <c r="BP100" s="29"/>
      <c r="BQ100" s="29"/>
      <c r="BR100" s="29"/>
      <c r="BS100" s="29"/>
    </row>
    <row r="101" customFormat="false" ht="15" hidden="false" customHeight="false" outlineLevel="0" collapsed="false">
      <c r="A101" s="70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1"/>
      <c r="S101" s="71"/>
      <c r="T101" s="71"/>
      <c r="U101" s="70"/>
      <c r="V101" s="70"/>
      <c r="W101" s="70"/>
      <c r="X101" s="70"/>
      <c r="Y101" s="72"/>
      <c r="Z101" s="70"/>
      <c r="AA101" s="70"/>
      <c r="AB101" s="70"/>
      <c r="AC101" s="70"/>
      <c r="AD101" s="70"/>
      <c r="AE101" s="70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  <c r="BN101" s="28"/>
      <c r="BO101" s="28"/>
      <c r="BP101" s="29"/>
      <c r="BQ101" s="29"/>
      <c r="BR101" s="29"/>
      <c r="BS101" s="29"/>
    </row>
    <row r="102" customFormat="false" ht="15" hidden="false" customHeight="false" outlineLevel="0" collapsed="false">
      <c r="A102" s="70"/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1"/>
      <c r="S102" s="71"/>
      <c r="T102" s="71"/>
      <c r="U102" s="70"/>
      <c r="V102" s="70"/>
      <c r="W102" s="70"/>
      <c r="X102" s="70"/>
      <c r="Y102" s="72"/>
      <c r="Z102" s="70"/>
      <c r="AA102" s="70"/>
      <c r="AB102" s="70"/>
      <c r="AC102" s="70"/>
      <c r="AD102" s="70"/>
      <c r="AE102" s="70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  <c r="BN102" s="28"/>
      <c r="BO102" s="28"/>
      <c r="BP102" s="29"/>
      <c r="BQ102" s="29"/>
      <c r="BR102" s="29"/>
      <c r="BS102" s="29"/>
    </row>
    <row r="103" customFormat="false" ht="15" hidden="false" customHeight="false" outlineLevel="0" collapsed="false">
      <c r="A103" s="70"/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1"/>
      <c r="S103" s="71"/>
      <c r="T103" s="71"/>
      <c r="U103" s="70"/>
      <c r="V103" s="70"/>
      <c r="W103" s="70"/>
      <c r="X103" s="70"/>
      <c r="Y103" s="72"/>
      <c r="Z103" s="70"/>
      <c r="AA103" s="70"/>
      <c r="AB103" s="70"/>
      <c r="AC103" s="70"/>
      <c r="AD103" s="70"/>
      <c r="AE103" s="70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9"/>
      <c r="BQ103" s="29"/>
      <c r="BR103" s="29"/>
      <c r="BS103" s="29"/>
    </row>
    <row r="104" customFormat="false" ht="15" hidden="false" customHeight="false" outlineLevel="0" collapsed="false">
      <c r="A104" s="70"/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1"/>
      <c r="S104" s="71"/>
      <c r="T104" s="71"/>
      <c r="U104" s="70"/>
      <c r="V104" s="70"/>
      <c r="W104" s="70"/>
      <c r="X104" s="70"/>
      <c r="Y104" s="72"/>
      <c r="Z104" s="70"/>
      <c r="AA104" s="70"/>
      <c r="AB104" s="70"/>
      <c r="AC104" s="70"/>
      <c r="AD104" s="70"/>
      <c r="AE104" s="70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  <c r="BN104" s="28"/>
      <c r="BO104" s="28"/>
      <c r="BP104" s="29"/>
      <c r="BQ104" s="29"/>
      <c r="BR104" s="29"/>
      <c r="BS104" s="29"/>
    </row>
    <row r="105" customFormat="false" ht="15" hidden="false" customHeight="false" outlineLevel="0" collapsed="false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1"/>
      <c r="S105" s="71"/>
      <c r="T105" s="71"/>
      <c r="U105" s="70"/>
      <c r="V105" s="70"/>
      <c r="W105" s="70"/>
      <c r="X105" s="70"/>
      <c r="Y105" s="72"/>
      <c r="Z105" s="70"/>
      <c r="AA105" s="70"/>
      <c r="AB105" s="70"/>
      <c r="AC105" s="70"/>
      <c r="AD105" s="70"/>
      <c r="AE105" s="70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  <c r="BN105" s="28"/>
      <c r="BO105" s="28"/>
      <c r="BP105" s="29"/>
      <c r="BQ105" s="29"/>
      <c r="BR105" s="29"/>
      <c r="BS105" s="29"/>
    </row>
    <row r="106" customFormat="false" ht="15" hidden="false" customHeight="false" outlineLevel="0" collapsed="false">
      <c r="A106" s="70"/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1"/>
      <c r="S106" s="71"/>
      <c r="T106" s="71"/>
      <c r="U106" s="70"/>
      <c r="V106" s="70"/>
      <c r="W106" s="70"/>
      <c r="X106" s="70"/>
      <c r="Y106" s="72"/>
      <c r="Z106" s="70"/>
      <c r="AA106" s="70"/>
      <c r="AB106" s="70"/>
      <c r="AC106" s="70"/>
      <c r="AD106" s="70"/>
      <c r="AE106" s="70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  <c r="BN106" s="28"/>
      <c r="BO106" s="28"/>
      <c r="BP106" s="29"/>
      <c r="BQ106" s="29"/>
      <c r="BR106" s="29"/>
      <c r="BS106" s="29"/>
    </row>
    <row r="107" customFormat="false" ht="15" hidden="false" customHeight="false" outlineLevel="0" collapsed="false">
      <c r="A107" s="70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1"/>
      <c r="S107" s="71"/>
      <c r="T107" s="71"/>
      <c r="U107" s="70"/>
      <c r="V107" s="70"/>
      <c r="W107" s="70"/>
      <c r="X107" s="70"/>
      <c r="Y107" s="72"/>
      <c r="Z107" s="70"/>
      <c r="AA107" s="70"/>
      <c r="AB107" s="70"/>
      <c r="AC107" s="70"/>
      <c r="AD107" s="70"/>
      <c r="AE107" s="70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  <c r="BN107" s="28"/>
      <c r="BO107" s="28"/>
      <c r="BP107" s="29"/>
      <c r="BQ107" s="29"/>
      <c r="BR107" s="29"/>
      <c r="BS107" s="29"/>
    </row>
    <row r="108" customFormat="false" ht="15" hidden="false" customHeight="false" outlineLevel="0" collapsed="false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1"/>
      <c r="S108" s="71"/>
      <c r="T108" s="71"/>
      <c r="U108" s="70"/>
      <c r="V108" s="70"/>
      <c r="W108" s="70"/>
      <c r="X108" s="70"/>
      <c r="Y108" s="72"/>
      <c r="Z108" s="70"/>
      <c r="AA108" s="70"/>
      <c r="AB108" s="70"/>
      <c r="AC108" s="70"/>
      <c r="AD108" s="70"/>
      <c r="AE108" s="70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  <c r="BN108" s="28"/>
      <c r="BO108" s="28"/>
      <c r="BP108" s="29"/>
      <c r="BQ108" s="29"/>
      <c r="BR108" s="29"/>
      <c r="BS108" s="29"/>
    </row>
    <row r="109" customFormat="false" ht="15" hidden="false" customHeight="false" outlineLevel="0" collapsed="false">
      <c r="A109" s="70"/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1"/>
      <c r="S109" s="71"/>
      <c r="T109" s="71"/>
      <c r="U109" s="70"/>
      <c r="V109" s="70"/>
      <c r="W109" s="70"/>
      <c r="X109" s="70"/>
      <c r="Y109" s="72"/>
      <c r="Z109" s="70"/>
      <c r="AA109" s="70"/>
      <c r="AB109" s="70"/>
      <c r="AC109" s="70"/>
      <c r="AD109" s="70"/>
      <c r="AE109" s="70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  <c r="BN109" s="28"/>
      <c r="BO109" s="28"/>
      <c r="BP109" s="29"/>
      <c r="BQ109" s="29"/>
      <c r="BR109" s="29"/>
      <c r="BS109" s="29"/>
    </row>
    <row r="110" customFormat="false" ht="15" hidden="false" customHeight="false" outlineLevel="0" collapsed="false">
      <c r="A110" s="70"/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1"/>
      <c r="S110" s="71"/>
      <c r="T110" s="71"/>
      <c r="U110" s="70"/>
      <c r="V110" s="70"/>
      <c r="W110" s="70"/>
      <c r="X110" s="70"/>
      <c r="Y110" s="72"/>
      <c r="Z110" s="70"/>
      <c r="AA110" s="70"/>
      <c r="AB110" s="70"/>
      <c r="AC110" s="70"/>
      <c r="AD110" s="70"/>
      <c r="AE110" s="70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  <c r="BN110" s="28"/>
      <c r="BO110" s="28"/>
      <c r="BP110" s="29"/>
      <c r="BQ110" s="29"/>
      <c r="BR110" s="29"/>
      <c r="BS110" s="29"/>
    </row>
    <row r="111" customFormat="false" ht="15" hidden="false" customHeight="false" outlineLevel="0" collapsed="false">
      <c r="A111" s="70"/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1"/>
      <c r="S111" s="71"/>
      <c r="T111" s="71"/>
      <c r="U111" s="70"/>
      <c r="V111" s="70"/>
      <c r="W111" s="70"/>
      <c r="X111" s="70"/>
      <c r="Y111" s="72"/>
      <c r="Z111" s="70"/>
      <c r="AA111" s="70"/>
      <c r="AB111" s="70"/>
      <c r="AC111" s="70"/>
      <c r="AD111" s="70"/>
      <c r="AE111" s="70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  <c r="BN111" s="28"/>
      <c r="BO111" s="28"/>
      <c r="BP111" s="29"/>
      <c r="BQ111" s="29"/>
      <c r="BR111" s="29"/>
      <c r="BS111" s="29"/>
    </row>
    <row r="112" customFormat="false" ht="15" hidden="false" customHeight="false" outlineLevel="0" collapsed="false">
      <c r="A112" s="70"/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1"/>
      <c r="S112" s="71"/>
      <c r="T112" s="71"/>
      <c r="U112" s="70"/>
      <c r="V112" s="70"/>
      <c r="W112" s="70"/>
      <c r="X112" s="70"/>
      <c r="Y112" s="72"/>
      <c r="Z112" s="70"/>
      <c r="AA112" s="70"/>
      <c r="AB112" s="70"/>
      <c r="AC112" s="70"/>
      <c r="AD112" s="70"/>
      <c r="AE112" s="70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  <c r="BN112" s="28"/>
      <c r="BO112" s="28"/>
      <c r="BP112" s="29"/>
      <c r="BQ112" s="29"/>
      <c r="BR112" s="29"/>
      <c r="BS112" s="29"/>
    </row>
    <row r="113" customFormat="false" ht="15" hidden="false" customHeight="false" outlineLevel="0" collapsed="false">
      <c r="A113" s="70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1"/>
      <c r="S113" s="71"/>
      <c r="T113" s="71"/>
      <c r="U113" s="70"/>
      <c r="V113" s="70"/>
      <c r="W113" s="70"/>
      <c r="X113" s="70"/>
      <c r="Y113" s="72"/>
      <c r="Z113" s="70"/>
      <c r="AA113" s="70"/>
      <c r="AB113" s="70"/>
      <c r="AC113" s="70"/>
      <c r="AD113" s="70"/>
      <c r="AE113" s="70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  <c r="BN113" s="28"/>
      <c r="BO113" s="28"/>
      <c r="BP113" s="29"/>
      <c r="BQ113" s="29"/>
      <c r="BR113" s="29"/>
      <c r="BS113" s="29"/>
    </row>
    <row r="114" customFormat="false" ht="15" hidden="false" customHeight="false" outlineLevel="0" collapsed="false">
      <c r="A114" s="70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1"/>
      <c r="S114" s="71"/>
      <c r="T114" s="71"/>
      <c r="U114" s="70"/>
      <c r="V114" s="70"/>
      <c r="W114" s="70"/>
      <c r="X114" s="70"/>
      <c r="Y114" s="72"/>
      <c r="Z114" s="70"/>
      <c r="AA114" s="70"/>
      <c r="AB114" s="70"/>
      <c r="AC114" s="70"/>
      <c r="AD114" s="70"/>
      <c r="AE114" s="70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  <c r="BN114" s="28"/>
      <c r="BO114" s="28"/>
      <c r="BP114" s="29"/>
      <c r="BQ114" s="29"/>
      <c r="BR114" s="29"/>
      <c r="BS114" s="29"/>
    </row>
    <row r="115" customFormat="false" ht="15" hidden="false" customHeight="false" outlineLevel="0" collapsed="false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1"/>
      <c r="S115" s="71"/>
      <c r="T115" s="71"/>
      <c r="U115" s="70"/>
      <c r="V115" s="70"/>
      <c r="W115" s="70"/>
      <c r="X115" s="70"/>
      <c r="Y115" s="72"/>
      <c r="Z115" s="70"/>
      <c r="AA115" s="70"/>
      <c r="AB115" s="70"/>
      <c r="AC115" s="70"/>
      <c r="AD115" s="70"/>
      <c r="AE115" s="70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  <c r="BN115" s="28"/>
      <c r="BO115" s="28"/>
      <c r="BP115" s="29"/>
      <c r="BQ115" s="29"/>
      <c r="BR115" s="29"/>
      <c r="BS115" s="29"/>
    </row>
    <row r="116" customFormat="false" ht="15" hidden="false" customHeight="false" outlineLevel="0" collapsed="false">
      <c r="A116" s="70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1"/>
      <c r="S116" s="71"/>
      <c r="T116" s="71"/>
      <c r="U116" s="70"/>
      <c r="V116" s="70"/>
      <c r="W116" s="70"/>
      <c r="X116" s="70"/>
      <c r="Y116" s="72"/>
      <c r="Z116" s="70"/>
      <c r="AA116" s="70"/>
      <c r="AB116" s="70"/>
      <c r="AC116" s="70"/>
      <c r="AD116" s="70"/>
      <c r="AE116" s="70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  <c r="BN116" s="28"/>
      <c r="BO116" s="28"/>
      <c r="BP116" s="29"/>
      <c r="BQ116" s="29"/>
      <c r="BR116" s="29"/>
      <c r="BS116" s="29"/>
    </row>
    <row r="117" customFormat="false" ht="15" hidden="false" customHeight="false" outlineLevel="0" collapsed="false">
      <c r="A117" s="70"/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1"/>
      <c r="S117" s="71"/>
      <c r="T117" s="71"/>
      <c r="U117" s="70"/>
      <c r="V117" s="70"/>
      <c r="W117" s="70"/>
      <c r="X117" s="70"/>
      <c r="Y117" s="72"/>
      <c r="Z117" s="70"/>
      <c r="AA117" s="70"/>
      <c r="AB117" s="70"/>
      <c r="AC117" s="70"/>
      <c r="AD117" s="70"/>
      <c r="AE117" s="70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  <c r="BN117" s="28"/>
      <c r="BO117" s="28"/>
      <c r="BP117" s="29"/>
      <c r="BQ117" s="29"/>
      <c r="BR117" s="29"/>
      <c r="BS117" s="29"/>
    </row>
    <row r="118" customFormat="false" ht="15" hidden="false" customHeight="false" outlineLevel="0" collapsed="false">
      <c r="A118" s="70"/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1"/>
      <c r="S118" s="71"/>
      <c r="T118" s="71"/>
      <c r="U118" s="70"/>
      <c r="V118" s="70"/>
      <c r="W118" s="70"/>
      <c r="X118" s="70"/>
      <c r="Y118" s="72"/>
      <c r="Z118" s="70"/>
      <c r="AA118" s="70"/>
      <c r="AB118" s="70"/>
      <c r="AC118" s="70"/>
      <c r="AD118" s="70"/>
      <c r="AE118" s="70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  <c r="BN118" s="28"/>
      <c r="BO118" s="28"/>
      <c r="BP118" s="29"/>
      <c r="BQ118" s="29"/>
      <c r="BR118" s="29"/>
      <c r="BS118" s="29"/>
    </row>
    <row r="119" customFormat="false" ht="15" hidden="false" customHeight="false" outlineLevel="0" collapsed="false">
      <c r="A119" s="70"/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1"/>
      <c r="S119" s="71"/>
      <c r="T119" s="71"/>
      <c r="U119" s="70"/>
      <c r="V119" s="70"/>
      <c r="W119" s="70"/>
      <c r="X119" s="70"/>
      <c r="Y119" s="72"/>
      <c r="Z119" s="70"/>
      <c r="AA119" s="70"/>
      <c r="AB119" s="70"/>
      <c r="AC119" s="70"/>
      <c r="AD119" s="70"/>
      <c r="AE119" s="70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  <c r="BN119" s="28"/>
      <c r="BO119" s="28"/>
      <c r="BP119" s="29"/>
      <c r="BQ119" s="29"/>
      <c r="BR119" s="29"/>
      <c r="BS119" s="29"/>
    </row>
    <row r="120" customFormat="false" ht="15" hidden="false" customHeight="false" outlineLevel="0" collapsed="false">
      <c r="A120" s="70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1"/>
      <c r="S120" s="71"/>
      <c r="T120" s="71"/>
      <c r="U120" s="70"/>
      <c r="V120" s="70"/>
      <c r="W120" s="70"/>
      <c r="X120" s="70"/>
      <c r="Y120" s="72"/>
      <c r="Z120" s="70"/>
      <c r="AA120" s="70"/>
      <c r="AB120" s="70"/>
      <c r="AC120" s="70"/>
      <c r="AD120" s="70"/>
      <c r="AE120" s="70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  <c r="BN120" s="28"/>
      <c r="BO120" s="28"/>
      <c r="BP120" s="29"/>
      <c r="BQ120" s="29"/>
      <c r="BR120" s="29"/>
      <c r="BS120" s="29"/>
    </row>
    <row r="121" customFormat="false" ht="15" hidden="false" customHeight="false" outlineLevel="0" collapsed="false">
      <c r="A121" s="70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1"/>
      <c r="S121" s="71"/>
      <c r="T121" s="71"/>
      <c r="U121" s="70"/>
      <c r="V121" s="70"/>
      <c r="W121" s="70"/>
      <c r="X121" s="70"/>
      <c r="Y121" s="72"/>
      <c r="Z121" s="70"/>
      <c r="AA121" s="70"/>
      <c r="AB121" s="70"/>
      <c r="AC121" s="70"/>
      <c r="AD121" s="70"/>
      <c r="AE121" s="70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  <c r="BN121" s="28"/>
      <c r="BO121" s="28"/>
      <c r="BP121" s="29"/>
      <c r="BQ121" s="29"/>
      <c r="BR121" s="29"/>
      <c r="BS121" s="29"/>
    </row>
    <row r="122" customFormat="false" ht="15" hidden="false" customHeight="false" outlineLevel="0" collapsed="false">
      <c r="A122" s="70"/>
      <c r="B122" s="70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1"/>
      <c r="S122" s="71"/>
      <c r="T122" s="71"/>
      <c r="U122" s="70"/>
      <c r="V122" s="70"/>
      <c r="W122" s="70"/>
      <c r="X122" s="70"/>
      <c r="Y122" s="72"/>
      <c r="Z122" s="70"/>
      <c r="AA122" s="70"/>
      <c r="AB122" s="70"/>
      <c r="AC122" s="70"/>
      <c r="AD122" s="70"/>
      <c r="AE122" s="70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  <c r="BN122" s="28"/>
      <c r="BO122" s="28"/>
      <c r="BP122" s="29"/>
      <c r="BQ122" s="29"/>
      <c r="BR122" s="29"/>
      <c r="BS122" s="29"/>
    </row>
    <row r="123" customFormat="false" ht="15" hidden="false" customHeight="false" outlineLevel="0" collapsed="false">
      <c r="A123" s="70"/>
      <c r="B123" s="70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1"/>
      <c r="S123" s="71"/>
      <c r="T123" s="71"/>
      <c r="U123" s="70"/>
      <c r="V123" s="70"/>
      <c r="W123" s="70"/>
      <c r="X123" s="70"/>
      <c r="Y123" s="72"/>
      <c r="Z123" s="70"/>
      <c r="AA123" s="70"/>
      <c r="AB123" s="70"/>
      <c r="AC123" s="70"/>
      <c r="AD123" s="70"/>
      <c r="AE123" s="70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  <c r="BN123" s="28"/>
      <c r="BO123" s="28"/>
      <c r="BP123" s="29"/>
      <c r="BQ123" s="29"/>
      <c r="BR123" s="29"/>
      <c r="BS123" s="29"/>
    </row>
    <row r="124" customFormat="false" ht="15" hidden="false" customHeight="false" outlineLevel="0" collapsed="false">
      <c r="A124" s="70"/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1"/>
      <c r="S124" s="71"/>
      <c r="T124" s="71"/>
      <c r="U124" s="70"/>
      <c r="V124" s="70"/>
      <c r="W124" s="70"/>
      <c r="X124" s="70"/>
      <c r="Y124" s="72"/>
      <c r="Z124" s="70"/>
      <c r="AA124" s="70"/>
      <c r="AB124" s="70"/>
      <c r="AC124" s="70"/>
      <c r="AD124" s="70"/>
      <c r="AE124" s="70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  <c r="BN124" s="28"/>
      <c r="BO124" s="28"/>
      <c r="BP124" s="29"/>
      <c r="BQ124" s="29"/>
      <c r="BR124" s="29"/>
      <c r="BS124" s="29"/>
    </row>
    <row r="125" customFormat="false" ht="15" hidden="false" customHeight="false" outlineLevel="0" collapsed="false">
      <c r="A125" s="70"/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1"/>
      <c r="S125" s="71"/>
      <c r="T125" s="71"/>
      <c r="U125" s="70"/>
      <c r="V125" s="70"/>
      <c r="W125" s="70"/>
      <c r="X125" s="70"/>
      <c r="Y125" s="72"/>
      <c r="Z125" s="70"/>
      <c r="AA125" s="70"/>
      <c r="AB125" s="70"/>
      <c r="AC125" s="70"/>
      <c r="AD125" s="70"/>
      <c r="AE125" s="70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  <c r="BN125" s="28"/>
      <c r="BO125" s="28"/>
      <c r="BP125" s="29"/>
      <c r="BQ125" s="29"/>
      <c r="BR125" s="29"/>
      <c r="BS125" s="29"/>
    </row>
    <row r="126" customFormat="false" ht="15" hidden="false" customHeight="false" outlineLevel="0" collapsed="false">
      <c r="A126" s="70"/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1"/>
      <c r="S126" s="71"/>
      <c r="T126" s="71"/>
      <c r="U126" s="70"/>
      <c r="V126" s="70"/>
      <c r="W126" s="70"/>
      <c r="X126" s="70"/>
      <c r="Y126" s="72"/>
      <c r="Z126" s="70"/>
      <c r="AA126" s="70"/>
      <c r="AB126" s="70"/>
      <c r="AC126" s="70"/>
      <c r="AD126" s="70"/>
      <c r="AE126" s="70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  <c r="BN126" s="28"/>
      <c r="BO126" s="28"/>
      <c r="BP126" s="29"/>
      <c r="BQ126" s="29"/>
      <c r="BR126" s="29"/>
      <c r="BS126" s="29"/>
    </row>
    <row r="127" customFormat="false" ht="15" hidden="false" customHeight="false" outlineLevel="0" collapsed="false">
      <c r="A127" s="70"/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1"/>
      <c r="S127" s="71"/>
      <c r="T127" s="71"/>
      <c r="U127" s="70"/>
      <c r="V127" s="70"/>
      <c r="W127" s="70"/>
      <c r="X127" s="70"/>
      <c r="Y127" s="72"/>
      <c r="Z127" s="70"/>
      <c r="AA127" s="70"/>
      <c r="AB127" s="70"/>
      <c r="AC127" s="70"/>
      <c r="AD127" s="70"/>
      <c r="AE127" s="70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  <c r="BN127" s="28"/>
      <c r="BO127" s="28"/>
      <c r="BP127" s="29"/>
      <c r="BQ127" s="29"/>
      <c r="BR127" s="29"/>
      <c r="BS127" s="29"/>
    </row>
    <row r="128" customFormat="false" ht="15" hidden="false" customHeight="false" outlineLevel="0" collapsed="false">
      <c r="A128" s="70"/>
      <c r="B128" s="70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1"/>
      <c r="S128" s="71"/>
      <c r="T128" s="71"/>
      <c r="U128" s="70"/>
      <c r="V128" s="70"/>
      <c r="W128" s="70"/>
      <c r="X128" s="70"/>
      <c r="Y128" s="72"/>
      <c r="Z128" s="70"/>
      <c r="AA128" s="70"/>
      <c r="AB128" s="70"/>
      <c r="AC128" s="70"/>
      <c r="AD128" s="70"/>
      <c r="AE128" s="70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  <c r="BN128" s="28"/>
      <c r="BO128" s="28"/>
      <c r="BP128" s="29"/>
      <c r="BQ128" s="29"/>
      <c r="BR128" s="29"/>
      <c r="BS128" s="29"/>
    </row>
    <row r="129" customFormat="false" ht="15" hidden="false" customHeight="false" outlineLevel="0" collapsed="false">
      <c r="A129" s="70"/>
      <c r="B129" s="70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1"/>
      <c r="S129" s="71"/>
      <c r="T129" s="71"/>
      <c r="U129" s="70"/>
      <c r="V129" s="70"/>
      <c r="W129" s="70"/>
      <c r="X129" s="70"/>
      <c r="Y129" s="72"/>
      <c r="Z129" s="70"/>
      <c r="AA129" s="70"/>
      <c r="AB129" s="70"/>
      <c r="AC129" s="70"/>
      <c r="AD129" s="70"/>
      <c r="AE129" s="70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  <c r="BN129" s="28"/>
      <c r="BO129" s="28"/>
      <c r="BP129" s="29"/>
      <c r="BQ129" s="29"/>
      <c r="BR129" s="29"/>
      <c r="BS129" s="29"/>
    </row>
    <row r="130" customFormat="false" ht="15" hidden="false" customHeight="false" outlineLevel="0" collapsed="false">
      <c r="A130" s="70"/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1"/>
      <c r="S130" s="71"/>
      <c r="T130" s="71"/>
      <c r="U130" s="70"/>
      <c r="V130" s="70"/>
      <c r="W130" s="70"/>
      <c r="X130" s="70"/>
      <c r="Y130" s="72"/>
      <c r="Z130" s="70"/>
      <c r="AA130" s="70"/>
      <c r="AB130" s="70"/>
      <c r="AC130" s="70"/>
      <c r="AD130" s="70"/>
      <c r="AE130" s="70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  <c r="BN130" s="28"/>
      <c r="BO130" s="28"/>
      <c r="BP130" s="29"/>
      <c r="BQ130" s="29"/>
      <c r="BR130" s="29"/>
      <c r="BS130" s="29"/>
    </row>
    <row r="131" customFormat="false" ht="15" hidden="false" customHeight="false" outlineLevel="0" collapsed="false">
      <c r="A131" s="70"/>
      <c r="B131" s="70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1"/>
      <c r="S131" s="71"/>
      <c r="T131" s="71"/>
      <c r="U131" s="70"/>
      <c r="V131" s="70"/>
      <c r="W131" s="70"/>
      <c r="X131" s="70"/>
      <c r="Y131" s="72"/>
      <c r="Z131" s="70"/>
      <c r="AA131" s="70"/>
      <c r="AB131" s="70"/>
      <c r="AC131" s="70"/>
      <c r="AD131" s="70"/>
      <c r="AE131" s="70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  <c r="BN131" s="28"/>
      <c r="BO131" s="28"/>
      <c r="BP131" s="29"/>
      <c r="BQ131" s="29"/>
      <c r="BR131" s="29"/>
      <c r="BS131" s="29"/>
    </row>
    <row r="132" customFormat="false" ht="15" hidden="false" customHeight="false" outlineLevel="0" collapsed="false">
      <c r="A132" s="70"/>
      <c r="B132" s="70"/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1"/>
      <c r="S132" s="71"/>
      <c r="T132" s="71"/>
      <c r="U132" s="70"/>
      <c r="V132" s="70"/>
      <c r="W132" s="70"/>
      <c r="X132" s="70"/>
      <c r="Y132" s="72"/>
      <c r="Z132" s="70"/>
      <c r="AA132" s="70"/>
      <c r="AB132" s="70"/>
      <c r="AC132" s="70"/>
      <c r="AD132" s="70"/>
      <c r="AE132" s="70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  <c r="BN132" s="28"/>
      <c r="BO132" s="28"/>
      <c r="BP132" s="29"/>
      <c r="BQ132" s="29"/>
      <c r="BR132" s="29"/>
      <c r="BS132" s="29"/>
    </row>
    <row r="133" customFormat="false" ht="15" hidden="false" customHeight="false" outlineLevel="0" collapsed="false">
      <c r="A133" s="70"/>
      <c r="B133" s="70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1"/>
      <c r="S133" s="71"/>
      <c r="T133" s="71"/>
      <c r="U133" s="70"/>
      <c r="V133" s="70"/>
      <c r="W133" s="70"/>
      <c r="X133" s="70"/>
      <c r="Y133" s="72"/>
      <c r="Z133" s="70"/>
      <c r="AA133" s="70"/>
      <c r="AB133" s="70"/>
      <c r="AC133" s="70"/>
      <c r="AD133" s="70"/>
      <c r="AE133" s="70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  <c r="BN133" s="28"/>
      <c r="BO133" s="28"/>
      <c r="BP133" s="29"/>
      <c r="BQ133" s="29"/>
      <c r="BR133" s="29"/>
      <c r="BS133" s="29"/>
    </row>
    <row r="134" customFormat="false" ht="15" hidden="false" customHeight="false" outlineLevel="0" collapsed="false">
      <c r="A134" s="70"/>
      <c r="B134" s="70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1"/>
      <c r="S134" s="71"/>
      <c r="T134" s="71"/>
      <c r="U134" s="70"/>
      <c r="V134" s="70"/>
      <c r="W134" s="70"/>
      <c r="X134" s="70"/>
      <c r="Y134" s="72"/>
      <c r="Z134" s="70"/>
      <c r="AA134" s="70"/>
      <c r="AB134" s="70"/>
      <c r="AC134" s="70"/>
      <c r="AD134" s="70"/>
      <c r="AE134" s="70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  <c r="BN134" s="28"/>
      <c r="BO134" s="28"/>
      <c r="BP134" s="29"/>
      <c r="BQ134" s="29"/>
      <c r="BR134" s="29"/>
      <c r="BS134" s="29"/>
    </row>
    <row r="135" customFormat="false" ht="15" hidden="false" customHeight="false" outlineLevel="0" collapsed="false">
      <c r="A135" s="70"/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1"/>
      <c r="S135" s="71"/>
      <c r="T135" s="71"/>
      <c r="U135" s="70"/>
      <c r="V135" s="70"/>
      <c r="W135" s="70"/>
      <c r="X135" s="70"/>
      <c r="Y135" s="72"/>
      <c r="Z135" s="70"/>
      <c r="AA135" s="70"/>
      <c r="AB135" s="70"/>
      <c r="AC135" s="70"/>
      <c r="AD135" s="70"/>
      <c r="AE135" s="70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  <c r="BN135" s="28"/>
      <c r="BO135" s="28"/>
      <c r="BP135" s="29"/>
      <c r="BQ135" s="29"/>
      <c r="BR135" s="29"/>
      <c r="BS135" s="29"/>
    </row>
    <row r="136" customFormat="false" ht="15" hidden="false" customHeight="false" outlineLevel="0" collapsed="false">
      <c r="A136" s="70"/>
      <c r="B136" s="70"/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1"/>
      <c r="S136" s="71"/>
      <c r="T136" s="71"/>
      <c r="U136" s="70"/>
      <c r="V136" s="70"/>
      <c r="W136" s="70"/>
      <c r="X136" s="70"/>
      <c r="Y136" s="72"/>
      <c r="Z136" s="70"/>
      <c r="AA136" s="70"/>
      <c r="AB136" s="70"/>
      <c r="AC136" s="70"/>
      <c r="AD136" s="70"/>
      <c r="AE136" s="70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  <c r="BN136" s="28"/>
      <c r="BO136" s="28"/>
      <c r="BP136" s="29"/>
      <c r="BQ136" s="29"/>
      <c r="BR136" s="29"/>
      <c r="BS136" s="29"/>
    </row>
    <row r="137" customFormat="false" ht="15" hidden="false" customHeight="false" outlineLevel="0" collapsed="false">
      <c r="A137" s="70"/>
      <c r="B137" s="70"/>
      <c r="C137" s="70"/>
      <c r="D137" s="70"/>
      <c r="E137" s="70"/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1"/>
      <c r="S137" s="71"/>
      <c r="T137" s="71"/>
      <c r="U137" s="70"/>
      <c r="V137" s="70"/>
      <c r="W137" s="70"/>
      <c r="X137" s="70"/>
      <c r="Y137" s="72"/>
      <c r="Z137" s="70"/>
      <c r="AA137" s="70"/>
      <c r="AB137" s="70"/>
      <c r="AC137" s="70"/>
      <c r="AD137" s="70"/>
      <c r="AE137" s="70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  <c r="BN137" s="28"/>
      <c r="BO137" s="28"/>
      <c r="BP137" s="29"/>
      <c r="BQ137" s="29"/>
      <c r="BR137" s="29"/>
      <c r="BS137" s="29"/>
    </row>
    <row r="138" customFormat="false" ht="15" hidden="false" customHeight="false" outlineLevel="0" collapsed="false">
      <c r="A138" s="70"/>
      <c r="B138" s="70"/>
      <c r="C138" s="70"/>
      <c r="D138" s="70"/>
      <c r="E138" s="70"/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1"/>
      <c r="S138" s="71"/>
      <c r="T138" s="71"/>
      <c r="U138" s="70"/>
      <c r="V138" s="70"/>
      <c r="W138" s="70"/>
      <c r="X138" s="70"/>
      <c r="Y138" s="72"/>
      <c r="Z138" s="70"/>
      <c r="AA138" s="70"/>
      <c r="AB138" s="70"/>
      <c r="AC138" s="70"/>
      <c r="AD138" s="70"/>
      <c r="AE138" s="70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  <c r="BN138" s="28"/>
      <c r="BO138" s="28"/>
      <c r="BP138" s="29"/>
      <c r="BQ138" s="29"/>
      <c r="BR138" s="29"/>
      <c r="BS138" s="29"/>
    </row>
    <row r="139" customFormat="false" ht="15" hidden="false" customHeight="false" outlineLevel="0" collapsed="false">
      <c r="A139" s="70"/>
      <c r="B139" s="70"/>
      <c r="C139" s="70"/>
      <c r="D139" s="70"/>
      <c r="E139" s="70"/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1"/>
      <c r="S139" s="71"/>
      <c r="T139" s="71"/>
      <c r="U139" s="70"/>
      <c r="V139" s="70"/>
      <c r="W139" s="70"/>
      <c r="X139" s="70"/>
      <c r="Y139" s="72"/>
      <c r="Z139" s="70"/>
      <c r="AA139" s="70"/>
      <c r="AB139" s="70"/>
      <c r="AC139" s="70"/>
      <c r="AD139" s="70"/>
      <c r="AE139" s="70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  <c r="BM139" s="28"/>
      <c r="BN139" s="28"/>
      <c r="BO139" s="28"/>
      <c r="BP139" s="29"/>
      <c r="BQ139" s="29"/>
      <c r="BR139" s="29"/>
      <c r="BS139" s="29"/>
    </row>
    <row r="140" customFormat="false" ht="15" hidden="false" customHeight="false" outlineLevel="0" collapsed="false">
      <c r="A140" s="70"/>
      <c r="B140" s="70"/>
      <c r="C140" s="70"/>
      <c r="D140" s="70"/>
      <c r="E140" s="70"/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1"/>
      <c r="S140" s="71"/>
      <c r="T140" s="71"/>
      <c r="U140" s="70"/>
      <c r="V140" s="70"/>
      <c r="W140" s="70"/>
      <c r="X140" s="70"/>
      <c r="Y140" s="72"/>
      <c r="Z140" s="70"/>
      <c r="AA140" s="70"/>
      <c r="AB140" s="70"/>
      <c r="AC140" s="70"/>
      <c r="AD140" s="70"/>
      <c r="AE140" s="70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  <c r="BN140" s="28"/>
      <c r="BO140" s="28"/>
      <c r="BP140" s="29"/>
      <c r="BQ140" s="29"/>
      <c r="BR140" s="29"/>
      <c r="BS140" s="29"/>
    </row>
    <row r="141" customFormat="false" ht="15" hidden="false" customHeight="false" outlineLevel="0" collapsed="false">
      <c r="A141" s="70"/>
      <c r="B141" s="70"/>
      <c r="C141" s="70"/>
      <c r="D141" s="70"/>
      <c r="E141" s="70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1"/>
      <c r="S141" s="71"/>
      <c r="T141" s="71"/>
      <c r="U141" s="70"/>
      <c r="V141" s="70"/>
      <c r="W141" s="70"/>
      <c r="X141" s="70"/>
      <c r="Y141" s="72"/>
      <c r="Z141" s="70"/>
      <c r="AA141" s="70"/>
      <c r="AB141" s="70"/>
      <c r="AC141" s="70"/>
      <c r="AD141" s="70"/>
      <c r="AE141" s="70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28"/>
      <c r="BN141" s="28"/>
      <c r="BO141" s="28"/>
      <c r="BP141" s="29"/>
      <c r="BQ141" s="29"/>
      <c r="BR141" s="29"/>
      <c r="BS141" s="29"/>
    </row>
    <row r="142" customFormat="false" ht="15" hidden="false" customHeight="false" outlineLevel="0" collapsed="false">
      <c r="A142" s="70"/>
      <c r="B142" s="70"/>
      <c r="C142" s="70"/>
      <c r="D142" s="70"/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1"/>
      <c r="S142" s="71"/>
      <c r="T142" s="71"/>
      <c r="U142" s="70"/>
      <c r="V142" s="70"/>
      <c r="W142" s="70"/>
      <c r="X142" s="70"/>
      <c r="Y142" s="72"/>
      <c r="Z142" s="70"/>
      <c r="AA142" s="70"/>
      <c r="AB142" s="70"/>
      <c r="AC142" s="70"/>
      <c r="AD142" s="70"/>
      <c r="AE142" s="70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  <c r="BN142" s="28"/>
      <c r="BO142" s="28"/>
      <c r="BP142" s="29"/>
      <c r="BQ142" s="29"/>
      <c r="BR142" s="29"/>
      <c r="BS142" s="29"/>
    </row>
    <row r="143" customFormat="false" ht="15" hidden="false" customHeight="false" outlineLevel="0" collapsed="false">
      <c r="A143" s="70"/>
      <c r="B143" s="70"/>
      <c r="C143" s="70"/>
      <c r="D143" s="70"/>
      <c r="E143" s="70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1"/>
      <c r="S143" s="71"/>
      <c r="T143" s="71"/>
      <c r="U143" s="70"/>
      <c r="V143" s="70"/>
      <c r="W143" s="70"/>
      <c r="X143" s="70"/>
      <c r="Y143" s="72"/>
      <c r="Z143" s="70"/>
      <c r="AA143" s="70"/>
      <c r="AB143" s="70"/>
      <c r="AC143" s="70"/>
      <c r="AD143" s="70"/>
      <c r="AE143" s="70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  <c r="BN143" s="28"/>
      <c r="BO143" s="28"/>
      <c r="BP143" s="29"/>
      <c r="BQ143" s="29"/>
      <c r="BR143" s="29"/>
      <c r="BS143" s="29"/>
    </row>
    <row r="144" customFormat="false" ht="15" hidden="false" customHeight="false" outlineLevel="0" collapsed="false">
      <c r="A144" s="70"/>
      <c r="B144" s="70"/>
      <c r="C144" s="70"/>
      <c r="D144" s="70"/>
      <c r="E144" s="70"/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1"/>
      <c r="S144" s="71"/>
      <c r="T144" s="71"/>
      <c r="U144" s="70"/>
      <c r="V144" s="70"/>
      <c r="W144" s="70"/>
      <c r="X144" s="70"/>
      <c r="Y144" s="72"/>
      <c r="Z144" s="70"/>
      <c r="AA144" s="70"/>
      <c r="AB144" s="70"/>
      <c r="AC144" s="70"/>
      <c r="AD144" s="70"/>
      <c r="AE144" s="70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  <c r="BM144" s="28"/>
      <c r="BN144" s="28"/>
      <c r="BO144" s="28"/>
      <c r="BP144" s="29"/>
      <c r="BQ144" s="29"/>
      <c r="BR144" s="29"/>
      <c r="BS144" s="29"/>
    </row>
    <row r="145" customFormat="false" ht="15" hidden="false" customHeight="false" outlineLevel="0" collapsed="false">
      <c r="A145" s="70"/>
      <c r="B145" s="70"/>
      <c r="C145" s="70"/>
      <c r="D145" s="70"/>
      <c r="E145" s="70"/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1"/>
      <c r="S145" s="71"/>
      <c r="T145" s="71"/>
      <c r="U145" s="70"/>
      <c r="V145" s="70"/>
      <c r="W145" s="70"/>
      <c r="X145" s="70"/>
      <c r="Y145" s="72"/>
      <c r="Z145" s="70"/>
      <c r="AA145" s="70"/>
      <c r="AB145" s="70"/>
      <c r="AC145" s="70"/>
      <c r="AD145" s="70"/>
      <c r="AE145" s="70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  <c r="BM145" s="28"/>
      <c r="BN145" s="28"/>
      <c r="BO145" s="28"/>
      <c r="BP145" s="29"/>
      <c r="BQ145" s="29"/>
      <c r="BR145" s="29"/>
      <c r="BS145" s="29"/>
    </row>
    <row r="146" customFormat="false" ht="15" hidden="false" customHeight="false" outlineLevel="0" collapsed="false">
      <c r="A146" s="70"/>
      <c r="B146" s="70"/>
      <c r="C146" s="70"/>
      <c r="D146" s="70"/>
      <c r="E146" s="70"/>
      <c r="F146" s="70"/>
      <c r="G146" s="70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1"/>
      <c r="S146" s="71"/>
      <c r="T146" s="71"/>
      <c r="U146" s="70"/>
      <c r="V146" s="70"/>
      <c r="W146" s="70"/>
      <c r="X146" s="70"/>
      <c r="Y146" s="72"/>
      <c r="Z146" s="70"/>
      <c r="AA146" s="70"/>
      <c r="AB146" s="70"/>
      <c r="AC146" s="70"/>
      <c r="AD146" s="70"/>
      <c r="AE146" s="70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  <c r="BN146" s="28"/>
      <c r="BO146" s="28"/>
      <c r="BP146" s="29"/>
      <c r="BQ146" s="29"/>
      <c r="BR146" s="29"/>
      <c r="BS146" s="29"/>
    </row>
    <row r="147" customFormat="false" ht="15" hidden="false" customHeight="false" outlineLevel="0" collapsed="false">
      <c r="A147" s="70"/>
      <c r="B147" s="70"/>
      <c r="C147" s="70"/>
      <c r="D147" s="70"/>
      <c r="E147" s="70"/>
      <c r="F147" s="70"/>
      <c r="G147" s="70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1"/>
      <c r="S147" s="71"/>
      <c r="T147" s="71"/>
      <c r="U147" s="70"/>
      <c r="V147" s="70"/>
      <c r="W147" s="70"/>
      <c r="X147" s="70"/>
      <c r="Y147" s="72"/>
      <c r="Z147" s="70"/>
      <c r="AA147" s="70"/>
      <c r="AB147" s="70"/>
      <c r="AC147" s="70"/>
      <c r="AD147" s="70"/>
      <c r="AE147" s="70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  <c r="BM147" s="28"/>
      <c r="BN147" s="28"/>
      <c r="BO147" s="28"/>
      <c r="BP147" s="29"/>
      <c r="BQ147" s="29"/>
      <c r="BR147" s="29"/>
      <c r="BS147" s="29"/>
    </row>
    <row r="148" customFormat="false" ht="15" hidden="false" customHeight="false" outlineLevel="0" collapsed="false">
      <c r="A148" s="70"/>
      <c r="B148" s="70"/>
      <c r="C148" s="70"/>
      <c r="D148" s="70"/>
      <c r="E148" s="70"/>
      <c r="F148" s="70"/>
      <c r="G148" s="70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1"/>
      <c r="S148" s="71"/>
      <c r="T148" s="71"/>
      <c r="U148" s="70"/>
      <c r="V148" s="70"/>
      <c r="W148" s="70"/>
      <c r="X148" s="70"/>
      <c r="Y148" s="72"/>
      <c r="Z148" s="70"/>
      <c r="AA148" s="70"/>
      <c r="AB148" s="70"/>
      <c r="AC148" s="70"/>
      <c r="AD148" s="70"/>
      <c r="AE148" s="70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  <c r="BM148" s="28"/>
      <c r="BN148" s="28"/>
      <c r="BO148" s="28"/>
      <c r="BP148" s="29"/>
      <c r="BQ148" s="29"/>
      <c r="BR148" s="29"/>
      <c r="BS148" s="29"/>
    </row>
    <row r="149" customFormat="false" ht="15" hidden="false" customHeight="false" outlineLevel="0" collapsed="false">
      <c r="A149" s="70"/>
      <c r="B149" s="70"/>
      <c r="C149" s="70"/>
      <c r="D149" s="70"/>
      <c r="E149" s="70"/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1"/>
      <c r="S149" s="71"/>
      <c r="T149" s="71"/>
      <c r="U149" s="70"/>
      <c r="V149" s="70"/>
      <c r="W149" s="70"/>
      <c r="X149" s="70"/>
      <c r="Y149" s="72"/>
      <c r="Z149" s="70"/>
      <c r="AA149" s="70"/>
      <c r="AB149" s="70"/>
      <c r="AC149" s="70"/>
      <c r="AD149" s="70"/>
      <c r="AE149" s="70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  <c r="BM149" s="28"/>
      <c r="BN149" s="28"/>
      <c r="BO149" s="28"/>
      <c r="BP149" s="29"/>
      <c r="BQ149" s="29"/>
      <c r="BR149" s="29"/>
      <c r="BS149" s="29"/>
    </row>
    <row r="150" customFormat="false" ht="15" hidden="false" customHeight="false" outlineLevel="0" collapsed="false">
      <c r="A150" s="70"/>
      <c r="B150" s="70"/>
      <c r="C150" s="70"/>
      <c r="D150" s="70"/>
      <c r="E150" s="70"/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1"/>
      <c r="S150" s="71"/>
      <c r="T150" s="71"/>
      <c r="U150" s="70"/>
      <c r="V150" s="70"/>
      <c r="W150" s="70"/>
      <c r="X150" s="70"/>
      <c r="Y150" s="72"/>
      <c r="Z150" s="70"/>
      <c r="AA150" s="70"/>
      <c r="AB150" s="70"/>
      <c r="AC150" s="70"/>
      <c r="AD150" s="70"/>
      <c r="AE150" s="70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  <c r="BM150" s="28"/>
      <c r="BN150" s="28"/>
      <c r="BO150" s="28"/>
      <c r="BP150" s="29"/>
      <c r="BQ150" s="29"/>
      <c r="BR150" s="29"/>
      <c r="BS150" s="29"/>
    </row>
    <row r="151" customFormat="false" ht="15" hidden="false" customHeight="false" outlineLevel="0" collapsed="false">
      <c r="A151" s="70"/>
      <c r="B151" s="70"/>
      <c r="C151" s="70"/>
      <c r="D151" s="70"/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1"/>
      <c r="S151" s="71"/>
      <c r="T151" s="71"/>
      <c r="U151" s="70"/>
      <c r="V151" s="70"/>
      <c r="W151" s="70"/>
      <c r="X151" s="70"/>
      <c r="Y151" s="72"/>
      <c r="Z151" s="70"/>
      <c r="AA151" s="70"/>
      <c r="AB151" s="70"/>
      <c r="AC151" s="70"/>
      <c r="AD151" s="70"/>
      <c r="AE151" s="70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  <c r="BM151" s="28"/>
      <c r="BN151" s="28"/>
      <c r="BO151" s="28"/>
      <c r="BP151" s="29"/>
      <c r="BQ151" s="29"/>
      <c r="BR151" s="29"/>
      <c r="BS151" s="29"/>
    </row>
    <row r="152" customFormat="false" ht="15" hidden="false" customHeight="false" outlineLevel="0" collapsed="false">
      <c r="A152" s="70"/>
      <c r="B152" s="70"/>
      <c r="C152" s="70"/>
      <c r="D152" s="70"/>
      <c r="E152" s="70"/>
      <c r="F152" s="70"/>
      <c r="G152" s="70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1"/>
      <c r="S152" s="71"/>
      <c r="T152" s="71"/>
      <c r="U152" s="70"/>
      <c r="V152" s="70"/>
      <c r="W152" s="70"/>
      <c r="X152" s="70"/>
      <c r="Y152" s="72"/>
      <c r="Z152" s="70"/>
      <c r="AA152" s="70"/>
      <c r="AB152" s="70"/>
      <c r="AC152" s="70"/>
      <c r="AD152" s="70"/>
      <c r="AE152" s="70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  <c r="BM152" s="28"/>
      <c r="BN152" s="28"/>
      <c r="BO152" s="28"/>
      <c r="BP152" s="29"/>
      <c r="BQ152" s="29"/>
      <c r="BR152" s="29"/>
      <c r="BS152" s="29"/>
    </row>
    <row r="153" customFormat="false" ht="15" hidden="false" customHeight="false" outlineLevel="0" collapsed="false">
      <c r="A153" s="70"/>
      <c r="B153" s="70"/>
      <c r="C153" s="70"/>
      <c r="D153" s="70"/>
      <c r="E153" s="70"/>
      <c r="F153" s="70"/>
      <c r="G153" s="70"/>
      <c r="H153" s="70"/>
      <c r="I153" s="70"/>
      <c r="J153" s="70"/>
      <c r="K153" s="70"/>
      <c r="L153" s="70"/>
      <c r="M153" s="70"/>
      <c r="N153" s="70"/>
      <c r="O153" s="70"/>
      <c r="P153" s="70"/>
      <c r="Q153" s="70"/>
      <c r="R153" s="71"/>
      <c r="S153" s="71"/>
      <c r="T153" s="71"/>
      <c r="U153" s="70"/>
      <c r="V153" s="70"/>
      <c r="W153" s="70"/>
      <c r="X153" s="70"/>
      <c r="Y153" s="72"/>
      <c r="Z153" s="70"/>
      <c r="AA153" s="70"/>
      <c r="AB153" s="70"/>
      <c r="AC153" s="70"/>
      <c r="AD153" s="70"/>
      <c r="AE153" s="70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  <c r="BM153" s="28"/>
      <c r="BN153" s="28"/>
      <c r="BO153" s="28"/>
      <c r="BP153" s="29"/>
      <c r="BQ153" s="29"/>
      <c r="BR153" s="29"/>
      <c r="BS153" s="29"/>
    </row>
    <row r="154" customFormat="false" ht="15" hidden="false" customHeight="false" outlineLevel="0" collapsed="false">
      <c r="A154" s="70"/>
      <c r="B154" s="70"/>
      <c r="C154" s="70"/>
      <c r="D154" s="70"/>
      <c r="E154" s="70"/>
      <c r="F154" s="70"/>
      <c r="G154" s="70"/>
      <c r="H154" s="70"/>
      <c r="I154" s="70"/>
      <c r="J154" s="70"/>
      <c r="K154" s="70"/>
      <c r="L154" s="70"/>
      <c r="M154" s="70"/>
      <c r="N154" s="70"/>
      <c r="O154" s="70"/>
      <c r="P154" s="70"/>
      <c r="Q154" s="70"/>
      <c r="R154" s="71"/>
      <c r="S154" s="71"/>
      <c r="T154" s="71"/>
      <c r="U154" s="70"/>
      <c r="V154" s="70"/>
      <c r="W154" s="70"/>
      <c r="X154" s="70"/>
      <c r="Y154" s="72"/>
      <c r="Z154" s="70"/>
      <c r="AA154" s="70"/>
      <c r="AB154" s="70"/>
      <c r="AC154" s="70"/>
      <c r="AD154" s="70"/>
      <c r="AE154" s="70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  <c r="BM154" s="28"/>
      <c r="BN154" s="28"/>
      <c r="BO154" s="28"/>
      <c r="BP154" s="29"/>
      <c r="BQ154" s="29"/>
      <c r="BR154" s="29"/>
      <c r="BS154" s="29"/>
    </row>
    <row r="155" customFormat="false" ht="15" hidden="false" customHeight="false" outlineLevel="0" collapsed="false">
      <c r="A155" s="70"/>
      <c r="B155" s="70"/>
      <c r="C155" s="70"/>
      <c r="D155" s="70"/>
      <c r="E155" s="70"/>
      <c r="F155" s="70"/>
      <c r="G155" s="70"/>
      <c r="H155" s="70"/>
      <c r="I155" s="70"/>
      <c r="J155" s="70"/>
      <c r="K155" s="70"/>
      <c r="L155" s="70"/>
      <c r="M155" s="70"/>
      <c r="N155" s="70"/>
      <c r="O155" s="70"/>
      <c r="P155" s="70"/>
      <c r="Q155" s="70"/>
      <c r="R155" s="71"/>
      <c r="S155" s="71"/>
      <c r="T155" s="71"/>
      <c r="U155" s="70"/>
      <c r="V155" s="70"/>
      <c r="W155" s="70"/>
      <c r="X155" s="70"/>
      <c r="Y155" s="72"/>
      <c r="Z155" s="70"/>
      <c r="AA155" s="70"/>
      <c r="AB155" s="70"/>
      <c r="AC155" s="70"/>
      <c r="AD155" s="70"/>
      <c r="AE155" s="70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  <c r="BM155" s="28"/>
      <c r="BN155" s="28"/>
      <c r="BO155" s="28"/>
      <c r="BP155" s="29"/>
      <c r="BQ155" s="29"/>
      <c r="BR155" s="29"/>
      <c r="BS155" s="29"/>
    </row>
    <row r="156" customFormat="false" ht="15" hidden="false" customHeight="false" outlineLevel="0" collapsed="false">
      <c r="A156" s="70"/>
      <c r="B156" s="70"/>
      <c r="C156" s="70"/>
      <c r="D156" s="70"/>
      <c r="E156" s="70"/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1"/>
      <c r="S156" s="71"/>
      <c r="T156" s="71"/>
      <c r="U156" s="70"/>
      <c r="V156" s="70"/>
      <c r="W156" s="70"/>
      <c r="X156" s="70"/>
      <c r="Y156" s="72"/>
      <c r="Z156" s="70"/>
      <c r="AA156" s="70"/>
      <c r="AB156" s="70"/>
      <c r="AC156" s="70"/>
      <c r="AD156" s="70"/>
      <c r="AE156" s="70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  <c r="BN156" s="28"/>
      <c r="BO156" s="28"/>
      <c r="BP156" s="29"/>
      <c r="BQ156" s="29"/>
      <c r="BR156" s="29"/>
      <c r="BS156" s="29"/>
    </row>
    <row r="157" customFormat="false" ht="15" hidden="false" customHeight="false" outlineLevel="0" collapsed="false">
      <c r="A157" s="70"/>
      <c r="B157" s="70"/>
      <c r="C157" s="70"/>
      <c r="D157" s="70"/>
      <c r="E157" s="70"/>
      <c r="F157" s="70"/>
      <c r="G157" s="70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1"/>
      <c r="S157" s="71"/>
      <c r="T157" s="71"/>
      <c r="U157" s="70"/>
      <c r="V157" s="70"/>
      <c r="W157" s="70"/>
      <c r="X157" s="70"/>
      <c r="Y157" s="72"/>
      <c r="Z157" s="70"/>
      <c r="AA157" s="70"/>
      <c r="AB157" s="70"/>
      <c r="AC157" s="70"/>
      <c r="AD157" s="70"/>
      <c r="AE157" s="70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  <c r="BM157" s="28"/>
      <c r="BN157" s="28"/>
      <c r="BO157" s="28"/>
      <c r="BP157" s="29"/>
      <c r="BQ157" s="29"/>
      <c r="BR157" s="29"/>
      <c r="BS157" s="29"/>
    </row>
    <row r="158" customFormat="false" ht="15" hidden="false" customHeight="false" outlineLevel="0" collapsed="false">
      <c r="A158" s="70"/>
      <c r="B158" s="70"/>
      <c r="C158" s="70"/>
      <c r="D158" s="70"/>
      <c r="E158" s="70"/>
      <c r="F158" s="70"/>
      <c r="G158" s="70"/>
      <c r="H158" s="70"/>
      <c r="I158" s="70"/>
      <c r="J158" s="70"/>
      <c r="K158" s="70"/>
      <c r="L158" s="70"/>
      <c r="M158" s="70"/>
      <c r="N158" s="70"/>
      <c r="O158" s="70"/>
      <c r="P158" s="70"/>
      <c r="Q158" s="70"/>
      <c r="R158" s="71"/>
      <c r="S158" s="71"/>
      <c r="T158" s="71"/>
      <c r="U158" s="70"/>
      <c r="V158" s="70"/>
      <c r="W158" s="70"/>
      <c r="X158" s="70"/>
      <c r="Y158" s="72"/>
      <c r="Z158" s="70"/>
      <c r="AA158" s="70"/>
      <c r="AB158" s="70"/>
      <c r="AC158" s="70"/>
      <c r="AD158" s="70"/>
      <c r="AE158" s="70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  <c r="BM158" s="28"/>
      <c r="BN158" s="28"/>
      <c r="BO158" s="28"/>
      <c r="BP158" s="29"/>
      <c r="BQ158" s="29"/>
      <c r="BR158" s="29"/>
      <c r="BS158" s="29"/>
    </row>
    <row r="159" customFormat="false" ht="15" hidden="false" customHeight="false" outlineLevel="0" collapsed="false">
      <c r="A159" s="70"/>
      <c r="B159" s="70"/>
      <c r="C159" s="70"/>
      <c r="D159" s="70"/>
      <c r="E159" s="70"/>
      <c r="F159" s="70"/>
      <c r="G159" s="70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1"/>
      <c r="S159" s="71"/>
      <c r="T159" s="71"/>
      <c r="U159" s="70"/>
      <c r="V159" s="70"/>
      <c r="W159" s="70"/>
      <c r="X159" s="70"/>
      <c r="Y159" s="72"/>
      <c r="Z159" s="70"/>
      <c r="AA159" s="70"/>
      <c r="AB159" s="70"/>
      <c r="AC159" s="70"/>
      <c r="AD159" s="70"/>
      <c r="AE159" s="70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  <c r="BM159" s="28"/>
      <c r="BN159" s="28"/>
      <c r="BO159" s="28"/>
      <c r="BP159" s="29"/>
      <c r="BQ159" s="29"/>
      <c r="BR159" s="29"/>
      <c r="BS159" s="29"/>
    </row>
    <row r="160" customFormat="false" ht="15" hidden="false" customHeight="false" outlineLevel="0" collapsed="false">
      <c r="A160" s="70"/>
      <c r="B160" s="70"/>
      <c r="C160" s="70"/>
      <c r="D160" s="70"/>
      <c r="E160" s="70"/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1"/>
      <c r="S160" s="71"/>
      <c r="T160" s="71"/>
      <c r="U160" s="70"/>
      <c r="V160" s="70"/>
      <c r="W160" s="70"/>
      <c r="X160" s="70"/>
      <c r="Y160" s="72"/>
      <c r="Z160" s="70"/>
      <c r="AA160" s="70"/>
      <c r="AB160" s="70"/>
      <c r="AC160" s="70"/>
      <c r="AD160" s="70"/>
      <c r="AE160" s="70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  <c r="BI160" s="28"/>
      <c r="BJ160" s="28"/>
      <c r="BK160" s="28"/>
      <c r="BL160" s="28"/>
      <c r="BM160" s="28"/>
      <c r="BN160" s="28"/>
      <c r="BO160" s="28"/>
      <c r="BP160" s="29"/>
      <c r="BQ160" s="29"/>
      <c r="BR160" s="29"/>
      <c r="BS160" s="29"/>
    </row>
    <row r="161" customFormat="false" ht="15" hidden="false" customHeight="false" outlineLevel="0" collapsed="false">
      <c r="A161" s="70"/>
      <c r="B161" s="70"/>
      <c r="C161" s="70"/>
      <c r="D161" s="70"/>
      <c r="E161" s="70"/>
      <c r="F161" s="70"/>
      <c r="G161" s="70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1"/>
      <c r="S161" s="71"/>
      <c r="T161" s="71"/>
      <c r="U161" s="70"/>
      <c r="V161" s="70"/>
      <c r="W161" s="70"/>
      <c r="X161" s="70"/>
      <c r="Y161" s="72"/>
      <c r="Z161" s="70"/>
      <c r="AA161" s="70"/>
      <c r="AB161" s="70"/>
      <c r="AC161" s="70"/>
      <c r="AD161" s="70"/>
      <c r="AE161" s="70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  <c r="BK161" s="28"/>
      <c r="BL161" s="28"/>
      <c r="BM161" s="28"/>
      <c r="BN161" s="28"/>
      <c r="BO161" s="28"/>
      <c r="BP161" s="29"/>
      <c r="BQ161" s="29"/>
      <c r="BR161" s="29"/>
      <c r="BS161" s="29"/>
    </row>
    <row r="162" customFormat="false" ht="15" hidden="false" customHeight="false" outlineLevel="0" collapsed="false">
      <c r="A162" s="70"/>
      <c r="B162" s="70"/>
      <c r="C162" s="70"/>
      <c r="D162" s="70"/>
      <c r="E162" s="70"/>
      <c r="F162" s="70"/>
      <c r="G162" s="70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1"/>
      <c r="S162" s="71"/>
      <c r="T162" s="71"/>
      <c r="U162" s="70"/>
      <c r="V162" s="70"/>
      <c r="W162" s="70"/>
      <c r="X162" s="70"/>
      <c r="Y162" s="72"/>
      <c r="Z162" s="70"/>
      <c r="AA162" s="70"/>
      <c r="AB162" s="70"/>
      <c r="AC162" s="70"/>
      <c r="AD162" s="70"/>
      <c r="AE162" s="70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K162" s="28"/>
      <c r="BL162" s="28"/>
      <c r="BM162" s="28"/>
      <c r="BN162" s="28"/>
      <c r="BO162" s="28"/>
      <c r="BP162" s="29"/>
      <c r="BQ162" s="29"/>
      <c r="BR162" s="29"/>
      <c r="BS162" s="29"/>
    </row>
    <row r="163" customFormat="false" ht="15" hidden="false" customHeight="false" outlineLevel="0" collapsed="false">
      <c r="A163" s="70"/>
      <c r="B163" s="70"/>
      <c r="C163" s="70"/>
      <c r="D163" s="70"/>
      <c r="E163" s="70"/>
      <c r="F163" s="70"/>
      <c r="G163" s="70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1"/>
      <c r="S163" s="71"/>
      <c r="T163" s="71"/>
      <c r="U163" s="70"/>
      <c r="V163" s="70"/>
      <c r="W163" s="70"/>
      <c r="X163" s="70"/>
      <c r="Y163" s="72"/>
      <c r="Z163" s="70"/>
      <c r="AA163" s="70"/>
      <c r="AB163" s="70"/>
      <c r="AC163" s="70"/>
      <c r="AD163" s="70"/>
      <c r="AE163" s="70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  <c r="BJ163" s="28"/>
      <c r="BK163" s="28"/>
      <c r="BL163" s="28"/>
      <c r="BM163" s="28"/>
      <c r="BN163" s="28"/>
      <c r="BO163" s="28"/>
      <c r="BP163" s="29"/>
      <c r="BQ163" s="29"/>
      <c r="BR163" s="29"/>
      <c r="BS163" s="29"/>
    </row>
    <row r="164" customFormat="false" ht="15" hidden="false" customHeight="false" outlineLevel="0" collapsed="false">
      <c r="A164" s="70"/>
      <c r="B164" s="70"/>
      <c r="C164" s="70"/>
      <c r="D164" s="70"/>
      <c r="E164" s="70"/>
      <c r="F164" s="70"/>
      <c r="G164" s="70"/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1"/>
      <c r="S164" s="71"/>
      <c r="T164" s="71"/>
      <c r="U164" s="70"/>
      <c r="V164" s="70"/>
      <c r="W164" s="70"/>
      <c r="X164" s="70"/>
      <c r="Y164" s="72"/>
      <c r="Z164" s="70"/>
      <c r="AA164" s="70"/>
      <c r="AB164" s="70"/>
      <c r="AC164" s="70"/>
      <c r="AD164" s="70"/>
      <c r="AE164" s="70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K164" s="28"/>
      <c r="BL164" s="28"/>
      <c r="BM164" s="28"/>
      <c r="BN164" s="28"/>
      <c r="BO164" s="28"/>
      <c r="BP164" s="29"/>
      <c r="BQ164" s="29"/>
      <c r="BR164" s="29"/>
      <c r="BS164" s="29"/>
    </row>
    <row r="165" customFormat="false" ht="15" hidden="false" customHeight="false" outlineLevel="0" collapsed="false">
      <c r="A165" s="70"/>
      <c r="B165" s="70"/>
      <c r="C165" s="70"/>
      <c r="D165" s="70"/>
      <c r="E165" s="70"/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1"/>
      <c r="S165" s="71"/>
      <c r="T165" s="71"/>
      <c r="U165" s="70"/>
      <c r="V165" s="70"/>
      <c r="W165" s="70"/>
      <c r="X165" s="70"/>
      <c r="Y165" s="72"/>
      <c r="Z165" s="70"/>
      <c r="AA165" s="70"/>
      <c r="AB165" s="70"/>
      <c r="AC165" s="70"/>
      <c r="AD165" s="70"/>
      <c r="AE165" s="70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  <c r="BK165" s="28"/>
      <c r="BL165" s="28"/>
      <c r="BM165" s="28"/>
      <c r="BN165" s="28"/>
      <c r="BO165" s="28"/>
      <c r="BP165" s="29"/>
      <c r="BQ165" s="29"/>
      <c r="BR165" s="29"/>
      <c r="BS165" s="29"/>
    </row>
    <row r="166" customFormat="false" ht="15" hidden="false" customHeight="false" outlineLevel="0" collapsed="false">
      <c r="A166" s="70"/>
      <c r="B166" s="70"/>
      <c r="C166" s="70"/>
      <c r="D166" s="70"/>
      <c r="E166" s="70"/>
      <c r="F166" s="70"/>
      <c r="G166" s="70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1"/>
      <c r="S166" s="71"/>
      <c r="T166" s="71"/>
      <c r="U166" s="70"/>
      <c r="V166" s="70"/>
      <c r="W166" s="70"/>
      <c r="X166" s="70"/>
      <c r="Y166" s="72"/>
      <c r="Z166" s="70"/>
      <c r="AA166" s="70"/>
      <c r="AB166" s="70"/>
      <c r="AC166" s="70"/>
      <c r="AD166" s="70"/>
      <c r="AE166" s="70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K166" s="28"/>
      <c r="BL166" s="28"/>
      <c r="BM166" s="28"/>
      <c r="BN166" s="28"/>
      <c r="BO166" s="28"/>
      <c r="BP166" s="29"/>
      <c r="BQ166" s="29"/>
      <c r="BR166" s="29"/>
      <c r="BS166" s="29"/>
    </row>
    <row r="167" customFormat="false" ht="15" hidden="false" customHeight="false" outlineLevel="0" collapsed="false">
      <c r="A167" s="70"/>
      <c r="B167" s="70"/>
      <c r="C167" s="70"/>
      <c r="D167" s="70"/>
      <c r="E167" s="70"/>
      <c r="F167" s="70"/>
      <c r="G167" s="70"/>
      <c r="H167" s="70"/>
      <c r="I167" s="70"/>
      <c r="J167" s="70"/>
      <c r="K167" s="70"/>
      <c r="L167" s="70"/>
      <c r="M167" s="70"/>
      <c r="N167" s="70"/>
      <c r="O167" s="70"/>
      <c r="P167" s="70"/>
      <c r="Q167" s="70"/>
      <c r="R167" s="71"/>
      <c r="S167" s="71"/>
      <c r="T167" s="71"/>
      <c r="U167" s="70"/>
      <c r="V167" s="70"/>
      <c r="W167" s="70"/>
      <c r="X167" s="70"/>
      <c r="Y167" s="72"/>
      <c r="Z167" s="70"/>
      <c r="AA167" s="70"/>
      <c r="AB167" s="70"/>
      <c r="AC167" s="70"/>
      <c r="AD167" s="70"/>
      <c r="AE167" s="70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  <c r="BJ167" s="28"/>
      <c r="BK167" s="28"/>
      <c r="BL167" s="28"/>
      <c r="BM167" s="28"/>
      <c r="BN167" s="28"/>
      <c r="BO167" s="28"/>
      <c r="BP167" s="29"/>
      <c r="BQ167" s="29"/>
      <c r="BR167" s="29"/>
      <c r="BS167" s="29"/>
    </row>
    <row r="168" customFormat="false" ht="15" hidden="false" customHeight="false" outlineLevel="0" collapsed="false">
      <c r="A168" s="70"/>
      <c r="B168" s="70"/>
      <c r="C168" s="70"/>
      <c r="D168" s="70"/>
      <c r="E168" s="70"/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1"/>
      <c r="S168" s="71"/>
      <c r="T168" s="71"/>
      <c r="U168" s="70"/>
      <c r="V168" s="70"/>
      <c r="W168" s="70"/>
      <c r="X168" s="70"/>
      <c r="Y168" s="72"/>
      <c r="Z168" s="70"/>
      <c r="AA168" s="70"/>
      <c r="AB168" s="70"/>
      <c r="AC168" s="70"/>
      <c r="AD168" s="70"/>
      <c r="AE168" s="70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  <c r="BG168" s="28"/>
      <c r="BH168" s="28"/>
      <c r="BI168" s="28"/>
      <c r="BJ168" s="28"/>
      <c r="BK168" s="28"/>
      <c r="BL168" s="28"/>
      <c r="BM168" s="28"/>
      <c r="BN168" s="28"/>
      <c r="BO168" s="28"/>
      <c r="BP168" s="29"/>
      <c r="BQ168" s="29"/>
      <c r="BR168" s="29"/>
      <c r="BS168" s="29"/>
    </row>
    <row r="169" customFormat="false" ht="15" hidden="false" customHeight="false" outlineLevel="0" collapsed="false">
      <c r="A169" s="70"/>
      <c r="B169" s="70"/>
      <c r="C169" s="70"/>
      <c r="D169" s="70"/>
      <c r="E169" s="70"/>
      <c r="F169" s="70"/>
      <c r="G169" s="70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1"/>
      <c r="S169" s="71"/>
      <c r="T169" s="71"/>
      <c r="U169" s="70"/>
      <c r="V169" s="70"/>
      <c r="W169" s="70"/>
      <c r="X169" s="70"/>
      <c r="Y169" s="72"/>
      <c r="Z169" s="70"/>
      <c r="AA169" s="70"/>
      <c r="AB169" s="70"/>
      <c r="AC169" s="70"/>
      <c r="AD169" s="70"/>
      <c r="AE169" s="70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  <c r="BJ169" s="28"/>
      <c r="BK169" s="28"/>
      <c r="BL169" s="28"/>
      <c r="BM169" s="28"/>
      <c r="BN169" s="28"/>
      <c r="BO169" s="28"/>
      <c r="BP169" s="29"/>
      <c r="BQ169" s="29"/>
      <c r="BR169" s="29"/>
      <c r="BS169" s="29"/>
    </row>
    <row r="170" customFormat="false" ht="15" hidden="false" customHeight="false" outlineLevel="0" collapsed="false">
      <c r="A170" s="70"/>
      <c r="B170" s="70"/>
      <c r="C170" s="70"/>
      <c r="D170" s="70"/>
      <c r="E170" s="70"/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1"/>
      <c r="S170" s="71"/>
      <c r="T170" s="71"/>
      <c r="U170" s="70"/>
      <c r="V170" s="70"/>
      <c r="W170" s="70"/>
      <c r="X170" s="70"/>
      <c r="Y170" s="72"/>
      <c r="Z170" s="70"/>
      <c r="AA170" s="70"/>
      <c r="AB170" s="70"/>
      <c r="AC170" s="70"/>
      <c r="AD170" s="70"/>
      <c r="AE170" s="70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  <c r="BH170" s="28"/>
      <c r="BI170" s="28"/>
      <c r="BJ170" s="28"/>
      <c r="BK170" s="28"/>
      <c r="BL170" s="28"/>
      <c r="BM170" s="28"/>
      <c r="BN170" s="28"/>
      <c r="BO170" s="28"/>
      <c r="BP170" s="29"/>
      <c r="BQ170" s="29"/>
      <c r="BR170" s="29"/>
      <c r="BS170" s="29"/>
    </row>
    <row r="171" customFormat="false" ht="15" hidden="false" customHeight="false" outlineLevel="0" collapsed="false">
      <c r="A171" s="70"/>
      <c r="B171" s="70"/>
      <c r="C171" s="70"/>
      <c r="D171" s="70"/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1"/>
      <c r="S171" s="71"/>
      <c r="T171" s="71"/>
      <c r="U171" s="70"/>
      <c r="V171" s="70"/>
      <c r="W171" s="70"/>
      <c r="X171" s="70"/>
      <c r="Y171" s="72"/>
      <c r="Z171" s="70"/>
      <c r="AA171" s="70"/>
      <c r="AB171" s="70"/>
      <c r="AC171" s="70"/>
      <c r="AD171" s="70"/>
      <c r="AE171" s="70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  <c r="BH171" s="28"/>
      <c r="BI171" s="28"/>
      <c r="BJ171" s="28"/>
      <c r="BK171" s="28"/>
      <c r="BL171" s="28"/>
      <c r="BM171" s="28"/>
      <c r="BN171" s="28"/>
      <c r="BO171" s="28"/>
      <c r="BP171" s="29"/>
      <c r="BQ171" s="29"/>
      <c r="BR171" s="29"/>
      <c r="BS171" s="29"/>
    </row>
    <row r="172" customFormat="false" ht="15" hidden="false" customHeight="false" outlineLevel="0" collapsed="false">
      <c r="A172" s="70"/>
      <c r="B172" s="70"/>
      <c r="C172" s="70"/>
      <c r="D172" s="70"/>
      <c r="E172" s="70"/>
      <c r="F172" s="70"/>
      <c r="G172" s="70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1"/>
      <c r="S172" s="71"/>
      <c r="T172" s="71"/>
      <c r="U172" s="70"/>
      <c r="V172" s="70"/>
      <c r="W172" s="70"/>
      <c r="X172" s="70"/>
      <c r="Y172" s="72"/>
      <c r="Z172" s="70"/>
      <c r="AA172" s="70"/>
      <c r="AB172" s="70"/>
      <c r="AC172" s="70"/>
      <c r="AD172" s="70"/>
      <c r="AE172" s="70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  <c r="BD172" s="28"/>
      <c r="BE172" s="28"/>
      <c r="BF172" s="28"/>
      <c r="BG172" s="28"/>
      <c r="BH172" s="28"/>
      <c r="BI172" s="28"/>
      <c r="BJ172" s="28"/>
      <c r="BK172" s="28"/>
      <c r="BL172" s="28"/>
      <c r="BM172" s="28"/>
      <c r="BN172" s="28"/>
      <c r="BO172" s="28"/>
      <c r="BP172" s="29"/>
      <c r="BQ172" s="29"/>
      <c r="BR172" s="29"/>
      <c r="BS172" s="29"/>
    </row>
    <row r="173" customFormat="false" ht="15" hidden="false" customHeight="false" outlineLevel="0" collapsed="false">
      <c r="A173" s="70"/>
      <c r="B173" s="70"/>
      <c r="C173" s="70"/>
      <c r="D173" s="70"/>
      <c r="E173" s="70"/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1"/>
      <c r="S173" s="71"/>
      <c r="T173" s="71"/>
      <c r="U173" s="70"/>
      <c r="V173" s="70"/>
      <c r="W173" s="70"/>
      <c r="X173" s="70"/>
      <c r="Y173" s="72"/>
      <c r="Z173" s="70"/>
      <c r="AA173" s="70"/>
      <c r="AB173" s="70"/>
      <c r="AC173" s="70"/>
      <c r="AD173" s="70"/>
      <c r="AE173" s="70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28"/>
      <c r="BM173" s="28"/>
      <c r="BN173" s="28"/>
      <c r="BO173" s="28"/>
      <c r="BP173" s="29"/>
      <c r="BQ173" s="29"/>
      <c r="BR173" s="29"/>
      <c r="BS173" s="29"/>
    </row>
    <row r="174" customFormat="false" ht="15" hidden="false" customHeight="false" outlineLevel="0" collapsed="false">
      <c r="A174" s="73"/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4"/>
      <c r="S174" s="74"/>
      <c r="T174" s="74"/>
      <c r="U174" s="73"/>
      <c r="V174" s="73"/>
      <c r="W174" s="73"/>
      <c r="X174" s="73"/>
      <c r="Y174" s="75"/>
      <c r="Z174" s="73"/>
      <c r="AA174" s="73"/>
      <c r="AB174" s="73"/>
      <c r="AC174" s="73"/>
      <c r="AD174" s="73"/>
      <c r="AE174" s="73"/>
      <c r="AF174" s="76"/>
      <c r="AG174" s="76"/>
      <c r="AH174" s="76"/>
      <c r="AI174" s="76"/>
      <c r="AJ174" s="76"/>
      <c r="AK174" s="76"/>
      <c r="AL174" s="76"/>
      <c r="AM174" s="76"/>
      <c r="AN174" s="76"/>
      <c r="AO174" s="76"/>
      <c r="AP174" s="76"/>
      <c r="AQ174" s="76"/>
      <c r="AR174" s="76"/>
      <c r="AS174" s="76"/>
      <c r="AT174" s="76"/>
      <c r="AU174" s="76"/>
      <c r="AV174" s="76"/>
      <c r="AW174" s="76"/>
      <c r="AX174" s="76"/>
      <c r="AY174" s="76"/>
      <c r="AZ174" s="76"/>
      <c r="BA174" s="76"/>
      <c r="BB174" s="76"/>
      <c r="BC174" s="76"/>
      <c r="BD174" s="76"/>
      <c r="BE174" s="76"/>
      <c r="BF174" s="76"/>
      <c r="BG174" s="76"/>
      <c r="BH174" s="76"/>
      <c r="BI174" s="76"/>
      <c r="BJ174" s="76"/>
      <c r="BK174" s="76"/>
      <c r="BL174" s="76"/>
      <c r="BM174" s="76"/>
      <c r="BN174" s="76"/>
      <c r="BO174" s="76"/>
    </row>
    <row r="175" customFormat="false" ht="15" hidden="false" customHeight="false" outlineLevel="0" collapsed="false">
      <c r="A175" s="73"/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4"/>
      <c r="S175" s="74"/>
      <c r="T175" s="74"/>
      <c r="U175" s="73"/>
      <c r="V175" s="73"/>
      <c r="W175" s="73"/>
      <c r="X175" s="73"/>
      <c r="Y175" s="75"/>
      <c r="Z175" s="73"/>
      <c r="AA175" s="73"/>
      <c r="AB175" s="73"/>
      <c r="AC175" s="73"/>
      <c r="AD175" s="73"/>
      <c r="AE175" s="73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</row>
    <row r="176" customFormat="false" ht="15" hidden="false" customHeight="false" outlineLevel="0" collapsed="false">
      <c r="A176" s="73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4"/>
      <c r="S176" s="74"/>
      <c r="T176" s="74"/>
      <c r="U176" s="73"/>
      <c r="V176" s="73"/>
      <c r="W176" s="73"/>
      <c r="X176" s="73"/>
      <c r="Y176" s="75"/>
      <c r="Z176" s="73"/>
      <c r="AA176" s="73"/>
      <c r="AB176" s="73"/>
      <c r="AC176" s="73"/>
      <c r="AD176" s="73"/>
      <c r="AE176" s="73"/>
      <c r="AF176" s="76"/>
      <c r="AG176" s="76"/>
      <c r="AH176" s="76"/>
      <c r="AI176" s="76"/>
      <c r="AJ176" s="76"/>
      <c r="AK176" s="76"/>
      <c r="AL176" s="76"/>
      <c r="AM176" s="76"/>
      <c r="AN176" s="76"/>
      <c r="AO176" s="76"/>
      <c r="AP176" s="76"/>
      <c r="AQ176" s="76"/>
      <c r="AR176" s="76"/>
      <c r="AS176" s="76"/>
      <c r="AT176" s="76"/>
      <c r="AU176" s="76"/>
      <c r="AV176" s="76"/>
      <c r="AW176" s="76"/>
      <c r="AX176" s="76"/>
      <c r="AY176" s="76"/>
      <c r="AZ176" s="76"/>
      <c r="BA176" s="76"/>
      <c r="BB176" s="76"/>
      <c r="BC176" s="76"/>
      <c r="BD176" s="76"/>
      <c r="BE176" s="76"/>
      <c r="BF176" s="76"/>
      <c r="BG176" s="76"/>
      <c r="BH176" s="76"/>
      <c r="BI176" s="76"/>
      <c r="BJ176" s="76"/>
      <c r="BK176" s="76"/>
      <c r="BL176" s="76"/>
      <c r="BM176" s="76"/>
      <c r="BN176" s="76"/>
      <c r="BO176" s="76"/>
    </row>
    <row r="177" customFormat="false" ht="15" hidden="false" customHeight="false" outlineLevel="0" collapsed="false">
      <c r="A177" s="73"/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4"/>
      <c r="S177" s="74"/>
      <c r="T177" s="74"/>
      <c r="U177" s="73"/>
      <c r="V177" s="73"/>
      <c r="W177" s="73"/>
      <c r="X177" s="73"/>
      <c r="Y177" s="75"/>
      <c r="Z177" s="73"/>
      <c r="AA177" s="73"/>
      <c r="AB177" s="73"/>
      <c r="AC177" s="73"/>
      <c r="AD177" s="73"/>
      <c r="AE177" s="73"/>
      <c r="AF177" s="76"/>
      <c r="AG177" s="76"/>
      <c r="AH177" s="76"/>
      <c r="AI177" s="76"/>
      <c r="AJ177" s="76"/>
      <c r="AK177" s="76"/>
      <c r="AL177" s="76"/>
      <c r="AM177" s="76"/>
      <c r="AN177" s="76"/>
      <c r="AO177" s="76"/>
      <c r="AP177" s="76"/>
      <c r="AQ177" s="76"/>
      <c r="AR177" s="76"/>
      <c r="AS177" s="76"/>
      <c r="AT177" s="76"/>
      <c r="AU177" s="76"/>
      <c r="AV177" s="76"/>
      <c r="AW177" s="76"/>
      <c r="AX177" s="76"/>
      <c r="AY177" s="76"/>
      <c r="AZ177" s="76"/>
      <c r="BA177" s="76"/>
      <c r="BB177" s="76"/>
      <c r="BC177" s="76"/>
      <c r="BD177" s="76"/>
      <c r="BE177" s="76"/>
      <c r="BF177" s="76"/>
      <c r="BG177" s="76"/>
      <c r="BH177" s="76"/>
      <c r="BI177" s="76"/>
      <c r="BJ177" s="76"/>
      <c r="BK177" s="76"/>
      <c r="BL177" s="76"/>
      <c r="BM177" s="76"/>
      <c r="BN177" s="76"/>
      <c r="BO177" s="76"/>
    </row>
    <row r="178" customFormat="false" ht="15" hidden="false" customHeight="false" outlineLevel="0" collapsed="false">
      <c r="A178" s="73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4"/>
      <c r="S178" s="74"/>
      <c r="T178" s="74"/>
      <c r="U178" s="73"/>
      <c r="V178" s="73"/>
      <c r="W178" s="73"/>
      <c r="X178" s="73"/>
      <c r="Y178" s="75"/>
      <c r="Z178" s="73"/>
      <c r="AA178" s="73"/>
      <c r="AB178" s="73"/>
      <c r="AC178" s="73"/>
      <c r="AD178" s="73"/>
      <c r="AE178" s="73"/>
      <c r="AF178" s="76"/>
      <c r="AG178" s="76"/>
      <c r="AH178" s="76"/>
      <c r="AI178" s="76"/>
      <c r="AJ178" s="76"/>
      <c r="AK178" s="76"/>
      <c r="AL178" s="76"/>
      <c r="AM178" s="76"/>
      <c r="AN178" s="76"/>
      <c r="AO178" s="76"/>
      <c r="AP178" s="76"/>
      <c r="AQ178" s="76"/>
      <c r="AR178" s="76"/>
      <c r="AS178" s="76"/>
      <c r="AT178" s="76"/>
      <c r="AU178" s="76"/>
      <c r="AV178" s="76"/>
      <c r="AW178" s="76"/>
      <c r="AX178" s="76"/>
      <c r="AY178" s="76"/>
      <c r="AZ178" s="76"/>
      <c r="BA178" s="76"/>
      <c r="BB178" s="76"/>
      <c r="BC178" s="76"/>
      <c r="BD178" s="76"/>
      <c r="BE178" s="76"/>
      <c r="BF178" s="76"/>
      <c r="BG178" s="76"/>
      <c r="BH178" s="76"/>
      <c r="BI178" s="76"/>
      <c r="BJ178" s="76"/>
      <c r="BK178" s="76"/>
      <c r="BL178" s="76"/>
      <c r="BM178" s="76"/>
      <c r="BN178" s="76"/>
      <c r="BO178" s="76"/>
    </row>
    <row r="179" customFormat="false" ht="15" hidden="false" customHeight="false" outlineLevel="0" collapsed="false">
      <c r="A179" s="73"/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4"/>
      <c r="S179" s="74"/>
      <c r="T179" s="74"/>
      <c r="U179" s="73"/>
      <c r="V179" s="73"/>
      <c r="W179" s="73"/>
      <c r="X179" s="73"/>
      <c r="Y179" s="75"/>
      <c r="Z179" s="73"/>
      <c r="AA179" s="73"/>
      <c r="AB179" s="73"/>
      <c r="AC179" s="73"/>
      <c r="AD179" s="73"/>
      <c r="AE179" s="73"/>
      <c r="AF179" s="76"/>
      <c r="AG179" s="76"/>
      <c r="AH179" s="76"/>
      <c r="AI179" s="76"/>
      <c r="AJ179" s="76"/>
      <c r="AK179" s="76"/>
      <c r="AL179" s="76"/>
      <c r="AM179" s="76"/>
      <c r="AN179" s="76"/>
      <c r="AO179" s="76"/>
      <c r="AP179" s="76"/>
      <c r="AQ179" s="76"/>
      <c r="AR179" s="76"/>
      <c r="AS179" s="76"/>
      <c r="AT179" s="76"/>
      <c r="AU179" s="76"/>
      <c r="AV179" s="76"/>
      <c r="AW179" s="76"/>
      <c r="AX179" s="76"/>
      <c r="AY179" s="76"/>
      <c r="AZ179" s="76"/>
      <c r="BA179" s="76"/>
      <c r="BB179" s="76"/>
      <c r="BC179" s="76"/>
      <c r="BD179" s="76"/>
      <c r="BE179" s="76"/>
      <c r="BF179" s="76"/>
      <c r="BG179" s="76"/>
      <c r="BH179" s="76"/>
      <c r="BI179" s="76"/>
      <c r="BJ179" s="76"/>
      <c r="BK179" s="76"/>
      <c r="BL179" s="76"/>
      <c r="BM179" s="76"/>
      <c r="BN179" s="76"/>
      <c r="BO179" s="76"/>
    </row>
    <row r="180" customFormat="false" ht="15" hidden="false" customHeight="false" outlineLevel="0" collapsed="false">
      <c r="A180" s="73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4"/>
      <c r="S180" s="74"/>
      <c r="T180" s="74"/>
      <c r="U180" s="73"/>
      <c r="V180" s="73"/>
      <c r="W180" s="73"/>
      <c r="X180" s="73"/>
      <c r="Y180" s="75"/>
      <c r="Z180" s="73"/>
      <c r="AA180" s="73"/>
      <c r="AB180" s="73"/>
      <c r="AC180" s="73"/>
      <c r="AD180" s="73"/>
      <c r="AE180" s="73"/>
      <c r="AF180" s="76"/>
      <c r="AG180" s="76"/>
      <c r="AH180" s="76"/>
      <c r="AI180" s="76"/>
      <c r="AJ180" s="76"/>
      <c r="AK180" s="76"/>
      <c r="AL180" s="76"/>
      <c r="AM180" s="76"/>
      <c r="AN180" s="76"/>
      <c r="AO180" s="76"/>
      <c r="AP180" s="76"/>
      <c r="AQ180" s="76"/>
      <c r="AR180" s="76"/>
      <c r="AS180" s="76"/>
      <c r="AT180" s="76"/>
      <c r="AU180" s="76"/>
      <c r="AV180" s="76"/>
      <c r="AW180" s="76"/>
      <c r="AX180" s="76"/>
      <c r="AY180" s="76"/>
      <c r="AZ180" s="76"/>
      <c r="BA180" s="76"/>
      <c r="BB180" s="76"/>
      <c r="BC180" s="76"/>
      <c r="BD180" s="76"/>
      <c r="BE180" s="76"/>
      <c r="BF180" s="76"/>
      <c r="BG180" s="76"/>
      <c r="BH180" s="76"/>
      <c r="BI180" s="76"/>
      <c r="BJ180" s="76"/>
      <c r="BK180" s="76"/>
      <c r="BL180" s="76"/>
      <c r="BM180" s="76"/>
      <c r="BN180" s="76"/>
      <c r="BO180" s="76"/>
    </row>
    <row r="181" customFormat="false" ht="15" hidden="false" customHeight="false" outlineLevel="0" collapsed="false">
      <c r="A181" s="73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4"/>
      <c r="S181" s="74"/>
      <c r="T181" s="74"/>
      <c r="U181" s="73"/>
      <c r="V181" s="73"/>
      <c r="W181" s="73"/>
      <c r="X181" s="73"/>
      <c r="Y181" s="75"/>
      <c r="Z181" s="73"/>
      <c r="AA181" s="73"/>
      <c r="AB181" s="73"/>
      <c r="AC181" s="73"/>
      <c r="AD181" s="73"/>
      <c r="AE181" s="73"/>
      <c r="AF181" s="76"/>
      <c r="AG181" s="76"/>
      <c r="AH181" s="76"/>
      <c r="AI181" s="76"/>
      <c r="AJ181" s="76"/>
      <c r="AK181" s="76"/>
      <c r="AL181" s="76"/>
      <c r="AM181" s="76"/>
      <c r="AN181" s="76"/>
      <c r="AO181" s="76"/>
      <c r="AP181" s="76"/>
      <c r="AQ181" s="76"/>
      <c r="AR181" s="76"/>
      <c r="AS181" s="76"/>
      <c r="AT181" s="76"/>
      <c r="AU181" s="76"/>
      <c r="AV181" s="76"/>
      <c r="AW181" s="76"/>
      <c r="AX181" s="76"/>
      <c r="AY181" s="76"/>
      <c r="AZ181" s="76"/>
      <c r="BA181" s="76"/>
      <c r="BB181" s="76"/>
      <c r="BC181" s="76"/>
      <c r="BD181" s="76"/>
      <c r="BE181" s="76"/>
      <c r="BF181" s="76"/>
      <c r="BG181" s="76"/>
      <c r="BH181" s="76"/>
      <c r="BI181" s="76"/>
      <c r="BJ181" s="76"/>
      <c r="BK181" s="76"/>
      <c r="BL181" s="76"/>
      <c r="BM181" s="76"/>
      <c r="BN181" s="76"/>
      <c r="BO181" s="76"/>
    </row>
    <row r="182" customFormat="false" ht="15" hidden="false" customHeight="false" outlineLevel="0" collapsed="false">
      <c r="A182" s="73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4"/>
      <c r="S182" s="74"/>
      <c r="T182" s="74"/>
      <c r="U182" s="73"/>
      <c r="V182" s="73"/>
      <c r="W182" s="73"/>
      <c r="X182" s="73"/>
      <c r="Y182" s="75"/>
      <c r="Z182" s="73"/>
      <c r="AA182" s="73"/>
      <c r="AB182" s="73"/>
      <c r="AC182" s="73"/>
      <c r="AD182" s="73"/>
      <c r="AE182" s="73"/>
      <c r="AF182" s="76"/>
      <c r="AG182" s="76"/>
      <c r="AH182" s="76"/>
      <c r="AI182" s="76"/>
      <c r="AJ182" s="76"/>
      <c r="AK182" s="76"/>
      <c r="AL182" s="76"/>
      <c r="AM182" s="76"/>
      <c r="AN182" s="76"/>
      <c r="AO182" s="76"/>
      <c r="AP182" s="76"/>
      <c r="AQ182" s="76"/>
      <c r="AR182" s="76"/>
      <c r="AS182" s="76"/>
      <c r="AT182" s="76"/>
      <c r="AU182" s="76"/>
      <c r="AV182" s="76"/>
      <c r="AW182" s="76"/>
      <c r="AX182" s="76"/>
      <c r="AY182" s="76"/>
      <c r="AZ182" s="76"/>
      <c r="BA182" s="76"/>
      <c r="BB182" s="76"/>
      <c r="BC182" s="76"/>
      <c r="BD182" s="76"/>
      <c r="BE182" s="76"/>
      <c r="BF182" s="76"/>
      <c r="BG182" s="76"/>
      <c r="BH182" s="76"/>
      <c r="BI182" s="76"/>
      <c r="BJ182" s="76"/>
      <c r="BK182" s="76"/>
      <c r="BL182" s="76"/>
      <c r="BM182" s="76"/>
      <c r="BN182" s="76"/>
      <c r="BO182" s="76"/>
    </row>
    <row r="183" customFormat="false" ht="15" hidden="false" customHeight="false" outlineLevel="0" collapsed="false">
      <c r="A183" s="73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4"/>
      <c r="S183" s="74"/>
      <c r="T183" s="74"/>
      <c r="U183" s="73"/>
      <c r="V183" s="73"/>
      <c r="W183" s="73"/>
      <c r="X183" s="73"/>
      <c r="Y183" s="75"/>
      <c r="Z183" s="73"/>
      <c r="AA183" s="73"/>
      <c r="AB183" s="73"/>
      <c r="AC183" s="73"/>
      <c r="AD183" s="73"/>
      <c r="AE183" s="73"/>
      <c r="AF183" s="76"/>
      <c r="AG183" s="76"/>
      <c r="AH183" s="76"/>
      <c r="AI183" s="76"/>
      <c r="AJ183" s="76"/>
      <c r="AK183" s="76"/>
      <c r="AL183" s="76"/>
      <c r="AM183" s="76"/>
      <c r="AN183" s="76"/>
      <c r="AO183" s="76"/>
      <c r="AP183" s="76"/>
      <c r="AQ183" s="76"/>
      <c r="AR183" s="76"/>
      <c r="AS183" s="76"/>
      <c r="AT183" s="76"/>
      <c r="AU183" s="76"/>
      <c r="AV183" s="76"/>
      <c r="AW183" s="76"/>
      <c r="AX183" s="76"/>
      <c r="AY183" s="76"/>
      <c r="AZ183" s="76"/>
      <c r="BA183" s="76"/>
      <c r="BB183" s="76"/>
      <c r="BC183" s="76"/>
      <c r="BD183" s="76"/>
      <c r="BE183" s="76"/>
      <c r="BF183" s="76"/>
      <c r="BG183" s="76"/>
      <c r="BH183" s="76"/>
      <c r="BI183" s="76"/>
      <c r="BJ183" s="76"/>
      <c r="BK183" s="76"/>
      <c r="BL183" s="76"/>
      <c r="BM183" s="76"/>
      <c r="BN183" s="76"/>
      <c r="BO183" s="76"/>
    </row>
    <row r="184" customFormat="false" ht="15" hidden="false" customHeight="false" outlineLevel="0" collapsed="false">
      <c r="A184" s="73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4"/>
      <c r="S184" s="74"/>
      <c r="T184" s="74"/>
      <c r="U184" s="73"/>
      <c r="V184" s="73"/>
      <c r="W184" s="73"/>
      <c r="X184" s="73"/>
      <c r="Y184" s="75"/>
      <c r="Z184" s="73"/>
      <c r="AA184" s="73"/>
      <c r="AB184" s="73"/>
      <c r="AC184" s="73"/>
      <c r="AD184" s="73"/>
      <c r="AE184" s="73"/>
      <c r="AF184" s="76"/>
      <c r="AG184" s="76"/>
      <c r="AH184" s="76"/>
      <c r="AI184" s="76"/>
      <c r="AJ184" s="76"/>
      <c r="AK184" s="76"/>
      <c r="AL184" s="76"/>
      <c r="AM184" s="76"/>
      <c r="AN184" s="76"/>
      <c r="AO184" s="76"/>
      <c r="AP184" s="76"/>
      <c r="AQ184" s="76"/>
      <c r="AR184" s="76"/>
      <c r="AS184" s="76"/>
      <c r="AT184" s="76"/>
      <c r="AU184" s="76"/>
      <c r="AV184" s="76"/>
      <c r="AW184" s="76"/>
      <c r="AX184" s="76"/>
      <c r="AY184" s="76"/>
      <c r="AZ184" s="76"/>
      <c r="BA184" s="76"/>
      <c r="BB184" s="76"/>
      <c r="BC184" s="76"/>
      <c r="BD184" s="76"/>
      <c r="BE184" s="76"/>
      <c r="BF184" s="76"/>
      <c r="BG184" s="76"/>
      <c r="BH184" s="76"/>
      <c r="BI184" s="76"/>
      <c r="BJ184" s="76"/>
      <c r="BK184" s="76"/>
      <c r="BL184" s="76"/>
      <c r="BM184" s="76"/>
      <c r="BN184" s="76"/>
      <c r="BO184" s="76"/>
    </row>
    <row r="185" customFormat="false" ht="15" hidden="false" customHeight="false" outlineLevel="0" collapsed="false">
      <c r="A185" s="73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4"/>
      <c r="S185" s="74"/>
      <c r="T185" s="74"/>
      <c r="U185" s="73"/>
      <c r="V185" s="73"/>
      <c r="W185" s="73"/>
      <c r="X185" s="73"/>
      <c r="Y185" s="75"/>
      <c r="Z185" s="73"/>
      <c r="AA185" s="73"/>
      <c r="AB185" s="73"/>
      <c r="AC185" s="73"/>
      <c r="AD185" s="73"/>
      <c r="AE185" s="73"/>
      <c r="AF185" s="76"/>
      <c r="AG185" s="76"/>
      <c r="AH185" s="76"/>
      <c r="AI185" s="76"/>
      <c r="AJ185" s="76"/>
      <c r="AK185" s="76"/>
      <c r="AL185" s="76"/>
      <c r="AM185" s="76"/>
      <c r="AN185" s="76"/>
      <c r="AO185" s="76"/>
      <c r="AP185" s="76"/>
      <c r="AQ185" s="76"/>
      <c r="AR185" s="76"/>
      <c r="AS185" s="76"/>
      <c r="AT185" s="76"/>
      <c r="AU185" s="76"/>
      <c r="AV185" s="76"/>
      <c r="AW185" s="76"/>
      <c r="AX185" s="76"/>
      <c r="AY185" s="76"/>
      <c r="AZ185" s="76"/>
      <c r="BA185" s="76"/>
      <c r="BB185" s="76"/>
      <c r="BC185" s="76"/>
      <c r="BD185" s="76"/>
      <c r="BE185" s="76"/>
      <c r="BF185" s="76"/>
      <c r="BG185" s="76"/>
      <c r="BH185" s="76"/>
      <c r="BI185" s="76"/>
      <c r="BJ185" s="76"/>
      <c r="BK185" s="76"/>
      <c r="BL185" s="76"/>
      <c r="BM185" s="76"/>
      <c r="BN185" s="76"/>
      <c r="BO185" s="76"/>
    </row>
    <row r="186" customFormat="false" ht="15" hidden="false" customHeight="false" outlineLevel="0" collapsed="false">
      <c r="A186" s="73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4"/>
      <c r="S186" s="74"/>
      <c r="T186" s="74"/>
      <c r="U186" s="73"/>
      <c r="V186" s="73"/>
      <c r="W186" s="73"/>
      <c r="X186" s="73"/>
      <c r="Y186" s="75"/>
      <c r="Z186" s="73"/>
      <c r="AA186" s="73"/>
      <c r="AB186" s="73"/>
      <c r="AC186" s="73"/>
      <c r="AD186" s="73"/>
      <c r="AE186" s="73"/>
      <c r="AF186" s="76"/>
      <c r="AG186" s="76"/>
      <c r="AH186" s="76"/>
      <c r="AI186" s="76"/>
      <c r="AJ186" s="76"/>
      <c r="AK186" s="76"/>
      <c r="AL186" s="76"/>
      <c r="AM186" s="76"/>
      <c r="AN186" s="76"/>
      <c r="AO186" s="76"/>
      <c r="AP186" s="76"/>
      <c r="AQ186" s="76"/>
      <c r="AR186" s="76"/>
      <c r="AS186" s="76"/>
      <c r="AT186" s="76"/>
      <c r="AU186" s="76"/>
      <c r="AV186" s="76"/>
      <c r="AW186" s="76"/>
      <c r="AX186" s="76"/>
      <c r="AY186" s="76"/>
      <c r="AZ186" s="76"/>
      <c r="BA186" s="76"/>
      <c r="BB186" s="76"/>
      <c r="BC186" s="76"/>
      <c r="BD186" s="76"/>
      <c r="BE186" s="76"/>
      <c r="BF186" s="76"/>
      <c r="BG186" s="76"/>
      <c r="BH186" s="76"/>
      <c r="BI186" s="76"/>
      <c r="BJ186" s="76"/>
      <c r="BK186" s="76"/>
      <c r="BL186" s="76"/>
      <c r="BM186" s="76"/>
      <c r="BN186" s="76"/>
      <c r="BO186" s="76"/>
    </row>
    <row r="187" customFormat="false" ht="15" hidden="false" customHeight="false" outlineLevel="0" collapsed="false">
      <c r="A187" s="73"/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4"/>
      <c r="S187" s="74"/>
      <c r="T187" s="74"/>
      <c r="U187" s="73"/>
      <c r="V187" s="73"/>
      <c r="W187" s="73"/>
      <c r="X187" s="73"/>
      <c r="Y187" s="75"/>
      <c r="Z187" s="73"/>
      <c r="AA187" s="73"/>
      <c r="AB187" s="73"/>
      <c r="AC187" s="73"/>
      <c r="AD187" s="73"/>
      <c r="AE187" s="73"/>
      <c r="AF187" s="76"/>
      <c r="AG187" s="76"/>
      <c r="AH187" s="76"/>
      <c r="AI187" s="76"/>
      <c r="AJ187" s="76"/>
      <c r="AK187" s="76"/>
      <c r="AL187" s="76"/>
      <c r="AM187" s="76"/>
      <c r="AN187" s="76"/>
      <c r="AO187" s="76"/>
      <c r="AP187" s="76"/>
      <c r="AQ187" s="76"/>
      <c r="AR187" s="76"/>
      <c r="AS187" s="76"/>
      <c r="AT187" s="76"/>
      <c r="AU187" s="76"/>
      <c r="AV187" s="76"/>
      <c r="AW187" s="76"/>
      <c r="AX187" s="76"/>
      <c r="AY187" s="76"/>
      <c r="AZ187" s="76"/>
      <c r="BA187" s="76"/>
      <c r="BB187" s="76"/>
      <c r="BC187" s="76"/>
      <c r="BD187" s="76"/>
      <c r="BE187" s="76"/>
      <c r="BF187" s="76"/>
      <c r="BG187" s="76"/>
      <c r="BH187" s="76"/>
      <c r="BI187" s="76"/>
      <c r="BJ187" s="76"/>
      <c r="BK187" s="76"/>
      <c r="BL187" s="76"/>
      <c r="BM187" s="76"/>
      <c r="BN187" s="76"/>
      <c r="BO187" s="76"/>
    </row>
    <row r="188" customFormat="false" ht="15" hidden="false" customHeight="false" outlineLevel="0" collapsed="false">
      <c r="A188" s="73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4"/>
      <c r="S188" s="74"/>
      <c r="T188" s="74"/>
      <c r="U188" s="73"/>
      <c r="V188" s="73"/>
      <c r="W188" s="73"/>
      <c r="X188" s="73"/>
      <c r="Y188" s="75"/>
      <c r="Z188" s="73"/>
      <c r="AA188" s="73"/>
      <c r="AB188" s="73"/>
      <c r="AC188" s="73"/>
      <c r="AD188" s="73"/>
      <c r="AE188" s="73"/>
      <c r="AF188" s="76"/>
      <c r="AG188" s="76"/>
      <c r="AH188" s="76"/>
      <c r="AI188" s="76"/>
      <c r="AJ188" s="76"/>
      <c r="AK188" s="76"/>
      <c r="AL188" s="76"/>
      <c r="AM188" s="76"/>
      <c r="AN188" s="76"/>
      <c r="AO188" s="76"/>
      <c r="AP188" s="76"/>
      <c r="AQ188" s="76"/>
      <c r="AR188" s="76"/>
      <c r="AS188" s="76"/>
      <c r="AT188" s="76"/>
      <c r="AU188" s="76"/>
      <c r="AV188" s="76"/>
      <c r="AW188" s="76"/>
      <c r="AX188" s="76"/>
      <c r="AY188" s="76"/>
      <c r="AZ188" s="76"/>
      <c r="BA188" s="76"/>
      <c r="BB188" s="76"/>
      <c r="BC188" s="76"/>
      <c r="BD188" s="76"/>
      <c r="BE188" s="76"/>
      <c r="BF188" s="76"/>
      <c r="BG188" s="76"/>
      <c r="BH188" s="76"/>
      <c r="BI188" s="76"/>
      <c r="BJ188" s="76"/>
      <c r="BK188" s="76"/>
      <c r="BL188" s="76"/>
      <c r="BM188" s="76"/>
      <c r="BN188" s="76"/>
      <c r="BO188" s="76"/>
    </row>
    <row r="189" customFormat="false" ht="15" hidden="false" customHeight="false" outlineLevel="0" collapsed="false">
      <c r="A189" s="73"/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4"/>
      <c r="S189" s="74"/>
      <c r="T189" s="74"/>
      <c r="U189" s="73"/>
      <c r="V189" s="73"/>
      <c r="W189" s="73"/>
      <c r="X189" s="73"/>
      <c r="Y189" s="75"/>
      <c r="Z189" s="73"/>
      <c r="AA189" s="73"/>
      <c r="AB189" s="73"/>
      <c r="AC189" s="73"/>
      <c r="AD189" s="73"/>
      <c r="AE189" s="73"/>
      <c r="AF189" s="76"/>
      <c r="AG189" s="76"/>
      <c r="AH189" s="76"/>
      <c r="AI189" s="76"/>
      <c r="AJ189" s="76"/>
      <c r="AK189" s="76"/>
      <c r="AL189" s="76"/>
      <c r="AM189" s="76"/>
      <c r="AN189" s="76"/>
      <c r="AO189" s="76"/>
      <c r="AP189" s="76"/>
      <c r="AQ189" s="76"/>
      <c r="AR189" s="76"/>
      <c r="AS189" s="76"/>
      <c r="AT189" s="76"/>
      <c r="AU189" s="76"/>
      <c r="AV189" s="76"/>
      <c r="AW189" s="76"/>
      <c r="AX189" s="76"/>
      <c r="AY189" s="76"/>
      <c r="AZ189" s="76"/>
      <c r="BA189" s="76"/>
      <c r="BB189" s="76"/>
      <c r="BC189" s="76"/>
      <c r="BD189" s="76"/>
      <c r="BE189" s="76"/>
      <c r="BF189" s="76"/>
      <c r="BG189" s="76"/>
      <c r="BH189" s="76"/>
      <c r="BI189" s="76"/>
      <c r="BJ189" s="76"/>
      <c r="BK189" s="76"/>
      <c r="BL189" s="76"/>
      <c r="BM189" s="76"/>
      <c r="BN189" s="76"/>
      <c r="BO189" s="76"/>
    </row>
    <row r="190" customFormat="false" ht="15" hidden="false" customHeight="false" outlineLevel="0" collapsed="false">
      <c r="A190" s="73"/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4"/>
      <c r="S190" s="74"/>
      <c r="T190" s="74"/>
      <c r="U190" s="73"/>
      <c r="V190" s="73"/>
      <c r="W190" s="73"/>
      <c r="X190" s="73"/>
      <c r="Y190" s="75"/>
      <c r="Z190" s="73"/>
      <c r="AA190" s="73"/>
      <c r="AB190" s="73"/>
      <c r="AC190" s="73"/>
      <c r="AD190" s="73"/>
      <c r="AE190" s="73"/>
      <c r="AF190" s="76"/>
      <c r="AG190" s="76"/>
      <c r="AH190" s="76"/>
      <c r="AI190" s="76"/>
      <c r="AJ190" s="76"/>
      <c r="AK190" s="76"/>
      <c r="AL190" s="76"/>
      <c r="AM190" s="76"/>
      <c r="AN190" s="76"/>
      <c r="AO190" s="76"/>
      <c r="AP190" s="76"/>
      <c r="AQ190" s="76"/>
      <c r="AR190" s="76"/>
      <c r="AS190" s="76"/>
      <c r="AT190" s="76"/>
      <c r="AU190" s="76"/>
      <c r="AV190" s="76"/>
      <c r="AW190" s="76"/>
      <c r="AX190" s="76"/>
      <c r="AY190" s="76"/>
      <c r="AZ190" s="76"/>
      <c r="BA190" s="76"/>
      <c r="BB190" s="76"/>
      <c r="BC190" s="76"/>
      <c r="BD190" s="76"/>
      <c r="BE190" s="76"/>
      <c r="BF190" s="76"/>
      <c r="BG190" s="76"/>
      <c r="BH190" s="76"/>
      <c r="BI190" s="76"/>
      <c r="BJ190" s="76"/>
      <c r="BK190" s="76"/>
      <c r="BL190" s="76"/>
      <c r="BM190" s="76"/>
      <c r="BN190" s="76"/>
      <c r="BO190" s="76"/>
    </row>
    <row r="191" customFormat="false" ht="15" hidden="false" customHeight="false" outlineLevel="0" collapsed="false">
      <c r="A191" s="73"/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4"/>
      <c r="S191" s="74"/>
      <c r="T191" s="74"/>
      <c r="U191" s="73"/>
      <c r="V191" s="73"/>
      <c r="W191" s="73"/>
      <c r="X191" s="73"/>
      <c r="Y191" s="75"/>
      <c r="Z191" s="73"/>
      <c r="AA191" s="73"/>
      <c r="AB191" s="73"/>
      <c r="AC191" s="73"/>
      <c r="AD191" s="73"/>
      <c r="AE191" s="73"/>
      <c r="AF191" s="76"/>
      <c r="AG191" s="76"/>
      <c r="AH191" s="76"/>
      <c r="AI191" s="76"/>
      <c r="AJ191" s="76"/>
      <c r="AK191" s="76"/>
      <c r="AL191" s="76"/>
      <c r="AM191" s="76"/>
      <c r="AN191" s="76"/>
      <c r="AO191" s="76"/>
      <c r="AP191" s="76"/>
      <c r="AQ191" s="76"/>
      <c r="AR191" s="76"/>
      <c r="AS191" s="76"/>
      <c r="AT191" s="76"/>
      <c r="AU191" s="76"/>
      <c r="AV191" s="76"/>
      <c r="AW191" s="76"/>
      <c r="AX191" s="76"/>
      <c r="AY191" s="76"/>
      <c r="AZ191" s="76"/>
      <c r="BA191" s="76"/>
      <c r="BB191" s="76"/>
      <c r="BC191" s="76"/>
      <c r="BD191" s="76"/>
      <c r="BE191" s="76"/>
      <c r="BF191" s="76"/>
      <c r="BG191" s="76"/>
      <c r="BH191" s="76"/>
      <c r="BI191" s="76"/>
      <c r="BJ191" s="76"/>
      <c r="BK191" s="76"/>
      <c r="BL191" s="76"/>
      <c r="BM191" s="76"/>
      <c r="BN191" s="76"/>
      <c r="BO191" s="76"/>
    </row>
    <row r="192" customFormat="false" ht="15" hidden="false" customHeight="false" outlineLevel="0" collapsed="false">
      <c r="A192" s="73"/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4"/>
      <c r="S192" s="74"/>
      <c r="T192" s="74"/>
      <c r="U192" s="73"/>
      <c r="V192" s="73"/>
      <c r="W192" s="73"/>
      <c r="X192" s="73"/>
      <c r="Y192" s="75"/>
      <c r="Z192" s="73"/>
      <c r="AA192" s="73"/>
      <c r="AB192" s="73"/>
      <c r="AC192" s="73"/>
      <c r="AD192" s="73"/>
      <c r="AE192" s="73"/>
      <c r="AF192" s="76"/>
      <c r="AG192" s="76"/>
      <c r="AH192" s="76"/>
      <c r="AI192" s="76"/>
      <c r="AJ192" s="76"/>
      <c r="AK192" s="76"/>
      <c r="AL192" s="76"/>
      <c r="AM192" s="76"/>
      <c r="AN192" s="76"/>
      <c r="AO192" s="76"/>
      <c r="AP192" s="76"/>
      <c r="AQ192" s="76"/>
      <c r="AR192" s="76"/>
      <c r="AS192" s="76"/>
      <c r="AT192" s="76"/>
      <c r="AU192" s="76"/>
      <c r="AV192" s="76"/>
      <c r="AW192" s="76"/>
      <c r="AX192" s="76"/>
      <c r="AY192" s="76"/>
      <c r="AZ192" s="76"/>
      <c r="BA192" s="76"/>
      <c r="BB192" s="76"/>
      <c r="BC192" s="76"/>
      <c r="BD192" s="76"/>
      <c r="BE192" s="76"/>
      <c r="BF192" s="76"/>
      <c r="BG192" s="76"/>
      <c r="BH192" s="76"/>
      <c r="BI192" s="76"/>
      <c r="BJ192" s="76"/>
      <c r="BK192" s="76"/>
      <c r="BL192" s="76"/>
      <c r="BM192" s="76"/>
      <c r="BN192" s="76"/>
      <c r="BO192" s="76"/>
    </row>
    <row r="193" customFormat="false" ht="15" hidden="false" customHeight="false" outlineLevel="0" collapsed="false">
      <c r="A193" s="73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4"/>
      <c r="S193" s="74"/>
      <c r="T193" s="74"/>
      <c r="U193" s="73"/>
      <c r="V193" s="73"/>
      <c r="W193" s="73"/>
      <c r="X193" s="73"/>
      <c r="Y193" s="75"/>
      <c r="Z193" s="73"/>
      <c r="AA193" s="73"/>
      <c r="AB193" s="73"/>
      <c r="AC193" s="73"/>
      <c r="AD193" s="73"/>
      <c r="AE193" s="73"/>
      <c r="AF193" s="76"/>
      <c r="AG193" s="76"/>
      <c r="AH193" s="76"/>
      <c r="AI193" s="76"/>
      <c r="AJ193" s="76"/>
      <c r="AK193" s="76"/>
      <c r="AL193" s="76"/>
      <c r="AM193" s="76"/>
      <c r="AN193" s="76"/>
      <c r="AO193" s="76"/>
      <c r="AP193" s="76"/>
      <c r="AQ193" s="76"/>
      <c r="AR193" s="76"/>
      <c r="AS193" s="76"/>
      <c r="AT193" s="76"/>
      <c r="AU193" s="76"/>
      <c r="AV193" s="76"/>
      <c r="AW193" s="76"/>
      <c r="AX193" s="76"/>
      <c r="AY193" s="76"/>
      <c r="AZ193" s="76"/>
      <c r="BA193" s="76"/>
      <c r="BB193" s="76"/>
      <c r="BC193" s="76"/>
      <c r="BD193" s="76"/>
      <c r="BE193" s="76"/>
      <c r="BF193" s="76"/>
      <c r="BG193" s="76"/>
      <c r="BH193" s="76"/>
      <c r="BI193" s="76"/>
      <c r="BJ193" s="76"/>
      <c r="BK193" s="76"/>
      <c r="BL193" s="76"/>
      <c r="BM193" s="76"/>
      <c r="BN193" s="76"/>
      <c r="BO193" s="76"/>
    </row>
    <row r="194" customFormat="false" ht="15" hidden="false" customHeight="false" outlineLevel="0" collapsed="false">
      <c r="A194" s="73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4"/>
      <c r="S194" s="74"/>
      <c r="T194" s="74"/>
      <c r="U194" s="73"/>
      <c r="V194" s="73"/>
      <c r="W194" s="73"/>
      <c r="X194" s="73"/>
      <c r="Y194" s="75"/>
      <c r="Z194" s="73"/>
      <c r="AA194" s="73"/>
      <c r="AB194" s="73"/>
      <c r="AC194" s="73"/>
      <c r="AD194" s="73"/>
      <c r="AE194" s="73"/>
      <c r="AF194" s="76"/>
      <c r="AG194" s="76"/>
      <c r="AH194" s="76"/>
      <c r="AI194" s="76"/>
      <c r="AJ194" s="76"/>
      <c r="AK194" s="76"/>
      <c r="AL194" s="76"/>
      <c r="AM194" s="76"/>
      <c r="AN194" s="76"/>
      <c r="AO194" s="76"/>
      <c r="AP194" s="76"/>
      <c r="AQ194" s="76"/>
      <c r="AR194" s="76"/>
      <c r="AS194" s="76"/>
      <c r="AT194" s="76"/>
      <c r="AU194" s="76"/>
      <c r="AV194" s="76"/>
      <c r="AW194" s="76"/>
      <c r="AX194" s="76"/>
      <c r="AY194" s="76"/>
      <c r="AZ194" s="76"/>
      <c r="BA194" s="76"/>
      <c r="BB194" s="76"/>
      <c r="BC194" s="76"/>
      <c r="BD194" s="76"/>
      <c r="BE194" s="76"/>
      <c r="BF194" s="76"/>
      <c r="BG194" s="76"/>
      <c r="BH194" s="76"/>
      <c r="BI194" s="76"/>
      <c r="BJ194" s="76"/>
      <c r="BK194" s="76"/>
      <c r="BL194" s="76"/>
      <c r="BM194" s="76"/>
      <c r="BN194" s="76"/>
      <c r="BO194" s="76"/>
    </row>
    <row r="195" customFormat="false" ht="15" hidden="false" customHeight="false" outlineLevel="0" collapsed="false">
      <c r="A195" s="73"/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4"/>
      <c r="S195" s="74"/>
      <c r="T195" s="74"/>
      <c r="U195" s="73"/>
      <c r="V195" s="73"/>
      <c r="W195" s="73"/>
      <c r="X195" s="73"/>
      <c r="Y195" s="75"/>
      <c r="Z195" s="73"/>
      <c r="AA195" s="73"/>
      <c r="AB195" s="73"/>
      <c r="AC195" s="73"/>
      <c r="AD195" s="73"/>
      <c r="AE195" s="73"/>
      <c r="AF195" s="76"/>
      <c r="AG195" s="76"/>
      <c r="AH195" s="76"/>
      <c r="AI195" s="76"/>
      <c r="AJ195" s="76"/>
      <c r="AK195" s="76"/>
      <c r="AL195" s="76"/>
      <c r="AM195" s="76"/>
      <c r="AN195" s="76"/>
      <c r="AO195" s="76"/>
      <c r="AP195" s="76"/>
      <c r="AQ195" s="76"/>
      <c r="AR195" s="76"/>
      <c r="AS195" s="76"/>
      <c r="AT195" s="76"/>
      <c r="AU195" s="76"/>
      <c r="AV195" s="76"/>
      <c r="AW195" s="76"/>
      <c r="AX195" s="76"/>
      <c r="AY195" s="76"/>
      <c r="AZ195" s="76"/>
      <c r="BA195" s="76"/>
      <c r="BB195" s="76"/>
      <c r="BC195" s="76"/>
      <c r="BD195" s="76"/>
      <c r="BE195" s="76"/>
      <c r="BF195" s="76"/>
      <c r="BG195" s="76"/>
      <c r="BH195" s="76"/>
      <c r="BI195" s="76"/>
      <c r="BJ195" s="76"/>
      <c r="BK195" s="76"/>
      <c r="BL195" s="76"/>
      <c r="BM195" s="76"/>
      <c r="BN195" s="76"/>
      <c r="BO195" s="76"/>
    </row>
    <row r="196" customFormat="false" ht="15" hidden="false" customHeight="false" outlineLevel="0" collapsed="false">
      <c r="A196" s="73"/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4"/>
      <c r="S196" s="74"/>
      <c r="T196" s="74"/>
      <c r="U196" s="73"/>
      <c r="V196" s="73"/>
      <c r="W196" s="73"/>
      <c r="X196" s="73"/>
      <c r="Y196" s="75"/>
      <c r="Z196" s="73"/>
      <c r="AA196" s="73"/>
      <c r="AB196" s="73"/>
      <c r="AC196" s="73"/>
      <c r="AD196" s="73"/>
      <c r="AE196" s="73"/>
      <c r="AF196" s="76"/>
      <c r="AG196" s="76"/>
      <c r="AH196" s="76"/>
      <c r="AI196" s="76"/>
      <c r="AJ196" s="76"/>
      <c r="AK196" s="76"/>
      <c r="AL196" s="76"/>
      <c r="AM196" s="76"/>
      <c r="AN196" s="76"/>
      <c r="AO196" s="76"/>
      <c r="AP196" s="76"/>
      <c r="AQ196" s="76"/>
      <c r="AR196" s="76"/>
      <c r="AS196" s="76"/>
      <c r="AT196" s="76"/>
      <c r="AU196" s="76"/>
      <c r="AV196" s="76"/>
      <c r="AW196" s="76"/>
      <c r="AX196" s="76"/>
      <c r="AY196" s="76"/>
      <c r="AZ196" s="76"/>
      <c r="BA196" s="76"/>
      <c r="BB196" s="76"/>
      <c r="BC196" s="76"/>
      <c r="BD196" s="76"/>
      <c r="BE196" s="76"/>
      <c r="BF196" s="76"/>
      <c r="BG196" s="76"/>
      <c r="BH196" s="76"/>
      <c r="BI196" s="76"/>
      <c r="BJ196" s="76"/>
      <c r="BK196" s="76"/>
      <c r="BL196" s="76"/>
      <c r="BM196" s="76"/>
      <c r="BN196" s="76"/>
      <c r="BO196" s="76"/>
    </row>
    <row r="197" customFormat="false" ht="15" hidden="false" customHeight="false" outlineLevel="0" collapsed="false">
      <c r="A197" s="73"/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4"/>
      <c r="S197" s="74"/>
      <c r="T197" s="74"/>
      <c r="U197" s="73"/>
      <c r="V197" s="73"/>
      <c r="W197" s="73"/>
      <c r="X197" s="73"/>
      <c r="Y197" s="75"/>
      <c r="Z197" s="73"/>
      <c r="AA197" s="73"/>
      <c r="AB197" s="73"/>
      <c r="AC197" s="73"/>
      <c r="AD197" s="73"/>
      <c r="AE197" s="73"/>
      <c r="AF197" s="76"/>
      <c r="AG197" s="76"/>
      <c r="AH197" s="76"/>
      <c r="AI197" s="76"/>
      <c r="AJ197" s="76"/>
      <c r="AK197" s="76"/>
      <c r="AL197" s="76"/>
      <c r="AM197" s="76"/>
      <c r="AN197" s="76"/>
      <c r="AO197" s="76"/>
      <c r="AP197" s="76"/>
      <c r="AQ197" s="76"/>
      <c r="AR197" s="76"/>
      <c r="AS197" s="76"/>
      <c r="AT197" s="76"/>
      <c r="AU197" s="76"/>
      <c r="AV197" s="76"/>
      <c r="AW197" s="76"/>
      <c r="AX197" s="76"/>
      <c r="AY197" s="76"/>
      <c r="AZ197" s="76"/>
      <c r="BA197" s="76"/>
      <c r="BB197" s="76"/>
      <c r="BC197" s="76"/>
      <c r="BD197" s="76"/>
      <c r="BE197" s="76"/>
      <c r="BF197" s="76"/>
      <c r="BG197" s="76"/>
      <c r="BH197" s="76"/>
      <c r="BI197" s="76"/>
      <c r="BJ197" s="76"/>
      <c r="BK197" s="76"/>
      <c r="BL197" s="76"/>
      <c r="BM197" s="76"/>
      <c r="BN197" s="76"/>
      <c r="BO197" s="76"/>
    </row>
    <row r="198" customFormat="false" ht="15" hidden="false" customHeight="false" outlineLevel="0" collapsed="false">
      <c r="A198" s="73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4"/>
      <c r="S198" s="74"/>
      <c r="T198" s="74"/>
      <c r="U198" s="73"/>
      <c r="V198" s="73"/>
      <c r="W198" s="73"/>
      <c r="X198" s="73"/>
      <c r="Y198" s="75"/>
      <c r="Z198" s="73"/>
      <c r="AA198" s="73"/>
      <c r="AB198" s="73"/>
      <c r="AC198" s="73"/>
      <c r="AD198" s="73"/>
      <c r="AE198" s="73"/>
      <c r="AF198" s="76"/>
      <c r="AG198" s="76"/>
      <c r="AH198" s="76"/>
      <c r="AI198" s="76"/>
      <c r="AJ198" s="76"/>
      <c r="AK198" s="76"/>
      <c r="AL198" s="76"/>
      <c r="AM198" s="76"/>
      <c r="AN198" s="76"/>
      <c r="AO198" s="76"/>
      <c r="AP198" s="76"/>
      <c r="AQ198" s="76"/>
      <c r="AR198" s="76"/>
      <c r="AS198" s="76"/>
      <c r="AT198" s="76"/>
      <c r="AU198" s="76"/>
      <c r="AV198" s="76"/>
      <c r="AW198" s="76"/>
      <c r="AX198" s="76"/>
      <c r="AY198" s="76"/>
      <c r="AZ198" s="76"/>
      <c r="BA198" s="76"/>
      <c r="BB198" s="76"/>
      <c r="BC198" s="76"/>
      <c r="BD198" s="76"/>
      <c r="BE198" s="76"/>
      <c r="BF198" s="76"/>
      <c r="BG198" s="76"/>
      <c r="BH198" s="76"/>
      <c r="BI198" s="76"/>
      <c r="BJ198" s="76"/>
      <c r="BK198" s="76"/>
      <c r="BL198" s="76"/>
      <c r="BM198" s="76"/>
      <c r="BN198" s="76"/>
      <c r="BO198" s="76"/>
    </row>
    <row r="199" customFormat="false" ht="15" hidden="false" customHeight="false" outlineLevel="0" collapsed="false">
      <c r="A199" s="73"/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4"/>
      <c r="S199" s="74"/>
      <c r="T199" s="74"/>
      <c r="U199" s="73"/>
      <c r="V199" s="73"/>
      <c r="W199" s="73"/>
      <c r="X199" s="73"/>
      <c r="Y199" s="75"/>
      <c r="Z199" s="73"/>
      <c r="AA199" s="73"/>
      <c r="AB199" s="73"/>
      <c r="AC199" s="73"/>
      <c r="AD199" s="73"/>
      <c r="AE199" s="73"/>
      <c r="AF199" s="76"/>
      <c r="AG199" s="76"/>
      <c r="AH199" s="76"/>
      <c r="AI199" s="76"/>
      <c r="AJ199" s="76"/>
      <c r="AK199" s="76"/>
      <c r="AL199" s="76"/>
      <c r="AM199" s="76"/>
      <c r="AN199" s="76"/>
      <c r="AO199" s="76"/>
      <c r="AP199" s="76"/>
      <c r="AQ199" s="76"/>
      <c r="AR199" s="76"/>
      <c r="AS199" s="76"/>
      <c r="AT199" s="76"/>
      <c r="AU199" s="76"/>
      <c r="AV199" s="76"/>
      <c r="AW199" s="76"/>
      <c r="AX199" s="76"/>
      <c r="AY199" s="76"/>
      <c r="AZ199" s="76"/>
      <c r="BA199" s="76"/>
      <c r="BB199" s="76"/>
      <c r="BC199" s="76"/>
      <c r="BD199" s="76"/>
      <c r="BE199" s="76"/>
      <c r="BF199" s="76"/>
      <c r="BG199" s="76"/>
      <c r="BH199" s="76"/>
      <c r="BI199" s="76"/>
      <c r="BJ199" s="76"/>
      <c r="BK199" s="76"/>
      <c r="BL199" s="76"/>
      <c r="BM199" s="76"/>
      <c r="BN199" s="76"/>
      <c r="BO199" s="76"/>
    </row>
    <row r="200" customFormat="false" ht="15" hidden="false" customHeight="false" outlineLevel="0" collapsed="false">
      <c r="A200" s="73"/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4"/>
      <c r="S200" s="74"/>
      <c r="T200" s="74"/>
      <c r="U200" s="73"/>
      <c r="V200" s="73"/>
      <c r="W200" s="73"/>
      <c r="X200" s="73"/>
      <c r="Y200" s="75"/>
      <c r="Z200" s="73"/>
      <c r="AA200" s="73"/>
      <c r="AB200" s="73"/>
      <c r="AC200" s="73"/>
      <c r="AD200" s="73"/>
      <c r="AE200" s="73"/>
      <c r="AF200" s="76"/>
      <c r="AG200" s="76"/>
      <c r="AH200" s="76"/>
      <c r="AI200" s="76"/>
      <c r="AJ200" s="76"/>
      <c r="AK200" s="76"/>
      <c r="AL200" s="76"/>
      <c r="AM200" s="76"/>
      <c r="AN200" s="76"/>
      <c r="AO200" s="76"/>
      <c r="AP200" s="76"/>
      <c r="AQ200" s="76"/>
      <c r="AR200" s="76"/>
      <c r="AS200" s="76"/>
      <c r="AT200" s="76"/>
      <c r="AU200" s="76"/>
      <c r="AV200" s="76"/>
      <c r="AW200" s="76"/>
      <c r="AX200" s="76"/>
      <c r="AY200" s="76"/>
      <c r="AZ200" s="76"/>
      <c r="BA200" s="76"/>
      <c r="BB200" s="76"/>
      <c r="BC200" s="76"/>
      <c r="BD200" s="76"/>
      <c r="BE200" s="76"/>
      <c r="BF200" s="76"/>
      <c r="BG200" s="76"/>
      <c r="BH200" s="76"/>
      <c r="BI200" s="76"/>
      <c r="BJ200" s="76"/>
      <c r="BK200" s="76"/>
      <c r="BL200" s="76"/>
      <c r="BM200" s="76"/>
      <c r="BN200" s="76"/>
      <c r="BO200" s="76"/>
    </row>
    <row r="201" customFormat="false" ht="15" hidden="false" customHeight="false" outlineLevel="0" collapsed="false">
      <c r="A201" s="73"/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4"/>
      <c r="S201" s="74"/>
      <c r="T201" s="74"/>
      <c r="U201" s="73"/>
      <c r="V201" s="73"/>
      <c r="W201" s="73"/>
      <c r="X201" s="73"/>
      <c r="Y201" s="75"/>
      <c r="Z201" s="73"/>
      <c r="AA201" s="73"/>
      <c r="AB201" s="73"/>
      <c r="AC201" s="73"/>
      <c r="AD201" s="73"/>
      <c r="AE201" s="73"/>
      <c r="AF201" s="76"/>
      <c r="AG201" s="76"/>
      <c r="AH201" s="76"/>
      <c r="AI201" s="76"/>
      <c r="AJ201" s="76"/>
      <c r="AK201" s="76"/>
      <c r="AL201" s="76"/>
      <c r="AM201" s="76"/>
      <c r="AN201" s="76"/>
      <c r="AO201" s="76"/>
      <c r="AP201" s="76"/>
      <c r="AQ201" s="76"/>
      <c r="AR201" s="76"/>
      <c r="AS201" s="76"/>
      <c r="AT201" s="76"/>
      <c r="AU201" s="76"/>
      <c r="AV201" s="76"/>
      <c r="AW201" s="76"/>
      <c r="AX201" s="76"/>
      <c r="AY201" s="76"/>
      <c r="AZ201" s="76"/>
      <c r="BA201" s="76"/>
      <c r="BB201" s="76"/>
      <c r="BC201" s="76"/>
      <c r="BD201" s="76"/>
      <c r="BE201" s="76"/>
      <c r="BF201" s="76"/>
      <c r="BG201" s="76"/>
      <c r="BH201" s="76"/>
      <c r="BI201" s="76"/>
      <c r="BJ201" s="76"/>
      <c r="BK201" s="76"/>
      <c r="BL201" s="76"/>
      <c r="BM201" s="76"/>
      <c r="BN201" s="76"/>
      <c r="BO201" s="76"/>
    </row>
    <row r="202" customFormat="false" ht="15" hidden="false" customHeight="false" outlineLevel="0" collapsed="false">
      <c r="A202" s="73"/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4"/>
      <c r="S202" s="74"/>
      <c r="T202" s="74"/>
      <c r="U202" s="73"/>
      <c r="V202" s="73"/>
      <c r="W202" s="73"/>
      <c r="X202" s="73"/>
      <c r="Y202" s="75"/>
      <c r="Z202" s="73"/>
      <c r="AA202" s="73"/>
      <c r="AB202" s="73"/>
      <c r="AC202" s="73"/>
      <c r="AD202" s="73"/>
      <c r="AE202" s="73"/>
      <c r="AF202" s="76"/>
      <c r="AG202" s="76"/>
      <c r="AH202" s="76"/>
      <c r="AI202" s="76"/>
      <c r="AJ202" s="76"/>
      <c r="AK202" s="76"/>
      <c r="AL202" s="76"/>
      <c r="AM202" s="76"/>
      <c r="AN202" s="76"/>
      <c r="AO202" s="76"/>
      <c r="AP202" s="76"/>
      <c r="AQ202" s="76"/>
      <c r="AR202" s="76"/>
      <c r="AS202" s="76"/>
      <c r="AT202" s="76"/>
      <c r="AU202" s="76"/>
      <c r="AV202" s="76"/>
      <c r="AW202" s="76"/>
      <c r="AX202" s="76"/>
      <c r="AY202" s="76"/>
      <c r="AZ202" s="76"/>
      <c r="BA202" s="76"/>
      <c r="BB202" s="76"/>
      <c r="BC202" s="76"/>
      <c r="BD202" s="76"/>
      <c r="BE202" s="76"/>
      <c r="BF202" s="76"/>
      <c r="BG202" s="76"/>
      <c r="BH202" s="76"/>
      <c r="BI202" s="76"/>
      <c r="BJ202" s="76"/>
      <c r="BK202" s="76"/>
      <c r="BL202" s="76"/>
      <c r="BM202" s="76"/>
      <c r="BN202" s="76"/>
      <c r="BO202" s="76"/>
    </row>
    <row r="203" customFormat="false" ht="15" hidden="false" customHeight="false" outlineLevel="0" collapsed="false">
      <c r="A203" s="73"/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4"/>
      <c r="S203" s="74"/>
      <c r="T203" s="74"/>
      <c r="U203" s="73"/>
      <c r="V203" s="73"/>
      <c r="W203" s="73"/>
      <c r="X203" s="73"/>
      <c r="Y203" s="75"/>
      <c r="Z203" s="73"/>
      <c r="AA203" s="73"/>
      <c r="AB203" s="73"/>
      <c r="AC203" s="73"/>
      <c r="AD203" s="73"/>
      <c r="AE203" s="73"/>
      <c r="AF203" s="76"/>
      <c r="AG203" s="76"/>
      <c r="AH203" s="76"/>
      <c r="AI203" s="76"/>
      <c r="AJ203" s="76"/>
      <c r="AK203" s="76"/>
      <c r="AL203" s="76"/>
      <c r="AM203" s="76"/>
      <c r="AN203" s="76"/>
      <c r="AO203" s="76"/>
      <c r="AP203" s="76"/>
      <c r="AQ203" s="76"/>
      <c r="AR203" s="76"/>
      <c r="AS203" s="76"/>
      <c r="AT203" s="76"/>
      <c r="AU203" s="76"/>
      <c r="AV203" s="76"/>
      <c r="AW203" s="76"/>
      <c r="AX203" s="76"/>
      <c r="AY203" s="76"/>
      <c r="AZ203" s="76"/>
      <c r="BA203" s="76"/>
      <c r="BB203" s="76"/>
      <c r="BC203" s="76"/>
      <c r="BD203" s="76"/>
      <c r="BE203" s="76"/>
      <c r="BF203" s="76"/>
      <c r="BG203" s="76"/>
      <c r="BH203" s="76"/>
      <c r="BI203" s="76"/>
      <c r="BJ203" s="76"/>
      <c r="BK203" s="76"/>
      <c r="BL203" s="76"/>
      <c r="BM203" s="76"/>
      <c r="BN203" s="76"/>
      <c r="BO203" s="76"/>
    </row>
    <row r="204" customFormat="false" ht="15" hidden="false" customHeight="false" outlineLevel="0" collapsed="false">
      <c r="A204" s="73"/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4"/>
      <c r="S204" s="74"/>
      <c r="T204" s="74"/>
      <c r="U204" s="73"/>
      <c r="V204" s="73"/>
      <c r="W204" s="73"/>
      <c r="X204" s="73"/>
      <c r="Y204" s="75"/>
      <c r="Z204" s="73"/>
      <c r="AA204" s="73"/>
      <c r="AB204" s="73"/>
      <c r="AC204" s="73"/>
      <c r="AD204" s="73"/>
      <c r="AE204" s="73"/>
      <c r="AF204" s="76"/>
      <c r="AG204" s="76"/>
      <c r="AH204" s="76"/>
      <c r="AI204" s="76"/>
      <c r="AJ204" s="76"/>
      <c r="AK204" s="76"/>
      <c r="AL204" s="76"/>
      <c r="AM204" s="76"/>
      <c r="AN204" s="76"/>
      <c r="AO204" s="76"/>
      <c r="AP204" s="76"/>
      <c r="AQ204" s="76"/>
      <c r="AR204" s="76"/>
      <c r="AS204" s="76"/>
      <c r="AT204" s="76"/>
      <c r="AU204" s="76"/>
      <c r="AV204" s="76"/>
      <c r="AW204" s="76"/>
      <c r="AX204" s="76"/>
      <c r="AY204" s="76"/>
      <c r="AZ204" s="76"/>
      <c r="BA204" s="76"/>
      <c r="BB204" s="76"/>
      <c r="BC204" s="76"/>
      <c r="BD204" s="76"/>
      <c r="BE204" s="76"/>
      <c r="BF204" s="76"/>
      <c r="BG204" s="76"/>
      <c r="BH204" s="76"/>
      <c r="BI204" s="76"/>
      <c r="BJ204" s="76"/>
      <c r="BK204" s="76"/>
      <c r="BL204" s="76"/>
      <c r="BM204" s="76"/>
      <c r="BN204" s="76"/>
      <c r="BO204" s="76"/>
    </row>
    <row r="205" customFormat="false" ht="15" hidden="false" customHeight="false" outlineLevel="0" collapsed="false">
      <c r="A205" s="73"/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4"/>
      <c r="S205" s="74"/>
      <c r="T205" s="74"/>
      <c r="U205" s="73"/>
      <c r="V205" s="73"/>
      <c r="W205" s="73"/>
      <c r="X205" s="73"/>
      <c r="Y205" s="75"/>
      <c r="Z205" s="73"/>
      <c r="AA205" s="73"/>
      <c r="AB205" s="73"/>
      <c r="AC205" s="73"/>
      <c r="AD205" s="73"/>
      <c r="AE205" s="73"/>
      <c r="AF205" s="76"/>
      <c r="AG205" s="76"/>
      <c r="AH205" s="76"/>
      <c r="AI205" s="76"/>
      <c r="AJ205" s="76"/>
      <c r="AK205" s="76"/>
      <c r="AL205" s="76"/>
      <c r="AM205" s="76"/>
      <c r="AN205" s="76"/>
      <c r="AO205" s="76"/>
      <c r="AP205" s="76"/>
      <c r="AQ205" s="76"/>
      <c r="AR205" s="76"/>
      <c r="AS205" s="76"/>
      <c r="AT205" s="76"/>
      <c r="AU205" s="76"/>
      <c r="AV205" s="76"/>
      <c r="AW205" s="76"/>
      <c r="AX205" s="76"/>
      <c r="AY205" s="76"/>
      <c r="AZ205" s="76"/>
      <c r="BA205" s="76"/>
      <c r="BB205" s="76"/>
      <c r="BC205" s="76"/>
      <c r="BD205" s="76"/>
      <c r="BE205" s="76"/>
      <c r="BF205" s="76"/>
      <c r="BG205" s="76"/>
      <c r="BH205" s="76"/>
      <c r="BI205" s="76"/>
      <c r="BJ205" s="76"/>
      <c r="BK205" s="76"/>
      <c r="BL205" s="76"/>
      <c r="BM205" s="76"/>
      <c r="BN205" s="76"/>
      <c r="BO205" s="76"/>
    </row>
    <row r="206" customFormat="false" ht="15" hidden="false" customHeight="false" outlineLevel="0" collapsed="false">
      <c r="A206" s="73"/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4"/>
      <c r="S206" s="74"/>
      <c r="T206" s="74"/>
      <c r="U206" s="73"/>
      <c r="V206" s="73"/>
      <c r="W206" s="73"/>
      <c r="X206" s="73"/>
      <c r="Y206" s="75"/>
      <c r="Z206" s="73"/>
      <c r="AA206" s="73"/>
      <c r="AB206" s="73"/>
      <c r="AC206" s="73"/>
      <c r="AD206" s="73"/>
      <c r="AE206" s="73"/>
      <c r="AF206" s="76"/>
      <c r="AG206" s="76"/>
      <c r="AH206" s="76"/>
      <c r="AI206" s="76"/>
      <c r="AJ206" s="76"/>
      <c r="AK206" s="76"/>
      <c r="AL206" s="76"/>
      <c r="AM206" s="76"/>
      <c r="AN206" s="76"/>
      <c r="AO206" s="76"/>
      <c r="AP206" s="76"/>
      <c r="AQ206" s="76"/>
      <c r="AR206" s="76"/>
      <c r="AS206" s="76"/>
      <c r="AT206" s="76"/>
      <c r="AU206" s="76"/>
      <c r="AV206" s="76"/>
      <c r="AW206" s="76"/>
      <c r="AX206" s="76"/>
      <c r="AY206" s="76"/>
      <c r="AZ206" s="76"/>
      <c r="BA206" s="76"/>
      <c r="BB206" s="76"/>
      <c r="BC206" s="76"/>
      <c r="BD206" s="76"/>
      <c r="BE206" s="76"/>
      <c r="BF206" s="76"/>
      <c r="BG206" s="76"/>
      <c r="BH206" s="76"/>
      <c r="BI206" s="76"/>
      <c r="BJ206" s="76"/>
      <c r="BK206" s="76"/>
      <c r="BL206" s="76"/>
      <c r="BM206" s="76"/>
      <c r="BN206" s="76"/>
      <c r="BO206" s="76"/>
    </row>
    <row r="207" customFormat="false" ht="15" hidden="false" customHeight="false" outlineLevel="0" collapsed="false">
      <c r="A207" s="73"/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4"/>
      <c r="S207" s="74"/>
      <c r="T207" s="74"/>
      <c r="U207" s="73"/>
      <c r="V207" s="73"/>
      <c r="W207" s="73"/>
      <c r="X207" s="73"/>
      <c r="Y207" s="75"/>
      <c r="Z207" s="73"/>
      <c r="AA207" s="73"/>
      <c r="AB207" s="73"/>
      <c r="AC207" s="73"/>
      <c r="AD207" s="73"/>
      <c r="AE207" s="73"/>
      <c r="AF207" s="76"/>
      <c r="AG207" s="76"/>
      <c r="AH207" s="76"/>
      <c r="AI207" s="76"/>
      <c r="AJ207" s="76"/>
      <c r="AK207" s="76"/>
      <c r="AL207" s="76"/>
      <c r="AM207" s="76"/>
      <c r="AN207" s="76"/>
      <c r="AO207" s="76"/>
      <c r="AP207" s="76"/>
      <c r="AQ207" s="76"/>
      <c r="AR207" s="76"/>
      <c r="AS207" s="76"/>
      <c r="AT207" s="76"/>
      <c r="AU207" s="76"/>
      <c r="AV207" s="76"/>
      <c r="AW207" s="76"/>
      <c r="AX207" s="76"/>
      <c r="AY207" s="76"/>
      <c r="AZ207" s="76"/>
      <c r="BA207" s="76"/>
      <c r="BB207" s="76"/>
      <c r="BC207" s="76"/>
      <c r="BD207" s="76"/>
      <c r="BE207" s="76"/>
      <c r="BF207" s="76"/>
      <c r="BG207" s="76"/>
      <c r="BH207" s="76"/>
      <c r="BI207" s="76"/>
      <c r="BJ207" s="76"/>
      <c r="BK207" s="76"/>
      <c r="BL207" s="76"/>
      <c r="BM207" s="76"/>
      <c r="BN207" s="76"/>
      <c r="BO207" s="76"/>
    </row>
    <row r="208" customFormat="false" ht="15" hidden="false" customHeight="false" outlineLevel="0" collapsed="false">
      <c r="A208" s="7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4"/>
      <c r="S208" s="74"/>
      <c r="T208" s="74"/>
      <c r="U208" s="73"/>
      <c r="V208" s="73"/>
      <c r="W208" s="73"/>
      <c r="X208" s="73"/>
      <c r="Y208" s="75"/>
      <c r="Z208" s="73"/>
      <c r="AA208" s="73"/>
      <c r="AB208" s="73"/>
      <c r="AC208" s="73"/>
      <c r="AD208" s="73"/>
      <c r="AE208" s="73"/>
      <c r="AF208" s="76"/>
      <c r="AG208" s="76"/>
      <c r="AH208" s="76"/>
      <c r="AI208" s="76"/>
      <c r="AJ208" s="76"/>
      <c r="AK208" s="76"/>
      <c r="AL208" s="76"/>
      <c r="AM208" s="76"/>
      <c r="AN208" s="76"/>
      <c r="AO208" s="76"/>
      <c r="AP208" s="76"/>
      <c r="AQ208" s="76"/>
      <c r="AR208" s="76"/>
      <c r="AS208" s="76"/>
      <c r="AT208" s="76"/>
      <c r="AU208" s="76"/>
      <c r="AV208" s="76"/>
      <c r="AW208" s="76"/>
      <c r="AX208" s="76"/>
      <c r="AY208" s="76"/>
      <c r="AZ208" s="76"/>
      <c r="BA208" s="76"/>
      <c r="BB208" s="76"/>
      <c r="BC208" s="76"/>
      <c r="BD208" s="76"/>
      <c r="BE208" s="76"/>
      <c r="BF208" s="76"/>
      <c r="BG208" s="76"/>
      <c r="BH208" s="76"/>
      <c r="BI208" s="76"/>
      <c r="BJ208" s="76"/>
      <c r="BK208" s="76"/>
      <c r="BL208" s="76"/>
      <c r="BM208" s="76"/>
      <c r="BN208" s="76"/>
      <c r="BO208" s="76"/>
    </row>
    <row r="209" customFormat="false" ht="15" hidden="false" customHeight="false" outlineLevel="0" collapsed="false">
      <c r="A209" s="73"/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4"/>
      <c r="S209" s="74"/>
      <c r="T209" s="74"/>
      <c r="U209" s="73"/>
      <c r="V209" s="73"/>
      <c r="W209" s="73"/>
      <c r="X209" s="73"/>
      <c r="Y209" s="75"/>
      <c r="Z209" s="73"/>
      <c r="AA209" s="73"/>
      <c r="AB209" s="73"/>
      <c r="AC209" s="73"/>
      <c r="AD209" s="73"/>
      <c r="AE209" s="73"/>
      <c r="AF209" s="76"/>
      <c r="AG209" s="76"/>
      <c r="AH209" s="76"/>
      <c r="AI209" s="76"/>
      <c r="AJ209" s="76"/>
      <c r="AK209" s="76"/>
      <c r="AL209" s="76"/>
      <c r="AM209" s="76"/>
      <c r="AN209" s="76"/>
      <c r="AO209" s="76"/>
      <c r="AP209" s="76"/>
      <c r="AQ209" s="76"/>
      <c r="AR209" s="76"/>
      <c r="AS209" s="76"/>
      <c r="AT209" s="76"/>
      <c r="AU209" s="76"/>
      <c r="AV209" s="76"/>
      <c r="AW209" s="76"/>
      <c r="AX209" s="76"/>
      <c r="AY209" s="76"/>
      <c r="AZ209" s="76"/>
      <c r="BA209" s="76"/>
      <c r="BB209" s="76"/>
      <c r="BC209" s="76"/>
      <c r="BD209" s="76"/>
      <c r="BE209" s="76"/>
      <c r="BF209" s="76"/>
      <c r="BG209" s="76"/>
      <c r="BH209" s="76"/>
      <c r="BI209" s="76"/>
      <c r="BJ209" s="76"/>
      <c r="BK209" s="76"/>
      <c r="BL209" s="76"/>
      <c r="BM209" s="76"/>
      <c r="BN209" s="76"/>
      <c r="BO209" s="76"/>
    </row>
    <row r="210" customFormat="false" ht="15" hidden="false" customHeight="false" outlineLevel="0" collapsed="false">
      <c r="A210" s="73"/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4"/>
      <c r="S210" s="74"/>
      <c r="T210" s="74"/>
      <c r="U210" s="73"/>
      <c r="V210" s="73"/>
      <c r="W210" s="73"/>
      <c r="X210" s="73"/>
      <c r="Y210" s="75"/>
      <c r="Z210" s="73"/>
      <c r="AA210" s="73"/>
      <c r="AB210" s="73"/>
      <c r="AC210" s="73"/>
      <c r="AD210" s="73"/>
      <c r="AE210" s="73"/>
      <c r="AF210" s="76"/>
      <c r="AG210" s="76"/>
      <c r="AH210" s="76"/>
      <c r="AI210" s="76"/>
      <c r="AJ210" s="76"/>
      <c r="AK210" s="76"/>
      <c r="AL210" s="76"/>
      <c r="AM210" s="76"/>
      <c r="AN210" s="76"/>
      <c r="AO210" s="76"/>
      <c r="AP210" s="76"/>
      <c r="AQ210" s="76"/>
      <c r="AR210" s="76"/>
      <c r="AS210" s="76"/>
      <c r="AT210" s="76"/>
      <c r="AU210" s="76"/>
      <c r="AV210" s="76"/>
      <c r="AW210" s="76"/>
      <c r="AX210" s="76"/>
      <c r="AY210" s="76"/>
      <c r="AZ210" s="76"/>
      <c r="BA210" s="76"/>
      <c r="BB210" s="76"/>
      <c r="BC210" s="76"/>
      <c r="BD210" s="76"/>
      <c r="BE210" s="76"/>
      <c r="BF210" s="76"/>
      <c r="BG210" s="76"/>
      <c r="BH210" s="76"/>
      <c r="BI210" s="76"/>
      <c r="BJ210" s="76"/>
      <c r="BK210" s="76"/>
      <c r="BL210" s="76"/>
      <c r="BM210" s="76"/>
      <c r="BN210" s="76"/>
      <c r="BO210" s="76"/>
    </row>
    <row r="211" customFormat="false" ht="15" hidden="false" customHeight="false" outlineLevel="0" collapsed="false">
      <c r="A211" s="73"/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4"/>
      <c r="S211" s="74"/>
      <c r="T211" s="74"/>
      <c r="U211" s="73"/>
      <c r="V211" s="73"/>
      <c r="W211" s="73"/>
      <c r="X211" s="73"/>
      <c r="Y211" s="75"/>
      <c r="Z211" s="73"/>
      <c r="AA211" s="73"/>
      <c r="AB211" s="73"/>
      <c r="AC211" s="73"/>
      <c r="AD211" s="73"/>
      <c r="AE211" s="73"/>
      <c r="AF211" s="76"/>
      <c r="AG211" s="76"/>
      <c r="AH211" s="76"/>
      <c r="AI211" s="76"/>
      <c r="AJ211" s="76"/>
      <c r="AK211" s="76"/>
      <c r="AL211" s="76"/>
      <c r="AM211" s="76"/>
      <c r="AN211" s="76"/>
      <c r="AO211" s="76"/>
      <c r="AP211" s="76"/>
      <c r="AQ211" s="76"/>
      <c r="AR211" s="76"/>
      <c r="AS211" s="76"/>
      <c r="AT211" s="76"/>
      <c r="AU211" s="76"/>
      <c r="AV211" s="76"/>
      <c r="AW211" s="76"/>
      <c r="AX211" s="76"/>
      <c r="AY211" s="76"/>
      <c r="AZ211" s="76"/>
      <c r="BA211" s="76"/>
      <c r="BB211" s="76"/>
      <c r="BC211" s="76"/>
      <c r="BD211" s="76"/>
      <c r="BE211" s="76"/>
      <c r="BF211" s="76"/>
      <c r="BG211" s="76"/>
      <c r="BH211" s="76"/>
      <c r="BI211" s="76"/>
      <c r="BJ211" s="76"/>
      <c r="BK211" s="76"/>
      <c r="BL211" s="76"/>
      <c r="BM211" s="76"/>
      <c r="BN211" s="76"/>
      <c r="BO211" s="76"/>
    </row>
    <row r="212" customFormat="false" ht="15" hidden="false" customHeight="false" outlineLevel="0" collapsed="false">
      <c r="A212" s="73"/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4"/>
      <c r="S212" s="74"/>
      <c r="T212" s="74"/>
      <c r="U212" s="73"/>
      <c r="V212" s="73"/>
      <c r="W212" s="73"/>
      <c r="X212" s="73"/>
      <c r="Y212" s="75"/>
      <c r="Z212" s="73"/>
      <c r="AA212" s="73"/>
      <c r="AB212" s="73"/>
      <c r="AC212" s="73"/>
      <c r="AD212" s="73"/>
      <c r="AE212" s="73"/>
      <c r="AF212" s="76"/>
      <c r="AG212" s="76"/>
      <c r="AH212" s="76"/>
      <c r="AI212" s="76"/>
      <c r="AJ212" s="76"/>
      <c r="AK212" s="76"/>
      <c r="AL212" s="76"/>
      <c r="AM212" s="76"/>
      <c r="AN212" s="76"/>
      <c r="AO212" s="76"/>
      <c r="AP212" s="76"/>
      <c r="AQ212" s="76"/>
      <c r="AR212" s="76"/>
      <c r="AS212" s="76"/>
      <c r="AT212" s="76"/>
      <c r="AU212" s="76"/>
      <c r="AV212" s="76"/>
      <c r="AW212" s="76"/>
      <c r="AX212" s="76"/>
      <c r="AY212" s="76"/>
      <c r="AZ212" s="76"/>
      <c r="BA212" s="76"/>
      <c r="BB212" s="76"/>
      <c r="BC212" s="76"/>
      <c r="BD212" s="76"/>
      <c r="BE212" s="76"/>
      <c r="BF212" s="76"/>
      <c r="BG212" s="76"/>
      <c r="BH212" s="76"/>
      <c r="BI212" s="76"/>
      <c r="BJ212" s="76"/>
      <c r="BK212" s="76"/>
      <c r="BL212" s="76"/>
      <c r="BM212" s="76"/>
      <c r="BN212" s="76"/>
      <c r="BO212" s="76"/>
    </row>
    <row r="213" customFormat="false" ht="15" hidden="false" customHeight="false" outlineLevel="0" collapsed="false">
      <c r="A213" s="73"/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4"/>
      <c r="S213" s="74"/>
      <c r="T213" s="74"/>
      <c r="U213" s="73"/>
      <c r="V213" s="73"/>
      <c r="W213" s="73"/>
      <c r="X213" s="73"/>
      <c r="Y213" s="75"/>
      <c r="Z213" s="73"/>
      <c r="AA213" s="73"/>
      <c r="AB213" s="73"/>
      <c r="AC213" s="73"/>
      <c r="AD213" s="73"/>
      <c r="AE213" s="73"/>
      <c r="AF213" s="76"/>
      <c r="AG213" s="76"/>
      <c r="AH213" s="76"/>
      <c r="AI213" s="76"/>
      <c r="AJ213" s="76"/>
      <c r="AK213" s="76"/>
      <c r="AL213" s="76"/>
      <c r="AM213" s="76"/>
      <c r="AN213" s="76"/>
      <c r="AO213" s="76"/>
      <c r="AP213" s="76"/>
      <c r="AQ213" s="76"/>
      <c r="AR213" s="76"/>
      <c r="AS213" s="76"/>
      <c r="AT213" s="76"/>
      <c r="AU213" s="76"/>
      <c r="AV213" s="76"/>
      <c r="AW213" s="76"/>
      <c r="AX213" s="76"/>
      <c r="AY213" s="76"/>
      <c r="AZ213" s="76"/>
      <c r="BA213" s="76"/>
      <c r="BB213" s="76"/>
      <c r="BC213" s="76"/>
      <c r="BD213" s="76"/>
      <c r="BE213" s="76"/>
      <c r="BF213" s="76"/>
      <c r="BG213" s="76"/>
      <c r="BH213" s="76"/>
      <c r="BI213" s="76"/>
      <c r="BJ213" s="76"/>
      <c r="BK213" s="76"/>
      <c r="BL213" s="76"/>
      <c r="BM213" s="76"/>
      <c r="BN213" s="76"/>
      <c r="BO213" s="76"/>
    </row>
    <row r="214" customFormat="false" ht="15" hidden="false" customHeight="false" outlineLevel="0" collapsed="false">
      <c r="A214" s="73"/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4"/>
      <c r="S214" s="74"/>
      <c r="T214" s="74"/>
      <c r="U214" s="73"/>
      <c r="V214" s="73"/>
      <c r="W214" s="73"/>
      <c r="X214" s="73"/>
      <c r="Y214" s="75"/>
      <c r="Z214" s="73"/>
      <c r="AA214" s="73"/>
      <c r="AB214" s="73"/>
      <c r="AC214" s="73"/>
      <c r="AD214" s="73"/>
      <c r="AE214" s="73"/>
      <c r="AF214" s="76"/>
      <c r="AG214" s="76"/>
      <c r="AH214" s="76"/>
      <c r="AI214" s="76"/>
      <c r="AJ214" s="76"/>
      <c r="AK214" s="76"/>
      <c r="AL214" s="76"/>
      <c r="AM214" s="76"/>
      <c r="AN214" s="76"/>
      <c r="AO214" s="76"/>
      <c r="AP214" s="76"/>
      <c r="AQ214" s="76"/>
      <c r="AR214" s="76"/>
      <c r="AS214" s="76"/>
      <c r="AT214" s="76"/>
      <c r="AU214" s="76"/>
      <c r="AV214" s="76"/>
      <c r="AW214" s="76"/>
      <c r="AX214" s="76"/>
      <c r="AY214" s="76"/>
      <c r="AZ214" s="76"/>
      <c r="BA214" s="76"/>
      <c r="BB214" s="76"/>
      <c r="BC214" s="76"/>
      <c r="BD214" s="76"/>
      <c r="BE214" s="76"/>
      <c r="BF214" s="76"/>
      <c r="BG214" s="76"/>
      <c r="BH214" s="76"/>
      <c r="BI214" s="76"/>
      <c r="BJ214" s="76"/>
      <c r="BK214" s="76"/>
      <c r="BL214" s="76"/>
      <c r="BM214" s="76"/>
      <c r="BN214" s="76"/>
      <c r="BO214" s="76"/>
    </row>
    <row r="215" customFormat="false" ht="15" hidden="false" customHeight="false" outlineLevel="0" collapsed="false">
      <c r="A215" s="73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4"/>
      <c r="S215" s="74"/>
      <c r="T215" s="74"/>
      <c r="U215" s="73"/>
      <c r="V215" s="73"/>
      <c r="W215" s="73"/>
      <c r="X215" s="73"/>
      <c r="Y215" s="75"/>
      <c r="Z215" s="73"/>
      <c r="AA215" s="73"/>
      <c r="AB215" s="73"/>
      <c r="AC215" s="73"/>
      <c r="AD215" s="73"/>
      <c r="AE215" s="73"/>
      <c r="AF215" s="76"/>
      <c r="AG215" s="76"/>
      <c r="AH215" s="76"/>
      <c r="AI215" s="76"/>
      <c r="AJ215" s="76"/>
      <c r="AK215" s="76"/>
      <c r="AL215" s="76"/>
      <c r="AM215" s="76"/>
      <c r="AN215" s="76"/>
      <c r="AO215" s="76"/>
      <c r="AP215" s="76"/>
      <c r="AQ215" s="76"/>
      <c r="AR215" s="76"/>
      <c r="AS215" s="76"/>
      <c r="AT215" s="76"/>
      <c r="AU215" s="76"/>
      <c r="AV215" s="76"/>
      <c r="AW215" s="76"/>
      <c r="AX215" s="76"/>
      <c r="AY215" s="76"/>
      <c r="AZ215" s="76"/>
      <c r="BA215" s="76"/>
      <c r="BB215" s="76"/>
      <c r="BC215" s="76"/>
      <c r="BD215" s="76"/>
      <c r="BE215" s="76"/>
      <c r="BF215" s="76"/>
      <c r="BG215" s="76"/>
      <c r="BH215" s="76"/>
      <c r="BI215" s="76"/>
      <c r="BJ215" s="76"/>
      <c r="BK215" s="76"/>
      <c r="BL215" s="76"/>
      <c r="BM215" s="76"/>
      <c r="BN215" s="76"/>
      <c r="BO215" s="76"/>
    </row>
    <row r="216" customFormat="false" ht="15" hidden="false" customHeight="false" outlineLevel="0" collapsed="false">
      <c r="A216" s="73"/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4"/>
      <c r="S216" s="74"/>
      <c r="T216" s="74"/>
      <c r="U216" s="73"/>
      <c r="V216" s="73"/>
      <c r="W216" s="73"/>
      <c r="X216" s="73"/>
      <c r="Y216" s="75"/>
      <c r="Z216" s="73"/>
      <c r="AA216" s="73"/>
      <c r="AB216" s="73"/>
      <c r="AC216" s="73"/>
      <c r="AD216" s="73"/>
      <c r="AE216" s="73"/>
      <c r="AF216" s="76"/>
      <c r="AG216" s="76"/>
      <c r="AH216" s="76"/>
      <c r="AI216" s="76"/>
      <c r="AJ216" s="76"/>
      <c r="AK216" s="76"/>
      <c r="AL216" s="76"/>
      <c r="AM216" s="76"/>
      <c r="AN216" s="76"/>
      <c r="AO216" s="76"/>
      <c r="AP216" s="76"/>
      <c r="AQ216" s="76"/>
      <c r="AR216" s="76"/>
      <c r="AS216" s="76"/>
      <c r="AT216" s="76"/>
      <c r="AU216" s="76"/>
      <c r="AV216" s="76"/>
      <c r="AW216" s="76"/>
      <c r="AX216" s="76"/>
      <c r="AY216" s="76"/>
      <c r="AZ216" s="76"/>
      <c r="BA216" s="76"/>
      <c r="BB216" s="76"/>
      <c r="BC216" s="76"/>
      <c r="BD216" s="76"/>
      <c r="BE216" s="76"/>
      <c r="BF216" s="76"/>
      <c r="BG216" s="76"/>
      <c r="BH216" s="76"/>
      <c r="BI216" s="76"/>
      <c r="BJ216" s="76"/>
      <c r="BK216" s="76"/>
      <c r="BL216" s="76"/>
      <c r="BM216" s="76"/>
      <c r="BN216" s="76"/>
      <c r="BO216" s="76"/>
    </row>
    <row r="217" customFormat="false" ht="15" hidden="false" customHeight="false" outlineLevel="0" collapsed="false">
      <c r="A217" s="73"/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4"/>
      <c r="S217" s="74"/>
      <c r="T217" s="74"/>
      <c r="U217" s="73"/>
      <c r="V217" s="73"/>
      <c r="W217" s="73"/>
      <c r="X217" s="73"/>
      <c r="Y217" s="75"/>
      <c r="Z217" s="73"/>
      <c r="AA217" s="73"/>
      <c r="AB217" s="73"/>
      <c r="AC217" s="73"/>
      <c r="AD217" s="73"/>
      <c r="AE217" s="73"/>
      <c r="AF217" s="76"/>
      <c r="AG217" s="76"/>
      <c r="AH217" s="76"/>
      <c r="AI217" s="76"/>
      <c r="AJ217" s="76"/>
      <c r="AK217" s="76"/>
      <c r="AL217" s="76"/>
      <c r="AM217" s="76"/>
      <c r="AN217" s="76"/>
      <c r="AO217" s="76"/>
      <c r="AP217" s="76"/>
      <c r="AQ217" s="76"/>
      <c r="AR217" s="76"/>
      <c r="AS217" s="76"/>
      <c r="AT217" s="76"/>
      <c r="AU217" s="76"/>
      <c r="AV217" s="76"/>
      <c r="AW217" s="76"/>
      <c r="AX217" s="76"/>
      <c r="AY217" s="76"/>
      <c r="AZ217" s="76"/>
      <c r="BA217" s="76"/>
      <c r="BB217" s="76"/>
      <c r="BC217" s="76"/>
      <c r="BD217" s="76"/>
      <c r="BE217" s="76"/>
      <c r="BF217" s="76"/>
      <c r="BG217" s="76"/>
      <c r="BH217" s="76"/>
      <c r="BI217" s="76"/>
      <c r="BJ217" s="76"/>
      <c r="BK217" s="76"/>
      <c r="BL217" s="76"/>
      <c r="BM217" s="76"/>
      <c r="BN217" s="76"/>
      <c r="BO217" s="76"/>
    </row>
    <row r="218" customFormat="false" ht="15" hidden="false" customHeight="false" outlineLevel="0" collapsed="false">
      <c r="A218" s="73"/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4"/>
      <c r="S218" s="74"/>
      <c r="T218" s="74"/>
      <c r="U218" s="73"/>
      <c r="V218" s="73"/>
      <c r="W218" s="73"/>
      <c r="X218" s="73"/>
      <c r="Y218" s="75"/>
      <c r="Z218" s="73"/>
      <c r="AA218" s="73"/>
      <c r="AB218" s="73"/>
      <c r="AC218" s="73"/>
      <c r="AD218" s="73"/>
      <c r="AE218" s="73"/>
      <c r="AF218" s="76"/>
      <c r="AG218" s="76"/>
      <c r="AH218" s="76"/>
      <c r="AI218" s="76"/>
      <c r="AJ218" s="76"/>
      <c r="AK218" s="76"/>
      <c r="AL218" s="76"/>
      <c r="AM218" s="76"/>
      <c r="AN218" s="76"/>
      <c r="AO218" s="76"/>
      <c r="AP218" s="76"/>
      <c r="AQ218" s="76"/>
      <c r="AR218" s="76"/>
      <c r="AS218" s="76"/>
      <c r="AT218" s="76"/>
      <c r="AU218" s="76"/>
      <c r="AV218" s="76"/>
      <c r="AW218" s="76"/>
      <c r="AX218" s="76"/>
      <c r="AY218" s="76"/>
      <c r="AZ218" s="76"/>
      <c r="BA218" s="76"/>
      <c r="BB218" s="76"/>
      <c r="BC218" s="76"/>
      <c r="BD218" s="76"/>
      <c r="BE218" s="76"/>
      <c r="BF218" s="76"/>
      <c r="BG218" s="76"/>
      <c r="BH218" s="76"/>
      <c r="BI218" s="76"/>
      <c r="BJ218" s="76"/>
      <c r="BK218" s="76"/>
      <c r="BL218" s="76"/>
      <c r="BM218" s="76"/>
      <c r="BN218" s="76"/>
      <c r="BO218" s="76"/>
    </row>
    <row r="219" customFormat="false" ht="15" hidden="false" customHeight="false" outlineLevel="0" collapsed="false">
      <c r="A219" s="73"/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4"/>
      <c r="S219" s="74"/>
      <c r="T219" s="74"/>
      <c r="U219" s="73"/>
      <c r="V219" s="73"/>
      <c r="W219" s="73"/>
      <c r="X219" s="73"/>
      <c r="Y219" s="75"/>
      <c r="Z219" s="73"/>
      <c r="AA219" s="73"/>
      <c r="AB219" s="73"/>
      <c r="AC219" s="73"/>
      <c r="AD219" s="73"/>
      <c r="AE219" s="73"/>
      <c r="AF219" s="76"/>
      <c r="AG219" s="76"/>
      <c r="AH219" s="76"/>
      <c r="AI219" s="76"/>
      <c r="AJ219" s="76"/>
      <c r="AK219" s="76"/>
      <c r="AL219" s="76"/>
      <c r="AM219" s="76"/>
      <c r="AN219" s="76"/>
      <c r="AO219" s="76"/>
      <c r="AP219" s="76"/>
      <c r="AQ219" s="76"/>
      <c r="AR219" s="76"/>
      <c r="AS219" s="76"/>
      <c r="AT219" s="76"/>
      <c r="AU219" s="76"/>
      <c r="AV219" s="76"/>
      <c r="AW219" s="76"/>
      <c r="AX219" s="76"/>
      <c r="AY219" s="76"/>
      <c r="AZ219" s="76"/>
      <c r="BA219" s="76"/>
      <c r="BB219" s="76"/>
      <c r="BC219" s="76"/>
      <c r="BD219" s="76"/>
      <c r="BE219" s="76"/>
      <c r="BF219" s="76"/>
      <c r="BG219" s="76"/>
      <c r="BH219" s="76"/>
      <c r="BI219" s="76"/>
      <c r="BJ219" s="76"/>
      <c r="BK219" s="76"/>
      <c r="BL219" s="76"/>
      <c r="BM219" s="76"/>
      <c r="BN219" s="76"/>
      <c r="BO219" s="76"/>
    </row>
    <row r="220" customFormat="false" ht="15" hidden="false" customHeight="false" outlineLevel="0" collapsed="false">
      <c r="A220" s="73"/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4"/>
      <c r="S220" s="74"/>
      <c r="T220" s="74"/>
      <c r="U220" s="73"/>
      <c r="V220" s="73"/>
      <c r="W220" s="73"/>
      <c r="X220" s="73"/>
      <c r="Y220" s="75"/>
      <c r="Z220" s="73"/>
      <c r="AA220" s="73"/>
      <c r="AB220" s="73"/>
      <c r="AC220" s="73"/>
      <c r="AD220" s="73"/>
      <c r="AE220" s="73"/>
      <c r="AF220" s="76"/>
      <c r="AG220" s="76"/>
      <c r="AH220" s="76"/>
      <c r="AI220" s="76"/>
      <c r="AJ220" s="76"/>
      <c r="AK220" s="76"/>
      <c r="AL220" s="76"/>
      <c r="AM220" s="76"/>
      <c r="AN220" s="76"/>
      <c r="AO220" s="76"/>
      <c r="AP220" s="76"/>
      <c r="AQ220" s="76"/>
      <c r="AR220" s="76"/>
      <c r="AS220" s="76"/>
      <c r="AT220" s="76"/>
      <c r="AU220" s="76"/>
      <c r="AV220" s="76"/>
      <c r="AW220" s="76"/>
      <c r="AX220" s="76"/>
      <c r="AY220" s="76"/>
      <c r="AZ220" s="76"/>
      <c r="BA220" s="76"/>
      <c r="BB220" s="76"/>
      <c r="BC220" s="76"/>
      <c r="BD220" s="76"/>
      <c r="BE220" s="76"/>
      <c r="BF220" s="76"/>
      <c r="BG220" s="76"/>
      <c r="BH220" s="76"/>
      <c r="BI220" s="76"/>
      <c r="BJ220" s="76"/>
      <c r="BK220" s="76"/>
      <c r="BL220" s="76"/>
      <c r="BM220" s="76"/>
      <c r="BN220" s="76"/>
      <c r="BO220" s="76"/>
    </row>
    <row r="221" customFormat="false" ht="15" hidden="false" customHeight="false" outlineLevel="0" collapsed="false">
      <c r="A221" s="73"/>
      <c r="B221" s="73"/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4"/>
      <c r="S221" s="74"/>
      <c r="T221" s="74"/>
      <c r="U221" s="73"/>
      <c r="V221" s="73"/>
      <c r="W221" s="73"/>
      <c r="X221" s="73"/>
      <c r="Y221" s="75"/>
      <c r="Z221" s="73"/>
      <c r="AA221" s="73"/>
      <c r="AB221" s="73"/>
      <c r="AC221" s="73"/>
      <c r="AD221" s="73"/>
      <c r="AE221" s="73"/>
      <c r="AF221" s="76"/>
      <c r="AG221" s="76"/>
      <c r="AH221" s="76"/>
      <c r="AI221" s="76"/>
      <c r="AJ221" s="76"/>
      <c r="AK221" s="76"/>
      <c r="AL221" s="76"/>
      <c r="AM221" s="76"/>
      <c r="AN221" s="76"/>
      <c r="AO221" s="76"/>
      <c r="AP221" s="76"/>
      <c r="AQ221" s="76"/>
      <c r="AR221" s="76"/>
      <c r="AS221" s="76"/>
      <c r="AT221" s="76"/>
      <c r="AU221" s="76"/>
      <c r="AV221" s="76"/>
      <c r="AW221" s="76"/>
      <c r="AX221" s="76"/>
      <c r="AY221" s="76"/>
      <c r="AZ221" s="76"/>
      <c r="BA221" s="76"/>
      <c r="BB221" s="76"/>
      <c r="BC221" s="76"/>
      <c r="BD221" s="76"/>
      <c r="BE221" s="76"/>
      <c r="BF221" s="76"/>
      <c r="BG221" s="76"/>
      <c r="BH221" s="76"/>
      <c r="BI221" s="76"/>
      <c r="BJ221" s="76"/>
      <c r="BK221" s="76"/>
      <c r="BL221" s="76"/>
      <c r="BM221" s="76"/>
      <c r="BN221" s="76"/>
      <c r="BO221" s="76"/>
    </row>
    <row r="222" customFormat="false" ht="15" hidden="false" customHeight="false" outlineLevel="0" collapsed="false">
      <c r="A222" s="73"/>
      <c r="B222" s="73"/>
      <c r="C222" s="7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4"/>
      <c r="S222" s="74"/>
      <c r="T222" s="74"/>
      <c r="U222" s="73"/>
      <c r="V222" s="73"/>
      <c r="W222" s="73"/>
      <c r="X222" s="73"/>
      <c r="Y222" s="75"/>
      <c r="Z222" s="73"/>
      <c r="AA222" s="73"/>
      <c r="AB222" s="73"/>
      <c r="AC222" s="73"/>
      <c r="AD222" s="73"/>
      <c r="AE222" s="73"/>
      <c r="AF222" s="76"/>
      <c r="AG222" s="76"/>
      <c r="AH222" s="76"/>
      <c r="AI222" s="76"/>
      <c r="AJ222" s="76"/>
      <c r="AK222" s="76"/>
      <c r="AL222" s="76"/>
      <c r="AM222" s="76"/>
      <c r="AN222" s="76"/>
      <c r="AO222" s="76"/>
      <c r="AP222" s="76"/>
      <c r="AQ222" s="76"/>
      <c r="AR222" s="76"/>
      <c r="AS222" s="76"/>
      <c r="AT222" s="76"/>
      <c r="AU222" s="76"/>
      <c r="AV222" s="76"/>
      <c r="AW222" s="76"/>
      <c r="AX222" s="76"/>
      <c r="AY222" s="76"/>
      <c r="AZ222" s="76"/>
      <c r="BA222" s="76"/>
      <c r="BB222" s="76"/>
      <c r="BC222" s="76"/>
      <c r="BD222" s="76"/>
      <c r="BE222" s="76"/>
      <c r="BF222" s="76"/>
      <c r="BG222" s="76"/>
      <c r="BH222" s="76"/>
      <c r="BI222" s="76"/>
      <c r="BJ222" s="76"/>
      <c r="BK222" s="76"/>
      <c r="BL222" s="76"/>
      <c r="BM222" s="76"/>
      <c r="BN222" s="76"/>
      <c r="BO222" s="76"/>
    </row>
    <row r="223" customFormat="false" ht="15" hidden="false" customHeight="false" outlineLevel="0" collapsed="false">
      <c r="A223" s="73"/>
      <c r="B223" s="73"/>
      <c r="C223" s="73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4"/>
      <c r="S223" s="74"/>
      <c r="T223" s="74"/>
      <c r="U223" s="73"/>
      <c r="V223" s="73"/>
      <c r="W223" s="73"/>
      <c r="X223" s="73"/>
      <c r="Y223" s="75"/>
      <c r="Z223" s="73"/>
      <c r="AA223" s="73"/>
      <c r="AB223" s="73"/>
      <c r="AC223" s="73"/>
      <c r="AD223" s="73"/>
      <c r="AE223" s="73"/>
      <c r="AF223" s="76"/>
      <c r="AG223" s="76"/>
      <c r="AH223" s="76"/>
      <c r="AI223" s="76"/>
      <c r="AJ223" s="76"/>
      <c r="AK223" s="76"/>
      <c r="AL223" s="76"/>
      <c r="AM223" s="76"/>
      <c r="AN223" s="76"/>
      <c r="AO223" s="76"/>
      <c r="AP223" s="76"/>
      <c r="AQ223" s="76"/>
      <c r="AR223" s="76"/>
      <c r="AS223" s="76"/>
      <c r="AT223" s="76"/>
      <c r="AU223" s="76"/>
      <c r="AV223" s="76"/>
      <c r="AW223" s="76"/>
      <c r="AX223" s="76"/>
      <c r="AY223" s="76"/>
      <c r="AZ223" s="76"/>
      <c r="BA223" s="76"/>
      <c r="BB223" s="76"/>
      <c r="BC223" s="76"/>
      <c r="BD223" s="76"/>
      <c r="BE223" s="76"/>
      <c r="BF223" s="76"/>
      <c r="BG223" s="76"/>
      <c r="BH223" s="76"/>
      <c r="BI223" s="76"/>
      <c r="BJ223" s="76"/>
      <c r="BK223" s="76"/>
      <c r="BL223" s="76"/>
      <c r="BM223" s="76"/>
      <c r="BN223" s="76"/>
      <c r="BO223" s="76"/>
    </row>
    <row r="224" customFormat="false" ht="15" hidden="false" customHeight="false" outlineLevel="0" collapsed="false">
      <c r="A224" s="73"/>
      <c r="B224" s="73"/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4"/>
      <c r="S224" s="74"/>
      <c r="T224" s="74"/>
      <c r="U224" s="73"/>
      <c r="V224" s="73"/>
      <c r="W224" s="73"/>
      <c r="X224" s="73"/>
      <c r="Y224" s="75"/>
      <c r="Z224" s="73"/>
      <c r="AA224" s="73"/>
      <c r="AB224" s="73"/>
      <c r="AC224" s="73"/>
      <c r="AD224" s="73"/>
      <c r="AE224" s="73"/>
      <c r="AF224" s="76"/>
      <c r="AG224" s="76"/>
      <c r="AH224" s="76"/>
      <c r="AI224" s="76"/>
      <c r="AJ224" s="76"/>
      <c r="AK224" s="76"/>
      <c r="AL224" s="76"/>
      <c r="AM224" s="76"/>
      <c r="AN224" s="76"/>
      <c r="AO224" s="76"/>
      <c r="AP224" s="76"/>
      <c r="AQ224" s="76"/>
      <c r="AR224" s="76"/>
      <c r="AS224" s="76"/>
      <c r="AT224" s="76"/>
      <c r="AU224" s="76"/>
      <c r="AV224" s="76"/>
      <c r="AW224" s="76"/>
      <c r="AX224" s="76"/>
      <c r="AY224" s="76"/>
      <c r="AZ224" s="76"/>
      <c r="BA224" s="76"/>
      <c r="BB224" s="76"/>
      <c r="BC224" s="76"/>
      <c r="BD224" s="76"/>
      <c r="BE224" s="76"/>
      <c r="BF224" s="76"/>
      <c r="BG224" s="76"/>
      <c r="BH224" s="76"/>
      <c r="BI224" s="76"/>
      <c r="BJ224" s="76"/>
      <c r="BK224" s="76"/>
      <c r="BL224" s="76"/>
      <c r="BM224" s="76"/>
      <c r="BN224" s="76"/>
      <c r="BO224" s="76"/>
    </row>
    <row r="225" customFormat="false" ht="15" hidden="false" customHeight="false" outlineLevel="0" collapsed="false">
      <c r="A225" s="73"/>
      <c r="B225" s="73"/>
      <c r="C225" s="7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4"/>
      <c r="S225" s="74"/>
      <c r="T225" s="74"/>
      <c r="U225" s="73"/>
      <c r="V225" s="73"/>
      <c r="W225" s="73"/>
      <c r="X225" s="73"/>
      <c r="Y225" s="75"/>
      <c r="Z225" s="73"/>
      <c r="AA225" s="73"/>
      <c r="AB225" s="73"/>
      <c r="AC225" s="73"/>
      <c r="AD225" s="73"/>
      <c r="AE225" s="73"/>
      <c r="AF225" s="76"/>
      <c r="AG225" s="76"/>
      <c r="AH225" s="76"/>
      <c r="AI225" s="76"/>
      <c r="AJ225" s="76"/>
      <c r="AK225" s="76"/>
      <c r="AL225" s="76"/>
      <c r="AM225" s="76"/>
      <c r="AN225" s="76"/>
      <c r="AO225" s="76"/>
      <c r="AP225" s="76"/>
      <c r="AQ225" s="76"/>
      <c r="AR225" s="76"/>
      <c r="AS225" s="76"/>
      <c r="AT225" s="76"/>
      <c r="AU225" s="76"/>
      <c r="AV225" s="76"/>
      <c r="AW225" s="76"/>
      <c r="AX225" s="76"/>
      <c r="AY225" s="76"/>
      <c r="AZ225" s="76"/>
      <c r="BA225" s="76"/>
      <c r="BB225" s="76"/>
      <c r="BC225" s="76"/>
      <c r="BD225" s="76"/>
      <c r="BE225" s="76"/>
      <c r="BF225" s="76"/>
      <c r="BG225" s="76"/>
      <c r="BH225" s="76"/>
      <c r="BI225" s="76"/>
      <c r="BJ225" s="76"/>
      <c r="BK225" s="76"/>
      <c r="BL225" s="76"/>
      <c r="BM225" s="76"/>
      <c r="BN225" s="76"/>
      <c r="BO225" s="76"/>
    </row>
    <row r="226" customFormat="false" ht="15" hidden="false" customHeight="false" outlineLevel="0" collapsed="false">
      <c r="A226" s="73"/>
      <c r="B226" s="73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4"/>
      <c r="S226" s="74"/>
      <c r="T226" s="74"/>
      <c r="U226" s="73"/>
      <c r="V226" s="73"/>
      <c r="W226" s="73"/>
      <c r="X226" s="73"/>
      <c r="Y226" s="75"/>
      <c r="Z226" s="73"/>
      <c r="AA226" s="73"/>
      <c r="AB226" s="73"/>
      <c r="AC226" s="73"/>
      <c r="AD226" s="73"/>
      <c r="AE226" s="73"/>
      <c r="AF226" s="76"/>
      <c r="AG226" s="76"/>
      <c r="AH226" s="76"/>
      <c r="AI226" s="76"/>
      <c r="AJ226" s="76"/>
      <c r="AK226" s="76"/>
      <c r="AL226" s="76"/>
      <c r="AM226" s="76"/>
      <c r="AN226" s="76"/>
      <c r="AO226" s="76"/>
      <c r="AP226" s="76"/>
      <c r="AQ226" s="76"/>
      <c r="AR226" s="76"/>
      <c r="AS226" s="76"/>
      <c r="AT226" s="76"/>
      <c r="AU226" s="76"/>
      <c r="AV226" s="76"/>
      <c r="AW226" s="76"/>
      <c r="AX226" s="76"/>
      <c r="AY226" s="76"/>
      <c r="AZ226" s="76"/>
      <c r="BA226" s="76"/>
      <c r="BB226" s="76"/>
      <c r="BC226" s="76"/>
      <c r="BD226" s="76"/>
      <c r="BE226" s="76"/>
      <c r="BF226" s="76"/>
      <c r="BG226" s="76"/>
      <c r="BH226" s="76"/>
      <c r="BI226" s="76"/>
      <c r="BJ226" s="76"/>
      <c r="BK226" s="76"/>
      <c r="BL226" s="76"/>
      <c r="BM226" s="76"/>
      <c r="BN226" s="76"/>
      <c r="BO226" s="76"/>
    </row>
    <row r="227" customFormat="false" ht="15" hidden="false" customHeight="false" outlineLevel="0" collapsed="false">
      <c r="A227" s="73"/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4"/>
      <c r="S227" s="74"/>
      <c r="T227" s="74"/>
      <c r="U227" s="73"/>
      <c r="V227" s="73"/>
      <c r="W227" s="73"/>
      <c r="X227" s="73"/>
      <c r="Y227" s="75"/>
      <c r="Z227" s="73"/>
      <c r="AA227" s="73"/>
      <c r="AB227" s="73"/>
      <c r="AC227" s="73"/>
      <c r="AD227" s="73"/>
      <c r="AE227" s="73"/>
      <c r="AF227" s="76"/>
      <c r="AG227" s="76"/>
      <c r="AH227" s="76"/>
      <c r="AI227" s="76"/>
      <c r="AJ227" s="76"/>
      <c r="AK227" s="76"/>
      <c r="AL227" s="76"/>
      <c r="AM227" s="76"/>
      <c r="AN227" s="76"/>
      <c r="AO227" s="76"/>
      <c r="AP227" s="76"/>
      <c r="AQ227" s="76"/>
      <c r="AR227" s="76"/>
      <c r="AS227" s="76"/>
      <c r="AT227" s="76"/>
      <c r="AU227" s="76"/>
      <c r="AV227" s="76"/>
      <c r="AW227" s="76"/>
      <c r="AX227" s="76"/>
      <c r="AY227" s="76"/>
      <c r="AZ227" s="76"/>
      <c r="BA227" s="76"/>
      <c r="BB227" s="76"/>
      <c r="BC227" s="76"/>
      <c r="BD227" s="76"/>
      <c r="BE227" s="76"/>
      <c r="BF227" s="76"/>
      <c r="BG227" s="76"/>
      <c r="BH227" s="76"/>
      <c r="BI227" s="76"/>
      <c r="BJ227" s="76"/>
      <c r="BK227" s="76"/>
      <c r="BL227" s="76"/>
      <c r="BM227" s="76"/>
      <c r="BN227" s="76"/>
      <c r="BO227" s="76"/>
    </row>
    <row r="228" customFormat="false" ht="15" hidden="false" customHeight="false" outlineLevel="0" collapsed="false">
      <c r="A228" s="73"/>
      <c r="B228" s="73"/>
      <c r="C228" s="73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4"/>
      <c r="S228" s="74"/>
      <c r="T228" s="74"/>
      <c r="U228" s="73"/>
      <c r="V228" s="73"/>
      <c r="W228" s="73"/>
      <c r="X228" s="73"/>
      <c r="Y228" s="75"/>
      <c r="Z228" s="73"/>
      <c r="AA228" s="73"/>
      <c r="AB228" s="73"/>
      <c r="AC228" s="73"/>
      <c r="AD228" s="73"/>
      <c r="AE228" s="73"/>
      <c r="AF228" s="76"/>
      <c r="AG228" s="76"/>
      <c r="AH228" s="76"/>
      <c r="AI228" s="76"/>
      <c r="AJ228" s="76"/>
      <c r="AK228" s="76"/>
      <c r="AL228" s="76"/>
      <c r="AM228" s="76"/>
      <c r="AN228" s="76"/>
      <c r="AO228" s="76"/>
      <c r="AP228" s="76"/>
      <c r="AQ228" s="76"/>
      <c r="AR228" s="76"/>
      <c r="AS228" s="76"/>
      <c r="AT228" s="76"/>
      <c r="AU228" s="76"/>
      <c r="AV228" s="76"/>
      <c r="AW228" s="76"/>
      <c r="AX228" s="76"/>
      <c r="AY228" s="76"/>
      <c r="AZ228" s="76"/>
      <c r="BA228" s="76"/>
      <c r="BB228" s="76"/>
      <c r="BC228" s="76"/>
      <c r="BD228" s="76"/>
      <c r="BE228" s="76"/>
      <c r="BF228" s="76"/>
      <c r="BG228" s="76"/>
      <c r="BH228" s="76"/>
      <c r="BI228" s="76"/>
      <c r="BJ228" s="76"/>
      <c r="BK228" s="76"/>
      <c r="BL228" s="76"/>
      <c r="BM228" s="76"/>
      <c r="BN228" s="76"/>
      <c r="BO228" s="76"/>
    </row>
    <row r="229" customFormat="false" ht="15" hidden="false" customHeight="false" outlineLevel="0" collapsed="false">
      <c r="A229" s="73"/>
      <c r="B229" s="73"/>
      <c r="C229" s="73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4"/>
      <c r="S229" s="74"/>
      <c r="T229" s="74"/>
      <c r="U229" s="73"/>
      <c r="V229" s="73"/>
      <c r="W229" s="73"/>
      <c r="X229" s="73"/>
      <c r="Y229" s="75"/>
      <c r="Z229" s="73"/>
      <c r="AA229" s="73"/>
      <c r="AB229" s="73"/>
      <c r="AC229" s="73"/>
      <c r="AD229" s="73"/>
      <c r="AE229" s="73"/>
      <c r="AF229" s="76"/>
      <c r="AG229" s="76"/>
      <c r="AH229" s="76"/>
      <c r="AI229" s="76"/>
      <c r="AJ229" s="76"/>
      <c r="AK229" s="76"/>
      <c r="AL229" s="76"/>
      <c r="AM229" s="76"/>
      <c r="AN229" s="76"/>
      <c r="AO229" s="76"/>
      <c r="AP229" s="76"/>
      <c r="AQ229" s="76"/>
      <c r="AR229" s="76"/>
      <c r="AS229" s="76"/>
      <c r="AT229" s="76"/>
      <c r="AU229" s="76"/>
      <c r="AV229" s="76"/>
      <c r="AW229" s="76"/>
      <c r="AX229" s="76"/>
      <c r="AY229" s="76"/>
      <c r="AZ229" s="76"/>
      <c r="BA229" s="76"/>
      <c r="BB229" s="76"/>
      <c r="BC229" s="76"/>
      <c r="BD229" s="76"/>
      <c r="BE229" s="76"/>
      <c r="BF229" s="76"/>
      <c r="BG229" s="76"/>
      <c r="BH229" s="76"/>
      <c r="BI229" s="76"/>
      <c r="BJ229" s="76"/>
      <c r="BK229" s="76"/>
      <c r="BL229" s="76"/>
      <c r="BM229" s="76"/>
      <c r="BN229" s="76"/>
      <c r="BO229" s="76"/>
    </row>
    <row r="230" customFormat="false" ht="15" hidden="false" customHeight="false" outlineLevel="0" collapsed="false">
      <c r="A230" s="73"/>
      <c r="B230" s="73"/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4"/>
      <c r="S230" s="74"/>
      <c r="T230" s="74"/>
      <c r="U230" s="73"/>
      <c r="V230" s="73"/>
      <c r="W230" s="73"/>
      <c r="X230" s="73"/>
      <c r="Y230" s="75"/>
      <c r="Z230" s="73"/>
      <c r="AA230" s="73"/>
      <c r="AB230" s="73"/>
      <c r="AC230" s="73"/>
      <c r="AD230" s="73"/>
      <c r="AE230" s="73"/>
      <c r="AF230" s="76"/>
      <c r="AG230" s="76"/>
      <c r="AH230" s="76"/>
      <c r="AI230" s="76"/>
      <c r="AJ230" s="76"/>
      <c r="AK230" s="76"/>
      <c r="AL230" s="76"/>
      <c r="AM230" s="76"/>
      <c r="AN230" s="76"/>
      <c r="AO230" s="76"/>
      <c r="AP230" s="76"/>
      <c r="AQ230" s="76"/>
      <c r="AR230" s="76"/>
      <c r="AS230" s="76"/>
      <c r="AT230" s="76"/>
      <c r="AU230" s="76"/>
      <c r="AV230" s="76"/>
      <c r="AW230" s="76"/>
      <c r="AX230" s="76"/>
      <c r="AY230" s="76"/>
      <c r="AZ230" s="76"/>
      <c r="BA230" s="76"/>
      <c r="BB230" s="76"/>
      <c r="BC230" s="76"/>
      <c r="BD230" s="76"/>
      <c r="BE230" s="76"/>
      <c r="BF230" s="76"/>
      <c r="BG230" s="76"/>
      <c r="BH230" s="76"/>
      <c r="BI230" s="76"/>
      <c r="BJ230" s="76"/>
      <c r="BK230" s="76"/>
      <c r="BL230" s="76"/>
      <c r="BM230" s="76"/>
      <c r="BN230" s="76"/>
      <c r="BO230" s="76"/>
    </row>
    <row r="231" customFormat="false" ht="15" hidden="false" customHeight="false" outlineLevel="0" collapsed="false">
      <c r="A231" s="73"/>
      <c r="B231" s="73"/>
      <c r="C231" s="7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4"/>
      <c r="S231" s="74"/>
      <c r="T231" s="74"/>
      <c r="U231" s="73"/>
      <c r="V231" s="73"/>
      <c r="W231" s="73"/>
      <c r="X231" s="73"/>
      <c r="Y231" s="75"/>
      <c r="Z231" s="73"/>
      <c r="AA231" s="73"/>
      <c r="AB231" s="73"/>
      <c r="AC231" s="73"/>
      <c r="AD231" s="73"/>
      <c r="AE231" s="73"/>
      <c r="AF231" s="76"/>
      <c r="AG231" s="76"/>
      <c r="AH231" s="76"/>
      <c r="AI231" s="76"/>
      <c r="AJ231" s="76"/>
      <c r="AK231" s="76"/>
      <c r="AL231" s="76"/>
      <c r="AM231" s="76"/>
      <c r="AN231" s="76"/>
      <c r="AO231" s="76"/>
      <c r="AP231" s="76"/>
      <c r="AQ231" s="76"/>
      <c r="AR231" s="76"/>
      <c r="AS231" s="76"/>
      <c r="AT231" s="76"/>
      <c r="AU231" s="76"/>
      <c r="AV231" s="76"/>
      <c r="AW231" s="76"/>
      <c r="AX231" s="76"/>
      <c r="AY231" s="76"/>
      <c r="AZ231" s="76"/>
      <c r="BA231" s="76"/>
      <c r="BB231" s="76"/>
      <c r="BC231" s="76"/>
      <c r="BD231" s="76"/>
      <c r="BE231" s="76"/>
      <c r="BF231" s="76"/>
      <c r="BG231" s="76"/>
      <c r="BH231" s="76"/>
      <c r="BI231" s="76"/>
      <c r="BJ231" s="76"/>
      <c r="BK231" s="76"/>
      <c r="BL231" s="76"/>
      <c r="BM231" s="76"/>
      <c r="BN231" s="76"/>
      <c r="BO231" s="76"/>
    </row>
    <row r="232" customFormat="false" ht="15" hidden="false" customHeight="false" outlineLevel="0" collapsed="false">
      <c r="A232" s="73"/>
      <c r="B232" s="73"/>
      <c r="C232" s="73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4"/>
      <c r="S232" s="74"/>
      <c r="T232" s="74"/>
      <c r="U232" s="73"/>
      <c r="V232" s="73"/>
      <c r="W232" s="73"/>
      <c r="X232" s="73"/>
      <c r="Y232" s="75"/>
      <c r="Z232" s="73"/>
      <c r="AA232" s="73"/>
      <c r="AB232" s="73"/>
      <c r="AC232" s="73"/>
      <c r="AD232" s="73"/>
      <c r="AE232" s="73"/>
      <c r="AF232" s="76"/>
      <c r="AG232" s="76"/>
      <c r="AH232" s="76"/>
      <c r="AI232" s="76"/>
      <c r="AJ232" s="76"/>
      <c r="AK232" s="76"/>
      <c r="AL232" s="76"/>
      <c r="AM232" s="76"/>
      <c r="AN232" s="76"/>
      <c r="AO232" s="76"/>
      <c r="AP232" s="76"/>
      <c r="AQ232" s="76"/>
      <c r="AR232" s="76"/>
      <c r="AS232" s="76"/>
      <c r="AT232" s="76"/>
      <c r="AU232" s="76"/>
      <c r="AV232" s="76"/>
      <c r="AW232" s="76"/>
      <c r="AX232" s="76"/>
      <c r="AY232" s="76"/>
      <c r="AZ232" s="76"/>
      <c r="BA232" s="76"/>
      <c r="BB232" s="76"/>
      <c r="BC232" s="76"/>
      <c r="BD232" s="76"/>
      <c r="BE232" s="76"/>
      <c r="BF232" s="76"/>
      <c r="BG232" s="76"/>
      <c r="BH232" s="76"/>
      <c r="BI232" s="76"/>
      <c r="BJ232" s="76"/>
      <c r="BK232" s="76"/>
      <c r="BL232" s="76"/>
      <c r="BM232" s="76"/>
      <c r="BN232" s="76"/>
      <c r="BO232" s="76"/>
    </row>
    <row r="233" customFormat="false" ht="15" hidden="false" customHeight="false" outlineLevel="0" collapsed="false">
      <c r="A233" s="73"/>
      <c r="B233" s="73"/>
      <c r="C233" s="73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4"/>
      <c r="S233" s="74"/>
      <c r="T233" s="74"/>
      <c r="U233" s="73"/>
      <c r="V233" s="73"/>
      <c r="W233" s="73"/>
      <c r="X233" s="73"/>
      <c r="Y233" s="75"/>
      <c r="Z233" s="73"/>
      <c r="AA233" s="73"/>
      <c r="AB233" s="73"/>
      <c r="AC233" s="73"/>
      <c r="AD233" s="73"/>
      <c r="AE233" s="73"/>
      <c r="AF233" s="76"/>
      <c r="AG233" s="76"/>
      <c r="AH233" s="76"/>
      <c r="AI233" s="76"/>
      <c r="AJ233" s="76"/>
      <c r="AK233" s="76"/>
      <c r="AL233" s="76"/>
      <c r="AM233" s="76"/>
      <c r="AN233" s="76"/>
      <c r="AO233" s="76"/>
      <c r="AP233" s="76"/>
      <c r="AQ233" s="76"/>
      <c r="AR233" s="76"/>
      <c r="AS233" s="76"/>
      <c r="AT233" s="76"/>
      <c r="AU233" s="76"/>
      <c r="AV233" s="76"/>
      <c r="AW233" s="76"/>
      <c r="AX233" s="76"/>
      <c r="AY233" s="76"/>
      <c r="AZ233" s="76"/>
      <c r="BA233" s="76"/>
      <c r="BB233" s="76"/>
      <c r="BC233" s="76"/>
      <c r="BD233" s="76"/>
      <c r="BE233" s="76"/>
      <c r="BF233" s="76"/>
      <c r="BG233" s="76"/>
      <c r="BH233" s="76"/>
      <c r="BI233" s="76"/>
      <c r="BJ233" s="76"/>
      <c r="BK233" s="76"/>
      <c r="BL233" s="76"/>
      <c r="BM233" s="76"/>
      <c r="BN233" s="76"/>
      <c r="BO233" s="76"/>
    </row>
    <row r="234" customFormat="false" ht="15" hidden="false" customHeight="false" outlineLevel="0" collapsed="false">
      <c r="A234" s="73"/>
      <c r="B234" s="73"/>
      <c r="C234" s="73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4"/>
      <c r="S234" s="74"/>
      <c r="T234" s="74"/>
      <c r="U234" s="73"/>
      <c r="V234" s="73"/>
      <c r="W234" s="73"/>
      <c r="X234" s="73"/>
      <c r="Y234" s="75"/>
      <c r="Z234" s="73"/>
      <c r="AA234" s="73"/>
      <c r="AB234" s="73"/>
      <c r="AC234" s="73"/>
      <c r="AD234" s="73"/>
      <c r="AE234" s="73"/>
      <c r="AF234" s="76"/>
      <c r="AG234" s="76"/>
      <c r="AH234" s="76"/>
      <c r="AI234" s="76"/>
      <c r="AJ234" s="76"/>
      <c r="AK234" s="76"/>
      <c r="AL234" s="76"/>
      <c r="AM234" s="76"/>
      <c r="AN234" s="76"/>
      <c r="AO234" s="76"/>
      <c r="AP234" s="76"/>
      <c r="AQ234" s="76"/>
      <c r="AR234" s="76"/>
      <c r="AS234" s="76"/>
      <c r="AT234" s="76"/>
      <c r="AU234" s="76"/>
      <c r="AV234" s="76"/>
      <c r="AW234" s="76"/>
      <c r="AX234" s="76"/>
      <c r="AY234" s="76"/>
      <c r="AZ234" s="76"/>
      <c r="BA234" s="76"/>
      <c r="BB234" s="76"/>
      <c r="BC234" s="76"/>
      <c r="BD234" s="76"/>
      <c r="BE234" s="76"/>
      <c r="BF234" s="76"/>
      <c r="BG234" s="76"/>
      <c r="BH234" s="76"/>
      <c r="BI234" s="76"/>
      <c r="BJ234" s="76"/>
      <c r="BK234" s="76"/>
      <c r="BL234" s="76"/>
      <c r="BM234" s="76"/>
      <c r="BN234" s="76"/>
      <c r="BO234" s="76"/>
    </row>
    <row r="235" customFormat="false" ht="15" hidden="false" customHeight="false" outlineLevel="0" collapsed="false">
      <c r="A235" s="73"/>
      <c r="B235" s="73"/>
      <c r="C235" s="73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4"/>
      <c r="S235" s="74"/>
      <c r="T235" s="74"/>
      <c r="U235" s="73"/>
      <c r="V235" s="73"/>
      <c r="W235" s="73"/>
      <c r="X235" s="73"/>
      <c r="Y235" s="75"/>
      <c r="Z235" s="73"/>
      <c r="AA235" s="73"/>
      <c r="AB235" s="73"/>
      <c r="AC235" s="73"/>
      <c r="AD235" s="73"/>
      <c r="AE235" s="73"/>
      <c r="AF235" s="76"/>
      <c r="AG235" s="76"/>
      <c r="AH235" s="76"/>
      <c r="AI235" s="76"/>
      <c r="AJ235" s="76"/>
      <c r="AK235" s="76"/>
      <c r="AL235" s="76"/>
      <c r="AM235" s="76"/>
      <c r="AN235" s="76"/>
      <c r="AO235" s="76"/>
      <c r="AP235" s="76"/>
      <c r="AQ235" s="76"/>
      <c r="AR235" s="76"/>
      <c r="AS235" s="76"/>
      <c r="AT235" s="76"/>
      <c r="AU235" s="76"/>
      <c r="AV235" s="76"/>
      <c r="AW235" s="76"/>
      <c r="AX235" s="76"/>
      <c r="AY235" s="76"/>
      <c r="AZ235" s="76"/>
      <c r="BA235" s="76"/>
      <c r="BB235" s="76"/>
      <c r="BC235" s="76"/>
      <c r="BD235" s="76"/>
      <c r="BE235" s="76"/>
      <c r="BF235" s="76"/>
      <c r="BG235" s="76"/>
      <c r="BH235" s="76"/>
      <c r="BI235" s="76"/>
      <c r="BJ235" s="76"/>
      <c r="BK235" s="76"/>
      <c r="BL235" s="76"/>
      <c r="BM235" s="76"/>
      <c r="BN235" s="76"/>
      <c r="BO235" s="76"/>
    </row>
    <row r="236" customFormat="false" ht="15" hidden="false" customHeight="false" outlineLevel="0" collapsed="false">
      <c r="A236" s="73"/>
      <c r="B236" s="73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4"/>
      <c r="S236" s="74"/>
      <c r="T236" s="74"/>
      <c r="U236" s="73"/>
      <c r="V236" s="73"/>
      <c r="W236" s="73"/>
      <c r="X236" s="73"/>
      <c r="Y236" s="75"/>
      <c r="Z236" s="73"/>
      <c r="AA236" s="73"/>
      <c r="AB236" s="73"/>
      <c r="AC236" s="73"/>
      <c r="AD236" s="73"/>
      <c r="AE236" s="73"/>
      <c r="AF236" s="76"/>
      <c r="AG236" s="76"/>
      <c r="AH236" s="76"/>
      <c r="AI236" s="76"/>
      <c r="AJ236" s="76"/>
      <c r="AK236" s="76"/>
      <c r="AL236" s="76"/>
      <c r="AM236" s="76"/>
      <c r="AN236" s="76"/>
      <c r="AO236" s="76"/>
      <c r="AP236" s="76"/>
      <c r="AQ236" s="76"/>
      <c r="AR236" s="76"/>
      <c r="AS236" s="76"/>
      <c r="AT236" s="76"/>
      <c r="AU236" s="76"/>
      <c r="AV236" s="76"/>
      <c r="AW236" s="76"/>
      <c r="AX236" s="76"/>
      <c r="AY236" s="76"/>
      <c r="AZ236" s="76"/>
      <c r="BA236" s="76"/>
      <c r="BB236" s="76"/>
      <c r="BC236" s="76"/>
      <c r="BD236" s="76"/>
      <c r="BE236" s="76"/>
      <c r="BF236" s="76"/>
      <c r="BG236" s="76"/>
      <c r="BH236" s="76"/>
      <c r="BI236" s="76"/>
      <c r="BJ236" s="76"/>
      <c r="BK236" s="76"/>
      <c r="BL236" s="76"/>
      <c r="BM236" s="76"/>
      <c r="BN236" s="76"/>
      <c r="BO236" s="76"/>
    </row>
    <row r="237" customFormat="false" ht="15" hidden="false" customHeight="false" outlineLevel="0" collapsed="false">
      <c r="A237" s="73"/>
      <c r="B237" s="73"/>
      <c r="C237" s="73"/>
      <c r="D237" s="73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4"/>
      <c r="S237" s="74"/>
      <c r="T237" s="74"/>
      <c r="U237" s="73"/>
      <c r="V237" s="73"/>
      <c r="W237" s="73"/>
      <c r="X237" s="73"/>
      <c r="Y237" s="75"/>
      <c r="Z237" s="73"/>
      <c r="AA237" s="73"/>
      <c r="AB237" s="73"/>
      <c r="AC237" s="73"/>
      <c r="AD237" s="73"/>
      <c r="AE237" s="73"/>
      <c r="AF237" s="76"/>
      <c r="AG237" s="76"/>
      <c r="AH237" s="76"/>
      <c r="AI237" s="76"/>
      <c r="AJ237" s="76"/>
      <c r="AK237" s="76"/>
      <c r="AL237" s="76"/>
      <c r="AM237" s="76"/>
      <c r="AN237" s="76"/>
      <c r="AO237" s="76"/>
      <c r="AP237" s="76"/>
      <c r="AQ237" s="76"/>
      <c r="AR237" s="76"/>
      <c r="AS237" s="76"/>
      <c r="AT237" s="76"/>
      <c r="AU237" s="76"/>
      <c r="AV237" s="76"/>
      <c r="AW237" s="76"/>
      <c r="AX237" s="76"/>
      <c r="AY237" s="76"/>
      <c r="AZ237" s="76"/>
      <c r="BA237" s="76"/>
      <c r="BB237" s="76"/>
      <c r="BC237" s="76"/>
      <c r="BD237" s="76"/>
      <c r="BE237" s="76"/>
      <c r="BF237" s="76"/>
      <c r="BG237" s="76"/>
      <c r="BH237" s="76"/>
      <c r="BI237" s="76"/>
      <c r="BJ237" s="76"/>
      <c r="BK237" s="76"/>
      <c r="BL237" s="76"/>
      <c r="BM237" s="76"/>
      <c r="BN237" s="76"/>
      <c r="BO237" s="76"/>
    </row>
    <row r="238" customFormat="false" ht="15" hidden="false" customHeight="false" outlineLevel="0" collapsed="false">
      <c r="A238" s="73"/>
      <c r="B238" s="73"/>
      <c r="C238" s="73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4"/>
      <c r="S238" s="74"/>
      <c r="T238" s="74"/>
      <c r="U238" s="73"/>
      <c r="V238" s="73"/>
      <c r="W238" s="73"/>
      <c r="X238" s="73"/>
      <c r="Y238" s="75"/>
      <c r="Z238" s="73"/>
      <c r="AA238" s="73"/>
      <c r="AB238" s="73"/>
      <c r="AC238" s="73"/>
      <c r="AD238" s="73"/>
      <c r="AE238" s="73"/>
      <c r="AF238" s="76"/>
      <c r="AG238" s="76"/>
      <c r="AH238" s="76"/>
      <c r="AI238" s="76"/>
      <c r="AJ238" s="76"/>
      <c r="AK238" s="76"/>
      <c r="AL238" s="76"/>
      <c r="AM238" s="76"/>
      <c r="AN238" s="76"/>
      <c r="AO238" s="76"/>
      <c r="AP238" s="76"/>
      <c r="AQ238" s="76"/>
      <c r="AR238" s="76"/>
      <c r="AS238" s="76"/>
      <c r="AT238" s="76"/>
      <c r="AU238" s="76"/>
      <c r="AV238" s="76"/>
      <c r="AW238" s="76"/>
      <c r="AX238" s="76"/>
      <c r="AY238" s="76"/>
      <c r="AZ238" s="76"/>
      <c r="BA238" s="76"/>
      <c r="BB238" s="76"/>
      <c r="BC238" s="76"/>
      <c r="BD238" s="76"/>
      <c r="BE238" s="76"/>
      <c r="BF238" s="76"/>
      <c r="BG238" s="76"/>
      <c r="BH238" s="76"/>
      <c r="BI238" s="76"/>
      <c r="BJ238" s="76"/>
      <c r="BK238" s="76"/>
      <c r="BL238" s="76"/>
      <c r="BM238" s="76"/>
      <c r="BN238" s="76"/>
      <c r="BO238" s="76"/>
    </row>
    <row r="239" customFormat="false" ht="15" hidden="false" customHeight="false" outlineLevel="0" collapsed="false">
      <c r="A239" s="73"/>
      <c r="B239" s="73"/>
      <c r="C239" s="73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4"/>
      <c r="S239" s="74"/>
      <c r="T239" s="74"/>
      <c r="U239" s="73"/>
      <c r="V239" s="73"/>
      <c r="W239" s="73"/>
      <c r="X239" s="73"/>
      <c r="Y239" s="75"/>
      <c r="Z239" s="73"/>
      <c r="AA239" s="73"/>
      <c r="AB239" s="73"/>
      <c r="AC239" s="73"/>
      <c r="AD239" s="73"/>
      <c r="AE239" s="73"/>
      <c r="AF239" s="76"/>
      <c r="AG239" s="76"/>
      <c r="AH239" s="76"/>
      <c r="AI239" s="76"/>
      <c r="AJ239" s="76"/>
      <c r="AK239" s="76"/>
      <c r="AL239" s="76"/>
      <c r="AM239" s="76"/>
      <c r="AN239" s="76"/>
      <c r="AO239" s="76"/>
      <c r="AP239" s="76"/>
      <c r="AQ239" s="76"/>
      <c r="AR239" s="76"/>
      <c r="AS239" s="76"/>
      <c r="AT239" s="76"/>
      <c r="AU239" s="76"/>
      <c r="AV239" s="76"/>
      <c r="AW239" s="76"/>
      <c r="AX239" s="76"/>
      <c r="AY239" s="76"/>
      <c r="AZ239" s="76"/>
      <c r="BA239" s="76"/>
      <c r="BB239" s="76"/>
      <c r="BC239" s="76"/>
      <c r="BD239" s="76"/>
      <c r="BE239" s="76"/>
      <c r="BF239" s="76"/>
      <c r="BG239" s="76"/>
      <c r="BH239" s="76"/>
      <c r="BI239" s="76"/>
      <c r="BJ239" s="76"/>
      <c r="BK239" s="76"/>
      <c r="BL239" s="76"/>
      <c r="BM239" s="76"/>
      <c r="BN239" s="76"/>
      <c r="BO239" s="76"/>
    </row>
    <row r="240" customFormat="false" ht="15" hidden="false" customHeight="false" outlineLevel="0" collapsed="false">
      <c r="A240" s="73"/>
      <c r="B240" s="73"/>
      <c r="C240" s="7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4"/>
      <c r="S240" s="74"/>
      <c r="T240" s="74"/>
      <c r="U240" s="73"/>
      <c r="V240" s="73"/>
      <c r="W240" s="73"/>
      <c r="X240" s="73"/>
      <c r="Y240" s="75"/>
      <c r="Z240" s="73"/>
      <c r="AA240" s="73"/>
      <c r="AB240" s="73"/>
      <c r="AC240" s="73"/>
      <c r="AD240" s="73"/>
      <c r="AE240" s="73"/>
      <c r="AF240" s="76"/>
      <c r="AG240" s="76"/>
      <c r="AH240" s="76"/>
      <c r="AI240" s="76"/>
      <c r="AJ240" s="76"/>
      <c r="AK240" s="76"/>
      <c r="AL240" s="76"/>
      <c r="AM240" s="76"/>
      <c r="AN240" s="76"/>
      <c r="AO240" s="76"/>
      <c r="AP240" s="76"/>
      <c r="AQ240" s="76"/>
      <c r="AR240" s="76"/>
      <c r="AS240" s="76"/>
      <c r="AT240" s="76"/>
      <c r="AU240" s="76"/>
      <c r="AV240" s="76"/>
      <c r="AW240" s="76"/>
      <c r="AX240" s="76"/>
      <c r="AY240" s="76"/>
      <c r="AZ240" s="76"/>
      <c r="BA240" s="76"/>
      <c r="BB240" s="76"/>
      <c r="BC240" s="76"/>
      <c r="BD240" s="76"/>
      <c r="BE240" s="76"/>
      <c r="BF240" s="76"/>
      <c r="BG240" s="76"/>
      <c r="BH240" s="76"/>
      <c r="BI240" s="76"/>
      <c r="BJ240" s="76"/>
      <c r="BK240" s="76"/>
      <c r="BL240" s="76"/>
      <c r="BM240" s="76"/>
      <c r="BN240" s="76"/>
      <c r="BO240" s="76"/>
    </row>
    <row r="241" customFormat="false" ht="15" hidden="false" customHeight="false" outlineLevel="0" collapsed="false">
      <c r="A241" s="73"/>
      <c r="B241" s="73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4"/>
      <c r="S241" s="74"/>
      <c r="T241" s="74"/>
      <c r="U241" s="73"/>
      <c r="V241" s="73"/>
      <c r="W241" s="73"/>
      <c r="X241" s="73"/>
      <c r="Y241" s="75"/>
      <c r="Z241" s="73"/>
      <c r="AA241" s="73"/>
      <c r="AB241" s="73"/>
      <c r="AC241" s="73"/>
      <c r="AD241" s="73"/>
      <c r="AE241" s="73"/>
      <c r="AF241" s="76"/>
      <c r="AG241" s="76"/>
      <c r="AH241" s="76"/>
      <c r="AI241" s="76"/>
      <c r="AJ241" s="76"/>
      <c r="AK241" s="76"/>
      <c r="AL241" s="76"/>
      <c r="AM241" s="76"/>
      <c r="AN241" s="76"/>
      <c r="AO241" s="76"/>
      <c r="AP241" s="76"/>
      <c r="AQ241" s="76"/>
      <c r="AR241" s="76"/>
      <c r="AS241" s="76"/>
      <c r="AT241" s="76"/>
      <c r="AU241" s="76"/>
      <c r="AV241" s="76"/>
      <c r="AW241" s="76"/>
      <c r="AX241" s="76"/>
      <c r="AY241" s="76"/>
      <c r="AZ241" s="76"/>
      <c r="BA241" s="76"/>
      <c r="BB241" s="76"/>
      <c r="BC241" s="76"/>
      <c r="BD241" s="76"/>
      <c r="BE241" s="76"/>
      <c r="BF241" s="76"/>
      <c r="BG241" s="76"/>
      <c r="BH241" s="76"/>
      <c r="BI241" s="76"/>
      <c r="BJ241" s="76"/>
      <c r="BK241" s="76"/>
      <c r="BL241" s="76"/>
      <c r="BM241" s="76"/>
      <c r="BN241" s="76"/>
      <c r="BO241" s="76"/>
    </row>
    <row r="242" customFormat="false" ht="15" hidden="false" customHeight="false" outlineLevel="0" collapsed="false">
      <c r="A242" s="73"/>
      <c r="B242" s="73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4"/>
      <c r="S242" s="74"/>
      <c r="T242" s="74"/>
      <c r="U242" s="73"/>
      <c r="V242" s="73"/>
      <c r="W242" s="73"/>
      <c r="X242" s="73"/>
      <c r="Y242" s="75"/>
      <c r="Z242" s="73"/>
      <c r="AA242" s="73"/>
      <c r="AB242" s="73"/>
      <c r="AC242" s="73"/>
      <c r="AD242" s="73"/>
      <c r="AE242" s="73"/>
      <c r="AF242" s="76"/>
      <c r="AG242" s="76"/>
      <c r="AH242" s="76"/>
      <c r="AI242" s="76"/>
      <c r="AJ242" s="76"/>
      <c r="AK242" s="76"/>
      <c r="AL242" s="76"/>
      <c r="AM242" s="76"/>
      <c r="AN242" s="76"/>
      <c r="AO242" s="76"/>
      <c r="AP242" s="76"/>
      <c r="AQ242" s="76"/>
      <c r="AR242" s="76"/>
      <c r="AS242" s="76"/>
      <c r="AT242" s="76"/>
      <c r="AU242" s="76"/>
      <c r="AV242" s="76"/>
      <c r="AW242" s="76"/>
      <c r="AX242" s="76"/>
      <c r="AY242" s="76"/>
      <c r="AZ242" s="76"/>
      <c r="BA242" s="76"/>
      <c r="BB242" s="76"/>
      <c r="BC242" s="76"/>
      <c r="BD242" s="76"/>
      <c r="BE242" s="76"/>
      <c r="BF242" s="76"/>
      <c r="BG242" s="76"/>
      <c r="BH242" s="76"/>
      <c r="BI242" s="76"/>
      <c r="BJ242" s="76"/>
      <c r="BK242" s="76"/>
      <c r="BL242" s="76"/>
      <c r="BM242" s="76"/>
      <c r="BN242" s="76"/>
      <c r="BO242" s="76"/>
    </row>
    <row r="243" customFormat="false" ht="15" hidden="false" customHeight="false" outlineLevel="0" collapsed="false">
      <c r="A243" s="73"/>
      <c r="B243" s="73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4"/>
      <c r="S243" s="74"/>
      <c r="T243" s="74"/>
      <c r="U243" s="73"/>
      <c r="V243" s="73"/>
      <c r="W243" s="73"/>
      <c r="X243" s="73"/>
      <c r="Y243" s="75"/>
      <c r="Z243" s="73"/>
      <c r="AA243" s="73"/>
      <c r="AB243" s="73"/>
      <c r="AC243" s="73"/>
      <c r="AD243" s="73"/>
      <c r="AE243" s="73"/>
      <c r="AF243" s="76"/>
      <c r="AG243" s="76"/>
      <c r="AH243" s="76"/>
      <c r="AI243" s="76"/>
      <c r="AJ243" s="76"/>
      <c r="AK243" s="76"/>
      <c r="AL243" s="76"/>
      <c r="AM243" s="76"/>
      <c r="AN243" s="76"/>
      <c r="AO243" s="76"/>
      <c r="AP243" s="76"/>
      <c r="AQ243" s="76"/>
      <c r="AR243" s="76"/>
      <c r="AS243" s="76"/>
      <c r="AT243" s="76"/>
      <c r="AU243" s="76"/>
      <c r="AV243" s="76"/>
      <c r="AW243" s="76"/>
      <c r="AX243" s="76"/>
      <c r="AY243" s="76"/>
      <c r="AZ243" s="76"/>
      <c r="BA243" s="76"/>
      <c r="BB243" s="76"/>
      <c r="BC243" s="76"/>
      <c r="BD243" s="76"/>
      <c r="BE243" s="76"/>
      <c r="BF243" s="76"/>
      <c r="BG243" s="76"/>
      <c r="BH243" s="76"/>
      <c r="BI243" s="76"/>
      <c r="BJ243" s="76"/>
      <c r="BK243" s="76"/>
      <c r="BL243" s="76"/>
      <c r="BM243" s="76"/>
      <c r="BN243" s="76"/>
      <c r="BO243" s="76"/>
    </row>
    <row r="244" customFormat="false" ht="15" hidden="false" customHeight="false" outlineLevel="0" collapsed="false">
      <c r="A244" s="73"/>
      <c r="B244" s="73"/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4"/>
      <c r="S244" s="74"/>
      <c r="T244" s="74"/>
      <c r="U244" s="73"/>
      <c r="V244" s="73"/>
      <c r="W244" s="73"/>
      <c r="X244" s="73"/>
      <c r="Y244" s="75"/>
      <c r="Z244" s="73"/>
      <c r="AA244" s="73"/>
      <c r="AB244" s="73"/>
      <c r="AC244" s="73"/>
      <c r="AD244" s="73"/>
      <c r="AE244" s="73"/>
      <c r="AF244" s="76"/>
      <c r="AG244" s="76"/>
      <c r="AH244" s="76"/>
      <c r="AI244" s="76"/>
      <c r="AJ244" s="76"/>
      <c r="AK244" s="76"/>
      <c r="AL244" s="76"/>
      <c r="AM244" s="76"/>
      <c r="AN244" s="76"/>
      <c r="AO244" s="76"/>
      <c r="AP244" s="76"/>
      <c r="AQ244" s="76"/>
      <c r="AR244" s="76"/>
      <c r="AS244" s="76"/>
      <c r="AT244" s="76"/>
      <c r="AU244" s="76"/>
      <c r="AV244" s="76"/>
      <c r="AW244" s="76"/>
      <c r="AX244" s="76"/>
      <c r="AY244" s="76"/>
      <c r="AZ244" s="76"/>
      <c r="BA244" s="76"/>
      <c r="BB244" s="76"/>
      <c r="BC244" s="76"/>
      <c r="BD244" s="76"/>
      <c r="BE244" s="76"/>
      <c r="BF244" s="76"/>
      <c r="BG244" s="76"/>
      <c r="BH244" s="76"/>
      <c r="BI244" s="76"/>
      <c r="BJ244" s="76"/>
      <c r="BK244" s="76"/>
      <c r="BL244" s="76"/>
      <c r="BM244" s="76"/>
      <c r="BN244" s="76"/>
      <c r="BO244" s="76"/>
    </row>
    <row r="245" customFormat="false" ht="15" hidden="false" customHeight="false" outlineLevel="0" collapsed="false">
      <c r="A245" s="73"/>
      <c r="B245" s="73"/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4"/>
      <c r="S245" s="74"/>
      <c r="T245" s="74"/>
      <c r="U245" s="73"/>
      <c r="V245" s="73"/>
      <c r="W245" s="73"/>
      <c r="X245" s="73"/>
      <c r="Y245" s="75"/>
      <c r="Z245" s="73"/>
      <c r="AA245" s="73"/>
      <c r="AB245" s="73"/>
      <c r="AC245" s="73"/>
      <c r="AD245" s="73"/>
      <c r="AE245" s="73"/>
      <c r="AF245" s="76"/>
      <c r="AG245" s="76"/>
      <c r="AH245" s="76"/>
      <c r="AI245" s="76"/>
      <c r="AJ245" s="76"/>
      <c r="AK245" s="76"/>
      <c r="AL245" s="76"/>
      <c r="AM245" s="76"/>
      <c r="AN245" s="76"/>
      <c r="AO245" s="76"/>
      <c r="AP245" s="76"/>
      <c r="AQ245" s="76"/>
      <c r="AR245" s="76"/>
      <c r="AS245" s="76"/>
      <c r="AT245" s="76"/>
      <c r="AU245" s="76"/>
      <c r="AV245" s="76"/>
      <c r="AW245" s="76"/>
      <c r="AX245" s="76"/>
      <c r="AY245" s="76"/>
      <c r="AZ245" s="76"/>
      <c r="BA245" s="76"/>
      <c r="BB245" s="76"/>
      <c r="BC245" s="76"/>
      <c r="BD245" s="76"/>
      <c r="BE245" s="76"/>
      <c r="BF245" s="76"/>
      <c r="BG245" s="76"/>
      <c r="BH245" s="76"/>
      <c r="BI245" s="76"/>
      <c r="BJ245" s="76"/>
      <c r="BK245" s="76"/>
      <c r="BL245" s="76"/>
      <c r="BM245" s="76"/>
      <c r="BN245" s="76"/>
      <c r="BO245" s="76"/>
    </row>
    <row r="246" customFormat="false" ht="15" hidden="false" customHeight="false" outlineLevel="0" collapsed="false">
      <c r="A246" s="73"/>
      <c r="B246" s="73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4"/>
      <c r="S246" s="74"/>
      <c r="T246" s="74"/>
      <c r="U246" s="73"/>
      <c r="V246" s="73"/>
      <c r="W246" s="73"/>
      <c r="X246" s="73"/>
      <c r="Y246" s="75"/>
      <c r="Z246" s="73"/>
      <c r="AA246" s="73"/>
      <c r="AB246" s="73"/>
      <c r="AC246" s="73"/>
      <c r="AD246" s="73"/>
      <c r="AE246" s="73"/>
      <c r="AF246" s="76"/>
      <c r="AG246" s="76"/>
      <c r="AH246" s="76"/>
      <c r="AI246" s="76"/>
      <c r="AJ246" s="76"/>
      <c r="AK246" s="76"/>
      <c r="AL246" s="76"/>
      <c r="AM246" s="76"/>
      <c r="AN246" s="76"/>
      <c r="AO246" s="76"/>
      <c r="AP246" s="76"/>
      <c r="AQ246" s="76"/>
      <c r="AR246" s="76"/>
      <c r="AS246" s="76"/>
      <c r="AT246" s="76"/>
      <c r="AU246" s="76"/>
      <c r="AV246" s="76"/>
      <c r="AW246" s="76"/>
      <c r="AX246" s="76"/>
      <c r="AY246" s="76"/>
      <c r="AZ246" s="76"/>
      <c r="BA246" s="76"/>
      <c r="BB246" s="76"/>
      <c r="BC246" s="76"/>
      <c r="BD246" s="76"/>
      <c r="BE246" s="76"/>
      <c r="BF246" s="76"/>
      <c r="BG246" s="76"/>
      <c r="BH246" s="76"/>
      <c r="BI246" s="76"/>
      <c r="BJ246" s="76"/>
      <c r="BK246" s="76"/>
      <c r="BL246" s="76"/>
      <c r="BM246" s="76"/>
      <c r="BN246" s="76"/>
      <c r="BO246" s="76"/>
    </row>
    <row r="247" customFormat="false" ht="15" hidden="false" customHeight="false" outlineLevel="0" collapsed="false">
      <c r="A247" s="73"/>
      <c r="B247" s="73"/>
      <c r="C247" s="7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4"/>
      <c r="S247" s="74"/>
      <c r="T247" s="74"/>
      <c r="U247" s="73"/>
      <c r="V247" s="73"/>
      <c r="W247" s="73"/>
      <c r="X247" s="73"/>
      <c r="Y247" s="75"/>
      <c r="Z247" s="73"/>
      <c r="AA247" s="73"/>
      <c r="AB247" s="73"/>
      <c r="AC247" s="73"/>
      <c r="AD247" s="73"/>
      <c r="AE247" s="73"/>
      <c r="AF247" s="76"/>
      <c r="AG247" s="76"/>
      <c r="AH247" s="76"/>
      <c r="AI247" s="76"/>
      <c r="AJ247" s="76"/>
      <c r="AK247" s="76"/>
      <c r="AL247" s="76"/>
      <c r="AM247" s="76"/>
      <c r="AN247" s="76"/>
      <c r="AO247" s="76"/>
      <c r="AP247" s="76"/>
      <c r="AQ247" s="76"/>
      <c r="AR247" s="76"/>
      <c r="AS247" s="76"/>
      <c r="AT247" s="76"/>
      <c r="AU247" s="76"/>
      <c r="AV247" s="76"/>
      <c r="AW247" s="76"/>
      <c r="AX247" s="76"/>
      <c r="AY247" s="76"/>
      <c r="AZ247" s="76"/>
      <c r="BA247" s="76"/>
      <c r="BB247" s="76"/>
      <c r="BC247" s="76"/>
      <c r="BD247" s="76"/>
      <c r="BE247" s="76"/>
      <c r="BF247" s="76"/>
      <c r="BG247" s="76"/>
      <c r="BH247" s="76"/>
      <c r="BI247" s="76"/>
      <c r="BJ247" s="76"/>
      <c r="BK247" s="76"/>
      <c r="BL247" s="76"/>
      <c r="BM247" s="76"/>
      <c r="BN247" s="76"/>
      <c r="BO247" s="76"/>
    </row>
    <row r="248" customFormat="false" ht="15" hidden="false" customHeight="false" outlineLevel="0" collapsed="false">
      <c r="A248" s="73"/>
      <c r="B248" s="73"/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4"/>
      <c r="S248" s="74"/>
      <c r="T248" s="74"/>
      <c r="U248" s="73"/>
      <c r="V248" s="73"/>
      <c r="W248" s="73"/>
      <c r="X248" s="73"/>
      <c r="Y248" s="75"/>
      <c r="Z248" s="73"/>
      <c r="AA248" s="73"/>
      <c r="AB248" s="73"/>
      <c r="AC248" s="73"/>
      <c r="AD248" s="73"/>
      <c r="AE248" s="73"/>
      <c r="AF248" s="76"/>
      <c r="AG248" s="76"/>
      <c r="AH248" s="76"/>
      <c r="AI248" s="76"/>
      <c r="AJ248" s="76"/>
      <c r="AK248" s="76"/>
      <c r="AL248" s="76"/>
      <c r="AM248" s="76"/>
      <c r="AN248" s="76"/>
      <c r="AO248" s="76"/>
      <c r="AP248" s="76"/>
      <c r="AQ248" s="76"/>
      <c r="AR248" s="76"/>
      <c r="AS248" s="76"/>
      <c r="AT248" s="76"/>
      <c r="AU248" s="76"/>
      <c r="AV248" s="76"/>
      <c r="AW248" s="76"/>
      <c r="AX248" s="76"/>
      <c r="AY248" s="76"/>
      <c r="AZ248" s="76"/>
      <c r="BA248" s="76"/>
      <c r="BB248" s="76"/>
      <c r="BC248" s="76"/>
      <c r="BD248" s="76"/>
      <c r="BE248" s="76"/>
      <c r="BF248" s="76"/>
      <c r="BG248" s="76"/>
      <c r="BH248" s="76"/>
      <c r="BI248" s="76"/>
      <c r="BJ248" s="76"/>
      <c r="BK248" s="76"/>
      <c r="BL248" s="76"/>
      <c r="BM248" s="76"/>
      <c r="BN248" s="76"/>
      <c r="BO248" s="76"/>
    </row>
    <row r="249" customFormat="false" ht="15" hidden="false" customHeight="false" outlineLevel="0" collapsed="false">
      <c r="A249" s="73"/>
      <c r="B249" s="73"/>
      <c r="C249" s="7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4"/>
      <c r="S249" s="74"/>
      <c r="T249" s="74"/>
      <c r="U249" s="73"/>
      <c r="V249" s="73"/>
      <c r="W249" s="73"/>
      <c r="X249" s="73"/>
      <c r="Y249" s="75"/>
      <c r="Z249" s="73"/>
      <c r="AA249" s="73"/>
      <c r="AB249" s="73"/>
      <c r="AC249" s="73"/>
      <c r="AD249" s="73"/>
      <c r="AE249" s="73"/>
      <c r="AF249" s="76"/>
      <c r="AG249" s="76"/>
      <c r="AH249" s="76"/>
      <c r="AI249" s="76"/>
      <c r="AJ249" s="76"/>
      <c r="AK249" s="76"/>
      <c r="AL249" s="76"/>
      <c r="AM249" s="76"/>
      <c r="AN249" s="76"/>
      <c r="AO249" s="76"/>
      <c r="AP249" s="76"/>
      <c r="AQ249" s="76"/>
      <c r="AR249" s="76"/>
      <c r="AS249" s="76"/>
      <c r="AT249" s="76"/>
      <c r="AU249" s="76"/>
      <c r="AV249" s="76"/>
      <c r="AW249" s="76"/>
      <c r="AX249" s="76"/>
      <c r="AY249" s="76"/>
      <c r="AZ249" s="76"/>
      <c r="BA249" s="76"/>
      <c r="BB249" s="76"/>
      <c r="BC249" s="76"/>
      <c r="BD249" s="76"/>
      <c r="BE249" s="76"/>
      <c r="BF249" s="76"/>
      <c r="BG249" s="76"/>
      <c r="BH249" s="76"/>
      <c r="BI249" s="76"/>
      <c r="BJ249" s="76"/>
      <c r="BK249" s="76"/>
      <c r="BL249" s="76"/>
      <c r="BM249" s="76"/>
      <c r="BN249" s="76"/>
      <c r="BO249" s="76"/>
    </row>
    <row r="250" customFormat="false" ht="15" hidden="false" customHeight="false" outlineLevel="0" collapsed="false">
      <c r="A250" s="73"/>
      <c r="B250" s="73"/>
      <c r="C250" s="7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4"/>
      <c r="S250" s="74"/>
      <c r="T250" s="74"/>
      <c r="U250" s="73"/>
      <c r="V250" s="73"/>
      <c r="W250" s="73"/>
      <c r="X250" s="73"/>
      <c r="Y250" s="75"/>
      <c r="Z250" s="73"/>
      <c r="AA250" s="73"/>
      <c r="AB250" s="73"/>
      <c r="AC250" s="73"/>
      <c r="AD250" s="73"/>
      <c r="AE250" s="73"/>
      <c r="AF250" s="76"/>
      <c r="AG250" s="76"/>
      <c r="AH250" s="76"/>
      <c r="AI250" s="76"/>
      <c r="AJ250" s="76"/>
      <c r="AK250" s="76"/>
      <c r="AL250" s="76"/>
      <c r="AM250" s="76"/>
      <c r="AN250" s="76"/>
      <c r="AO250" s="76"/>
      <c r="AP250" s="76"/>
      <c r="AQ250" s="76"/>
      <c r="AR250" s="76"/>
      <c r="AS250" s="76"/>
      <c r="AT250" s="76"/>
      <c r="AU250" s="76"/>
      <c r="AV250" s="76"/>
      <c r="AW250" s="76"/>
      <c r="AX250" s="76"/>
      <c r="AY250" s="76"/>
      <c r="AZ250" s="76"/>
      <c r="BA250" s="76"/>
      <c r="BB250" s="76"/>
      <c r="BC250" s="76"/>
      <c r="BD250" s="76"/>
      <c r="BE250" s="76"/>
      <c r="BF250" s="76"/>
      <c r="BG250" s="76"/>
      <c r="BH250" s="76"/>
      <c r="BI250" s="76"/>
      <c r="BJ250" s="76"/>
      <c r="BK250" s="76"/>
      <c r="BL250" s="76"/>
      <c r="BM250" s="76"/>
      <c r="BN250" s="76"/>
      <c r="BO250" s="76"/>
    </row>
    <row r="251" customFormat="false" ht="15" hidden="false" customHeight="false" outlineLevel="0" collapsed="false">
      <c r="A251" s="73"/>
      <c r="B251" s="73"/>
      <c r="C251" s="7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4"/>
      <c r="S251" s="74"/>
      <c r="T251" s="74"/>
      <c r="U251" s="73"/>
      <c r="V251" s="73"/>
      <c r="W251" s="73"/>
      <c r="X251" s="73"/>
      <c r="Y251" s="75"/>
      <c r="Z251" s="73"/>
      <c r="AA251" s="73"/>
      <c r="AB251" s="73"/>
      <c r="AC251" s="73"/>
      <c r="AD251" s="73"/>
      <c r="AE251" s="73"/>
      <c r="AF251" s="76"/>
      <c r="AG251" s="76"/>
      <c r="AH251" s="76"/>
      <c r="AI251" s="76"/>
      <c r="AJ251" s="76"/>
      <c r="AK251" s="76"/>
      <c r="AL251" s="76"/>
      <c r="AM251" s="76"/>
      <c r="AN251" s="76"/>
      <c r="AO251" s="76"/>
      <c r="AP251" s="76"/>
      <c r="AQ251" s="76"/>
      <c r="AR251" s="76"/>
      <c r="AS251" s="76"/>
      <c r="AT251" s="76"/>
      <c r="AU251" s="76"/>
      <c r="AV251" s="76"/>
      <c r="AW251" s="76"/>
      <c r="AX251" s="76"/>
      <c r="AY251" s="76"/>
      <c r="AZ251" s="76"/>
      <c r="BA251" s="76"/>
      <c r="BB251" s="76"/>
      <c r="BC251" s="76"/>
      <c r="BD251" s="76"/>
      <c r="BE251" s="76"/>
      <c r="BF251" s="76"/>
      <c r="BG251" s="76"/>
      <c r="BH251" s="76"/>
      <c r="BI251" s="76"/>
      <c r="BJ251" s="76"/>
      <c r="BK251" s="76"/>
      <c r="BL251" s="76"/>
      <c r="BM251" s="76"/>
      <c r="BN251" s="76"/>
      <c r="BO251" s="76"/>
    </row>
    <row r="252" customFormat="false" ht="15" hidden="false" customHeight="false" outlineLevel="0" collapsed="false">
      <c r="A252" s="73"/>
      <c r="B252" s="73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4"/>
      <c r="S252" s="74"/>
      <c r="T252" s="74"/>
      <c r="U252" s="73"/>
      <c r="V252" s="73"/>
      <c r="W252" s="73"/>
      <c r="X252" s="73"/>
      <c r="Y252" s="75"/>
      <c r="Z252" s="73"/>
      <c r="AA252" s="73"/>
      <c r="AB252" s="73"/>
      <c r="AC252" s="73"/>
      <c r="AD252" s="73"/>
      <c r="AE252" s="73"/>
      <c r="AF252" s="76"/>
      <c r="AG252" s="76"/>
      <c r="AH252" s="76"/>
      <c r="AI252" s="76"/>
      <c r="AJ252" s="76"/>
      <c r="AK252" s="76"/>
      <c r="AL252" s="76"/>
      <c r="AM252" s="76"/>
      <c r="AN252" s="76"/>
      <c r="AO252" s="76"/>
      <c r="AP252" s="76"/>
      <c r="AQ252" s="76"/>
      <c r="AR252" s="76"/>
      <c r="AS252" s="76"/>
      <c r="AT252" s="76"/>
      <c r="AU252" s="76"/>
      <c r="AV252" s="76"/>
      <c r="AW252" s="76"/>
      <c r="AX252" s="76"/>
      <c r="AY252" s="76"/>
      <c r="AZ252" s="76"/>
      <c r="BA252" s="76"/>
      <c r="BB252" s="76"/>
      <c r="BC252" s="76"/>
      <c r="BD252" s="76"/>
      <c r="BE252" s="76"/>
      <c r="BF252" s="76"/>
      <c r="BG252" s="76"/>
      <c r="BH252" s="76"/>
      <c r="BI252" s="76"/>
      <c r="BJ252" s="76"/>
      <c r="BK252" s="76"/>
      <c r="BL252" s="76"/>
      <c r="BM252" s="76"/>
      <c r="BN252" s="76"/>
      <c r="BO252" s="76"/>
    </row>
    <row r="253" customFormat="false" ht="15" hidden="false" customHeight="false" outlineLevel="0" collapsed="false">
      <c r="A253" s="73"/>
      <c r="B253" s="73"/>
      <c r="C253" s="7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4"/>
      <c r="S253" s="74"/>
      <c r="T253" s="74"/>
      <c r="U253" s="73"/>
      <c r="V253" s="73"/>
      <c r="W253" s="73"/>
      <c r="X253" s="73"/>
      <c r="Y253" s="75"/>
      <c r="Z253" s="73"/>
      <c r="AA253" s="73"/>
      <c r="AB253" s="73"/>
      <c r="AC253" s="73"/>
      <c r="AD253" s="73"/>
      <c r="AE253" s="73"/>
      <c r="AF253" s="76"/>
      <c r="AG253" s="76"/>
      <c r="AH253" s="76"/>
      <c r="AI253" s="76"/>
      <c r="AJ253" s="76"/>
      <c r="AK253" s="76"/>
      <c r="AL253" s="76"/>
      <c r="AM253" s="76"/>
      <c r="AN253" s="76"/>
      <c r="AO253" s="76"/>
      <c r="AP253" s="76"/>
      <c r="AQ253" s="76"/>
      <c r="AR253" s="76"/>
      <c r="AS253" s="76"/>
      <c r="AT253" s="76"/>
      <c r="AU253" s="76"/>
      <c r="AV253" s="76"/>
      <c r="AW253" s="76"/>
      <c r="AX253" s="76"/>
      <c r="AY253" s="76"/>
      <c r="AZ253" s="76"/>
      <c r="BA253" s="76"/>
      <c r="BB253" s="76"/>
      <c r="BC253" s="76"/>
      <c r="BD253" s="76"/>
      <c r="BE253" s="76"/>
      <c r="BF253" s="76"/>
      <c r="BG253" s="76"/>
      <c r="BH253" s="76"/>
      <c r="BI253" s="76"/>
      <c r="BJ253" s="76"/>
      <c r="BK253" s="76"/>
      <c r="BL253" s="76"/>
      <c r="BM253" s="76"/>
      <c r="BN253" s="76"/>
      <c r="BO253" s="76"/>
    </row>
    <row r="254" customFormat="false" ht="15" hidden="false" customHeight="false" outlineLevel="0" collapsed="false">
      <c r="A254" s="73"/>
      <c r="B254" s="73"/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4"/>
      <c r="S254" s="74"/>
      <c r="T254" s="74"/>
      <c r="U254" s="73"/>
      <c r="V254" s="73"/>
      <c r="W254" s="73"/>
      <c r="X254" s="73"/>
      <c r="Y254" s="75"/>
      <c r="Z254" s="73"/>
      <c r="AA254" s="73"/>
      <c r="AB254" s="73"/>
      <c r="AC254" s="73"/>
      <c r="AD254" s="73"/>
      <c r="AE254" s="73"/>
      <c r="AF254" s="76"/>
      <c r="AG254" s="76"/>
      <c r="AH254" s="76"/>
      <c r="AI254" s="76"/>
      <c r="AJ254" s="76"/>
      <c r="AK254" s="76"/>
      <c r="AL254" s="76"/>
      <c r="AM254" s="76"/>
      <c r="AN254" s="76"/>
      <c r="AO254" s="76"/>
      <c r="AP254" s="76"/>
      <c r="AQ254" s="76"/>
      <c r="AR254" s="76"/>
      <c r="AS254" s="76"/>
      <c r="AT254" s="76"/>
      <c r="AU254" s="76"/>
      <c r="AV254" s="76"/>
      <c r="AW254" s="76"/>
      <c r="AX254" s="76"/>
      <c r="AY254" s="76"/>
      <c r="AZ254" s="76"/>
      <c r="BA254" s="76"/>
      <c r="BB254" s="76"/>
      <c r="BC254" s="76"/>
      <c r="BD254" s="76"/>
      <c r="BE254" s="76"/>
      <c r="BF254" s="76"/>
      <c r="BG254" s="76"/>
      <c r="BH254" s="76"/>
      <c r="BI254" s="76"/>
      <c r="BJ254" s="76"/>
      <c r="BK254" s="76"/>
      <c r="BL254" s="76"/>
      <c r="BM254" s="76"/>
      <c r="BN254" s="76"/>
      <c r="BO254" s="76"/>
    </row>
    <row r="255" customFormat="false" ht="15" hidden="false" customHeight="false" outlineLevel="0" collapsed="false">
      <c r="A255" s="73"/>
      <c r="B255" s="73"/>
      <c r="C255" s="7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4"/>
      <c r="S255" s="74"/>
      <c r="T255" s="74"/>
      <c r="U255" s="73"/>
      <c r="V255" s="73"/>
      <c r="W255" s="73"/>
      <c r="X255" s="73"/>
      <c r="Y255" s="75"/>
      <c r="Z255" s="73"/>
      <c r="AA255" s="73"/>
      <c r="AB255" s="73"/>
      <c r="AC255" s="73"/>
      <c r="AD255" s="73"/>
      <c r="AE255" s="73"/>
      <c r="AF255" s="76"/>
      <c r="AG255" s="76"/>
      <c r="AH255" s="76"/>
      <c r="AI255" s="76"/>
      <c r="AJ255" s="76"/>
      <c r="AK255" s="76"/>
      <c r="AL255" s="76"/>
      <c r="AM255" s="76"/>
      <c r="AN255" s="76"/>
      <c r="AO255" s="76"/>
      <c r="AP255" s="76"/>
      <c r="AQ255" s="76"/>
      <c r="AR255" s="76"/>
      <c r="AS255" s="76"/>
      <c r="AT255" s="76"/>
      <c r="AU255" s="76"/>
      <c r="AV255" s="76"/>
      <c r="AW255" s="76"/>
      <c r="AX255" s="76"/>
      <c r="AY255" s="76"/>
      <c r="AZ255" s="76"/>
      <c r="BA255" s="76"/>
      <c r="BB255" s="76"/>
      <c r="BC255" s="76"/>
      <c r="BD255" s="76"/>
      <c r="BE255" s="76"/>
      <c r="BF255" s="76"/>
      <c r="BG255" s="76"/>
      <c r="BH255" s="76"/>
      <c r="BI255" s="76"/>
      <c r="BJ255" s="76"/>
      <c r="BK255" s="76"/>
      <c r="BL255" s="76"/>
      <c r="BM255" s="76"/>
      <c r="BN255" s="76"/>
      <c r="BO255" s="76"/>
    </row>
    <row r="256" customFormat="false" ht="15" hidden="false" customHeight="false" outlineLevel="0" collapsed="false">
      <c r="A256" s="73"/>
      <c r="B256" s="73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4"/>
      <c r="S256" s="74"/>
      <c r="T256" s="74"/>
      <c r="U256" s="73"/>
      <c r="V256" s="73"/>
      <c r="W256" s="73"/>
      <c r="X256" s="73"/>
      <c r="Y256" s="75"/>
      <c r="Z256" s="73"/>
      <c r="AA256" s="73"/>
      <c r="AB256" s="73"/>
      <c r="AC256" s="73"/>
      <c r="AD256" s="73"/>
      <c r="AE256" s="73"/>
      <c r="AF256" s="76"/>
      <c r="AG256" s="76"/>
      <c r="AH256" s="76"/>
      <c r="AI256" s="76"/>
      <c r="AJ256" s="76"/>
      <c r="AK256" s="76"/>
      <c r="AL256" s="76"/>
      <c r="AM256" s="76"/>
      <c r="AN256" s="76"/>
      <c r="AO256" s="76"/>
      <c r="AP256" s="76"/>
      <c r="AQ256" s="76"/>
      <c r="AR256" s="76"/>
      <c r="AS256" s="76"/>
      <c r="AT256" s="76"/>
      <c r="AU256" s="76"/>
      <c r="AV256" s="76"/>
      <c r="AW256" s="76"/>
      <c r="AX256" s="76"/>
      <c r="AY256" s="76"/>
      <c r="AZ256" s="76"/>
      <c r="BA256" s="76"/>
      <c r="BB256" s="76"/>
      <c r="BC256" s="76"/>
      <c r="BD256" s="76"/>
      <c r="BE256" s="76"/>
      <c r="BF256" s="76"/>
      <c r="BG256" s="76"/>
      <c r="BH256" s="76"/>
      <c r="BI256" s="76"/>
      <c r="BJ256" s="76"/>
      <c r="BK256" s="76"/>
      <c r="BL256" s="76"/>
      <c r="BM256" s="76"/>
      <c r="BN256" s="76"/>
      <c r="BO256" s="76"/>
    </row>
    <row r="257" customFormat="false" ht="15" hidden="false" customHeight="false" outlineLevel="0" collapsed="false">
      <c r="A257" s="73"/>
      <c r="B257" s="73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4"/>
      <c r="S257" s="74"/>
      <c r="T257" s="74"/>
      <c r="U257" s="73"/>
      <c r="V257" s="73"/>
      <c r="W257" s="73"/>
      <c r="X257" s="73"/>
      <c r="Y257" s="75"/>
      <c r="Z257" s="73"/>
      <c r="AA257" s="73"/>
      <c r="AB257" s="73"/>
      <c r="AC257" s="73"/>
      <c r="AD257" s="73"/>
      <c r="AE257" s="73"/>
      <c r="AF257" s="76"/>
      <c r="AG257" s="76"/>
      <c r="AH257" s="76"/>
      <c r="AI257" s="76"/>
      <c r="AJ257" s="76"/>
      <c r="AK257" s="76"/>
      <c r="AL257" s="76"/>
      <c r="AM257" s="76"/>
      <c r="AN257" s="76"/>
      <c r="AO257" s="76"/>
      <c r="AP257" s="76"/>
      <c r="AQ257" s="76"/>
      <c r="AR257" s="76"/>
      <c r="AS257" s="76"/>
      <c r="AT257" s="76"/>
      <c r="AU257" s="76"/>
      <c r="AV257" s="76"/>
      <c r="AW257" s="76"/>
      <c r="AX257" s="76"/>
      <c r="AY257" s="76"/>
      <c r="AZ257" s="76"/>
      <c r="BA257" s="76"/>
      <c r="BB257" s="76"/>
      <c r="BC257" s="76"/>
      <c r="BD257" s="76"/>
      <c r="BE257" s="76"/>
      <c r="BF257" s="76"/>
      <c r="BG257" s="76"/>
      <c r="BH257" s="76"/>
      <c r="BI257" s="76"/>
      <c r="BJ257" s="76"/>
      <c r="BK257" s="76"/>
      <c r="BL257" s="76"/>
      <c r="BM257" s="76"/>
      <c r="BN257" s="76"/>
      <c r="BO257" s="76"/>
    </row>
    <row r="258" customFormat="false" ht="15" hidden="false" customHeight="false" outlineLevel="0" collapsed="false">
      <c r="A258" s="73"/>
      <c r="B258" s="73"/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4"/>
      <c r="S258" s="74"/>
      <c r="T258" s="74"/>
      <c r="U258" s="73"/>
      <c r="V258" s="73"/>
      <c r="W258" s="73"/>
      <c r="X258" s="73"/>
      <c r="Y258" s="75"/>
      <c r="Z258" s="73"/>
      <c r="AA258" s="73"/>
      <c r="AB258" s="73"/>
      <c r="AC258" s="73"/>
      <c r="AD258" s="73"/>
      <c r="AE258" s="73"/>
      <c r="AF258" s="76"/>
      <c r="AG258" s="76"/>
      <c r="AH258" s="76"/>
      <c r="AI258" s="76"/>
      <c r="AJ258" s="76"/>
      <c r="AK258" s="76"/>
      <c r="AL258" s="76"/>
      <c r="AM258" s="76"/>
      <c r="AN258" s="76"/>
      <c r="AO258" s="76"/>
      <c r="AP258" s="76"/>
      <c r="AQ258" s="76"/>
      <c r="AR258" s="76"/>
      <c r="AS258" s="76"/>
      <c r="AT258" s="76"/>
      <c r="AU258" s="76"/>
      <c r="AV258" s="76"/>
      <c r="AW258" s="76"/>
      <c r="AX258" s="76"/>
      <c r="AY258" s="76"/>
      <c r="AZ258" s="76"/>
      <c r="BA258" s="76"/>
      <c r="BB258" s="76"/>
      <c r="BC258" s="76"/>
      <c r="BD258" s="76"/>
      <c r="BE258" s="76"/>
      <c r="BF258" s="76"/>
      <c r="BG258" s="76"/>
      <c r="BH258" s="76"/>
      <c r="BI258" s="76"/>
      <c r="BJ258" s="76"/>
      <c r="BK258" s="76"/>
      <c r="BL258" s="76"/>
      <c r="BM258" s="76"/>
      <c r="BN258" s="76"/>
      <c r="BO258" s="76"/>
    </row>
    <row r="259" customFormat="false" ht="15" hidden="false" customHeight="false" outlineLevel="0" collapsed="false">
      <c r="A259" s="73"/>
      <c r="B259" s="73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4"/>
      <c r="S259" s="74"/>
      <c r="T259" s="74"/>
      <c r="U259" s="73"/>
      <c r="V259" s="73"/>
      <c r="W259" s="73"/>
      <c r="X259" s="73"/>
      <c r="Y259" s="75"/>
      <c r="Z259" s="73"/>
      <c r="AA259" s="73"/>
      <c r="AB259" s="73"/>
      <c r="AC259" s="73"/>
      <c r="AD259" s="73"/>
      <c r="AE259" s="73"/>
      <c r="AF259" s="76"/>
      <c r="AG259" s="76"/>
      <c r="AH259" s="76"/>
      <c r="AI259" s="76"/>
      <c r="AJ259" s="76"/>
      <c r="AK259" s="76"/>
      <c r="AL259" s="76"/>
      <c r="AM259" s="76"/>
      <c r="AN259" s="76"/>
      <c r="AO259" s="76"/>
      <c r="AP259" s="76"/>
      <c r="AQ259" s="76"/>
      <c r="AR259" s="76"/>
      <c r="AS259" s="76"/>
      <c r="AT259" s="76"/>
      <c r="AU259" s="76"/>
      <c r="AV259" s="76"/>
      <c r="AW259" s="76"/>
      <c r="AX259" s="76"/>
      <c r="AY259" s="76"/>
      <c r="AZ259" s="76"/>
      <c r="BA259" s="76"/>
      <c r="BB259" s="76"/>
      <c r="BC259" s="76"/>
      <c r="BD259" s="76"/>
      <c r="BE259" s="76"/>
      <c r="BF259" s="76"/>
      <c r="BG259" s="76"/>
      <c r="BH259" s="76"/>
      <c r="BI259" s="76"/>
      <c r="BJ259" s="76"/>
      <c r="BK259" s="76"/>
      <c r="BL259" s="76"/>
      <c r="BM259" s="76"/>
      <c r="BN259" s="76"/>
      <c r="BO259" s="76"/>
    </row>
    <row r="260" customFormat="false" ht="15" hidden="false" customHeight="false" outlineLevel="0" collapsed="false">
      <c r="A260" s="7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4"/>
      <c r="S260" s="74"/>
      <c r="T260" s="74"/>
      <c r="U260" s="73"/>
      <c r="V260" s="73"/>
      <c r="W260" s="73"/>
      <c r="X260" s="73"/>
      <c r="Y260" s="75"/>
      <c r="Z260" s="73"/>
      <c r="AA260" s="73"/>
      <c r="AB260" s="73"/>
      <c r="AC260" s="73"/>
      <c r="AD260" s="73"/>
      <c r="AE260" s="73"/>
      <c r="AF260" s="76"/>
      <c r="AG260" s="76"/>
      <c r="AH260" s="76"/>
      <c r="AI260" s="76"/>
      <c r="AJ260" s="76"/>
      <c r="AK260" s="76"/>
      <c r="AL260" s="76"/>
      <c r="AM260" s="76"/>
      <c r="AN260" s="76"/>
      <c r="AO260" s="76"/>
      <c r="AP260" s="76"/>
      <c r="AQ260" s="76"/>
      <c r="AR260" s="76"/>
      <c r="AS260" s="76"/>
      <c r="AT260" s="76"/>
      <c r="AU260" s="76"/>
      <c r="AV260" s="76"/>
      <c r="AW260" s="76"/>
      <c r="AX260" s="76"/>
      <c r="AY260" s="76"/>
      <c r="AZ260" s="76"/>
      <c r="BA260" s="76"/>
      <c r="BB260" s="76"/>
      <c r="BC260" s="76"/>
      <c r="BD260" s="76"/>
      <c r="BE260" s="76"/>
      <c r="BF260" s="76"/>
      <c r="BG260" s="76"/>
      <c r="BH260" s="76"/>
      <c r="BI260" s="76"/>
      <c r="BJ260" s="76"/>
      <c r="BK260" s="76"/>
      <c r="BL260" s="76"/>
      <c r="BM260" s="76"/>
      <c r="BN260" s="76"/>
      <c r="BO260" s="76"/>
    </row>
    <row r="261" customFormat="false" ht="15" hidden="false" customHeight="false" outlineLevel="0" collapsed="false">
      <c r="A261" s="73"/>
      <c r="B261" s="73"/>
      <c r="C261" s="73"/>
      <c r="D261" s="73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4"/>
      <c r="S261" s="74"/>
      <c r="T261" s="74"/>
      <c r="U261" s="73"/>
      <c r="V261" s="73"/>
      <c r="W261" s="73"/>
      <c r="X261" s="73"/>
      <c r="Y261" s="75"/>
      <c r="Z261" s="73"/>
      <c r="AA261" s="73"/>
      <c r="AB261" s="73"/>
      <c r="AC261" s="73"/>
      <c r="AD261" s="73"/>
      <c r="AE261" s="73"/>
      <c r="AF261" s="76"/>
      <c r="AG261" s="76"/>
      <c r="AH261" s="76"/>
      <c r="AI261" s="76"/>
      <c r="AJ261" s="76"/>
      <c r="AK261" s="76"/>
      <c r="AL261" s="76"/>
      <c r="AM261" s="76"/>
      <c r="AN261" s="76"/>
      <c r="AO261" s="76"/>
      <c r="AP261" s="76"/>
      <c r="AQ261" s="76"/>
      <c r="AR261" s="76"/>
      <c r="AS261" s="76"/>
      <c r="AT261" s="76"/>
      <c r="AU261" s="76"/>
      <c r="AV261" s="76"/>
      <c r="AW261" s="76"/>
      <c r="AX261" s="76"/>
      <c r="AY261" s="76"/>
      <c r="AZ261" s="76"/>
      <c r="BA261" s="76"/>
      <c r="BB261" s="76"/>
      <c r="BC261" s="76"/>
      <c r="BD261" s="76"/>
      <c r="BE261" s="76"/>
      <c r="BF261" s="76"/>
      <c r="BG261" s="76"/>
      <c r="BH261" s="76"/>
      <c r="BI261" s="76"/>
      <c r="BJ261" s="76"/>
      <c r="BK261" s="76"/>
      <c r="BL261" s="76"/>
      <c r="BM261" s="76"/>
      <c r="BN261" s="76"/>
      <c r="BO261" s="76"/>
    </row>
    <row r="262" customFormat="false" ht="15" hidden="false" customHeight="false" outlineLevel="0" collapsed="false">
      <c r="A262" s="73"/>
      <c r="B262" s="73"/>
      <c r="C262" s="73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4"/>
      <c r="S262" s="74"/>
      <c r="T262" s="74"/>
      <c r="U262" s="73"/>
      <c r="V262" s="73"/>
      <c r="W262" s="73"/>
      <c r="X262" s="73"/>
      <c r="Y262" s="75"/>
      <c r="Z262" s="73"/>
      <c r="AA262" s="73"/>
      <c r="AB262" s="73"/>
      <c r="AC262" s="73"/>
      <c r="AD262" s="73"/>
      <c r="AE262" s="73"/>
      <c r="AF262" s="76"/>
      <c r="AG262" s="76"/>
      <c r="AH262" s="76"/>
      <c r="AI262" s="76"/>
      <c r="AJ262" s="76"/>
      <c r="AK262" s="76"/>
      <c r="AL262" s="76"/>
      <c r="AM262" s="76"/>
      <c r="AN262" s="76"/>
      <c r="AO262" s="76"/>
      <c r="AP262" s="76"/>
      <c r="AQ262" s="76"/>
      <c r="AR262" s="76"/>
      <c r="AS262" s="76"/>
      <c r="AT262" s="76"/>
      <c r="AU262" s="76"/>
      <c r="AV262" s="76"/>
      <c r="AW262" s="76"/>
      <c r="AX262" s="76"/>
      <c r="AY262" s="76"/>
      <c r="AZ262" s="76"/>
      <c r="BA262" s="76"/>
      <c r="BB262" s="76"/>
      <c r="BC262" s="76"/>
      <c r="BD262" s="76"/>
      <c r="BE262" s="76"/>
      <c r="BF262" s="76"/>
      <c r="BG262" s="76"/>
      <c r="BH262" s="76"/>
      <c r="BI262" s="76"/>
      <c r="BJ262" s="76"/>
      <c r="BK262" s="76"/>
      <c r="BL262" s="76"/>
      <c r="BM262" s="76"/>
      <c r="BN262" s="76"/>
      <c r="BO262" s="76"/>
    </row>
    <row r="263" customFormat="false" ht="15" hidden="false" customHeight="false" outlineLevel="0" collapsed="false">
      <c r="A263" s="73"/>
      <c r="B263" s="73"/>
      <c r="C263" s="73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4"/>
      <c r="S263" s="74"/>
      <c r="T263" s="74"/>
      <c r="U263" s="73"/>
      <c r="V263" s="73"/>
      <c r="W263" s="73"/>
      <c r="X263" s="73"/>
      <c r="Y263" s="75"/>
      <c r="Z263" s="73"/>
      <c r="AA263" s="73"/>
      <c r="AB263" s="73"/>
      <c r="AC263" s="73"/>
      <c r="AD263" s="73"/>
      <c r="AE263" s="73"/>
      <c r="AF263" s="76"/>
      <c r="AG263" s="76"/>
      <c r="AH263" s="76"/>
      <c r="AI263" s="76"/>
      <c r="AJ263" s="76"/>
      <c r="AK263" s="76"/>
      <c r="AL263" s="76"/>
      <c r="AM263" s="76"/>
      <c r="AN263" s="76"/>
      <c r="AO263" s="76"/>
      <c r="AP263" s="76"/>
      <c r="AQ263" s="76"/>
      <c r="AR263" s="76"/>
      <c r="AS263" s="76"/>
      <c r="AT263" s="76"/>
      <c r="AU263" s="76"/>
      <c r="AV263" s="76"/>
      <c r="AW263" s="76"/>
      <c r="AX263" s="76"/>
      <c r="AY263" s="76"/>
      <c r="AZ263" s="76"/>
      <c r="BA263" s="76"/>
      <c r="BB263" s="76"/>
      <c r="BC263" s="76"/>
      <c r="BD263" s="76"/>
      <c r="BE263" s="76"/>
      <c r="BF263" s="76"/>
      <c r="BG263" s="76"/>
      <c r="BH263" s="76"/>
      <c r="BI263" s="76"/>
      <c r="BJ263" s="76"/>
      <c r="BK263" s="76"/>
      <c r="BL263" s="76"/>
      <c r="BM263" s="76"/>
      <c r="BN263" s="76"/>
      <c r="BO263" s="76"/>
    </row>
    <row r="264" customFormat="false" ht="15" hidden="false" customHeight="false" outlineLevel="0" collapsed="false">
      <c r="A264" s="73"/>
      <c r="B264" s="73"/>
      <c r="C264" s="73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4"/>
      <c r="S264" s="74"/>
      <c r="T264" s="74"/>
      <c r="U264" s="73"/>
      <c r="V264" s="73"/>
      <c r="W264" s="73"/>
      <c r="X264" s="73"/>
      <c r="Y264" s="75"/>
      <c r="Z264" s="73"/>
      <c r="AA264" s="73"/>
      <c r="AB264" s="73"/>
      <c r="AC264" s="73"/>
      <c r="AD264" s="73"/>
      <c r="AE264" s="73"/>
      <c r="AF264" s="76"/>
      <c r="AG264" s="76"/>
      <c r="AH264" s="76"/>
      <c r="AI264" s="76"/>
      <c r="AJ264" s="76"/>
      <c r="AK264" s="76"/>
      <c r="AL264" s="76"/>
      <c r="AM264" s="76"/>
      <c r="AN264" s="76"/>
      <c r="AO264" s="76"/>
      <c r="AP264" s="76"/>
      <c r="AQ264" s="76"/>
      <c r="AR264" s="76"/>
      <c r="AS264" s="76"/>
      <c r="AT264" s="76"/>
      <c r="AU264" s="76"/>
      <c r="AV264" s="76"/>
      <c r="AW264" s="76"/>
      <c r="AX264" s="76"/>
      <c r="AY264" s="76"/>
      <c r="AZ264" s="76"/>
      <c r="BA264" s="76"/>
      <c r="BB264" s="76"/>
      <c r="BC264" s="76"/>
      <c r="BD264" s="76"/>
      <c r="BE264" s="76"/>
      <c r="BF264" s="76"/>
      <c r="BG264" s="76"/>
      <c r="BH264" s="76"/>
      <c r="BI264" s="76"/>
      <c r="BJ264" s="76"/>
      <c r="BK264" s="76"/>
      <c r="BL264" s="76"/>
      <c r="BM264" s="76"/>
      <c r="BN264" s="76"/>
      <c r="BO264" s="76"/>
    </row>
    <row r="265" customFormat="false" ht="15" hidden="false" customHeight="false" outlineLevel="0" collapsed="false">
      <c r="A265" s="73"/>
      <c r="B265" s="73"/>
      <c r="C265" s="73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4"/>
      <c r="S265" s="74"/>
      <c r="T265" s="74"/>
      <c r="U265" s="73"/>
      <c r="V265" s="73"/>
      <c r="W265" s="73"/>
      <c r="X265" s="73"/>
      <c r="Y265" s="75"/>
      <c r="Z265" s="73"/>
      <c r="AA265" s="73"/>
      <c r="AB265" s="73"/>
      <c r="AC265" s="73"/>
      <c r="AD265" s="73"/>
      <c r="AE265" s="73"/>
      <c r="AF265" s="76"/>
      <c r="AG265" s="76"/>
      <c r="AH265" s="76"/>
      <c r="AI265" s="76"/>
      <c r="AJ265" s="76"/>
      <c r="AK265" s="76"/>
      <c r="AL265" s="76"/>
      <c r="AM265" s="76"/>
      <c r="AN265" s="76"/>
      <c r="AO265" s="76"/>
      <c r="AP265" s="76"/>
      <c r="AQ265" s="76"/>
      <c r="AR265" s="76"/>
      <c r="AS265" s="76"/>
      <c r="AT265" s="76"/>
      <c r="AU265" s="76"/>
      <c r="AV265" s="76"/>
      <c r="AW265" s="76"/>
      <c r="AX265" s="76"/>
      <c r="AY265" s="76"/>
      <c r="AZ265" s="76"/>
      <c r="BA265" s="76"/>
      <c r="BB265" s="76"/>
      <c r="BC265" s="76"/>
      <c r="BD265" s="76"/>
      <c r="BE265" s="76"/>
      <c r="BF265" s="76"/>
      <c r="BG265" s="76"/>
      <c r="BH265" s="76"/>
      <c r="BI265" s="76"/>
      <c r="BJ265" s="76"/>
      <c r="BK265" s="76"/>
      <c r="BL265" s="76"/>
      <c r="BM265" s="76"/>
      <c r="BN265" s="76"/>
      <c r="BO265" s="76"/>
    </row>
    <row r="266" customFormat="false" ht="15" hidden="false" customHeight="false" outlineLevel="0" collapsed="false">
      <c r="A266" s="73"/>
      <c r="B266" s="73"/>
      <c r="C266" s="73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4"/>
      <c r="S266" s="74"/>
      <c r="T266" s="74"/>
      <c r="U266" s="73"/>
      <c r="V266" s="73"/>
      <c r="W266" s="73"/>
      <c r="X266" s="73"/>
      <c r="Y266" s="75"/>
      <c r="Z266" s="73"/>
      <c r="AA266" s="73"/>
      <c r="AB266" s="73"/>
      <c r="AC266" s="73"/>
      <c r="AD266" s="73"/>
      <c r="AE266" s="73"/>
      <c r="AF266" s="76"/>
      <c r="AG266" s="76"/>
      <c r="AH266" s="76"/>
      <c r="AI266" s="76"/>
      <c r="AJ266" s="76"/>
      <c r="AK266" s="76"/>
      <c r="AL266" s="76"/>
      <c r="AM266" s="76"/>
      <c r="AN266" s="76"/>
      <c r="AO266" s="76"/>
      <c r="AP266" s="76"/>
      <c r="AQ266" s="76"/>
      <c r="AR266" s="76"/>
      <c r="AS266" s="76"/>
      <c r="AT266" s="76"/>
      <c r="AU266" s="76"/>
      <c r="AV266" s="76"/>
      <c r="AW266" s="76"/>
      <c r="AX266" s="76"/>
      <c r="AY266" s="76"/>
      <c r="AZ266" s="76"/>
      <c r="BA266" s="76"/>
      <c r="BB266" s="76"/>
      <c r="BC266" s="76"/>
      <c r="BD266" s="76"/>
      <c r="BE266" s="76"/>
      <c r="BF266" s="76"/>
      <c r="BG266" s="76"/>
      <c r="BH266" s="76"/>
      <c r="BI266" s="76"/>
      <c r="BJ266" s="76"/>
      <c r="BK266" s="76"/>
      <c r="BL266" s="76"/>
      <c r="BM266" s="76"/>
      <c r="BN266" s="76"/>
      <c r="BO266" s="76"/>
    </row>
    <row r="267" customFormat="false" ht="15" hidden="false" customHeight="false" outlineLevel="0" collapsed="false">
      <c r="A267" s="73"/>
      <c r="B267" s="73"/>
      <c r="C267" s="73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4"/>
      <c r="S267" s="74"/>
      <c r="T267" s="74"/>
      <c r="U267" s="73"/>
      <c r="V267" s="73"/>
      <c r="W267" s="73"/>
      <c r="X267" s="73"/>
      <c r="Y267" s="75"/>
      <c r="Z267" s="73"/>
      <c r="AA267" s="73"/>
      <c r="AB267" s="73"/>
      <c r="AC267" s="73"/>
      <c r="AD267" s="73"/>
      <c r="AE267" s="73"/>
      <c r="AF267" s="76"/>
      <c r="AG267" s="76"/>
      <c r="AH267" s="76"/>
      <c r="AI267" s="76"/>
      <c r="AJ267" s="76"/>
      <c r="AK267" s="76"/>
      <c r="AL267" s="76"/>
      <c r="AM267" s="76"/>
      <c r="AN267" s="76"/>
      <c r="AO267" s="76"/>
      <c r="AP267" s="76"/>
      <c r="AQ267" s="76"/>
      <c r="AR267" s="76"/>
      <c r="AS267" s="76"/>
      <c r="AT267" s="76"/>
      <c r="AU267" s="76"/>
      <c r="AV267" s="76"/>
      <c r="AW267" s="76"/>
      <c r="AX267" s="76"/>
      <c r="AY267" s="76"/>
      <c r="AZ267" s="76"/>
      <c r="BA267" s="76"/>
      <c r="BB267" s="76"/>
      <c r="BC267" s="76"/>
      <c r="BD267" s="76"/>
      <c r="BE267" s="76"/>
      <c r="BF267" s="76"/>
      <c r="BG267" s="76"/>
      <c r="BH267" s="76"/>
      <c r="BI267" s="76"/>
      <c r="BJ267" s="76"/>
      <c r="BK267" s="76"/>
      <c r="BL267" s="76"/>
      <c r="BM267" s="76"/>
      <c r="BN267" s="76"/>
      <c r="BO267" s="76"/>
    </row>
    <row r="268" customFormat="false" ht="15" hidden="false" customHeight="false" outlineLevel="0" collapsed="false">
      <c r="A268" s="73"/>
      <c r="B268" s="73"/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4"/>
      <c r="S268" s="74"/>
      <c r="T268" s="74"/>
      <c r="U268" s="73"/>
      <c r="V268" s="73"/>
      <c r="W268" s="73"/>
      <c r="X268" s="73"/>
      <c r="Y268" s="75"/>
      <c r="Z268" s="73"/>
      <c r="AA268" s="73"/>
      <c r="AB268" s="73"/>
      <c r="AC268" s="73"/>
      <c r="AD268" s="73"/>
      <c r="AE268" s="73"/>
      <c r="AF268" s="76"/>
      <c r="AG268" s="76"/>
      <c r="AH268" s="76"/>
      <c r="AI268" s="76"/>
      <c r="AJ268" s="76"/>
      <c r="AK268" s="76"/>
      <c r="AL268" s="76"/>
      <c r="AM268" s="76"/>
      <c r="AN268" s="76"/>
      <c r="AO268" s="76"/>
      <c r="AP268" s="76"/>
      <c r="AQ268" s="76"/>
      <c r="AR268" s="76"/>
      <c r="AS268" s="76"/>
      <c r="AT268" s="76"/>
      <c r="AU268" s="76"/>
      <c r="AV268" s="76"/>
      <c r="AW268" s="76"/>
      <c r="AX268" s="76"/>
      <c r="AY268" s="76"/>
      <c r="AZ268" s="76"/>
      <c r="BA268" s="76"/>
      <c r="BB268" s="76"/>
      <c r="BC268" s="76"/>
      <c r="BD268" s="76"/>
      <c r="BE268" s="76"/>
      <c r="BF268" s="76"/>
      <c r="BG268" s="76"/>
      <c r="BH268" s="76"/>
      <c r="BI268" s="76"/>
      <c r="BJ268" s="76"/>
      <c r="BK268" s="76"/>
      <c r="BL268" s="76"/>
      <c r="BM268" s="76"/>
      <c r="BN268" s="76"/>
      <c r="BO268" s="76"/>
    </row>
    <row r="269" customFormat="false" ht="15" hidden="false" customHeight="false" outlineLevel="0" collapsed="false">
      <c r="A269" s="73"/>
      <c r="B269" s="73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4"/>
      <c r="S269" s="74"/>
      <c r="T269" s="74"/>
      <c r="U269" s="73"/>
      <c r="V269" s="73"/>
      <c r="W269" s="73"/>
      <c r="X269" s="73"/>
      <c r="Y269" s="75"/>
      <c r="Z269" s="73"/>
      <c r="AA269" s="73"/>
      <c r="AB269" s="73"/>
      <c r="AC269" s="73"/>
      <c r="AD269" s="73"/>
      <c r="AE269" s="73"/>
      <c r="AF269" s="76"/>
      <c r="AG269" s="76"/>
      <c r="AH269" s="76"/>
      <c r="AI269" s="76"/>
      <c r="AJ269" s="76"/>
      <c r="AK269" s="76"/>
      <c r="AL269" s="76"/>
      <c r="AM269" s="76"/>
      <c r="AN269" s="76"/>
      <c r="AO269" s="76"/>
      <c r="AP269" s="76"/>
      <c r="AQ269" s="76"/>
      <c r="AR269" s="76"/>
      <c r="AS269" s="76"/>
      <c r="AT269" s="76"/>
      <c r="AU269" s="76"/>
      <c r="AV269" s="76"/>
      <c r="AW269" s="76"/>
      <c r="AX269" s="76"/>
      <c r="AY269" s="76"/>
      <c r="AZ269" s="76"/>
      <c r="BA269" s="76"/>
      <c r="BB269" s="76"/>
      <c r="BC269" s="76"/>
      <c r="BD269" s="76"/>
      <c r="BE269" s="76"/>
      <c r="BF269" s="76"/>
      <c r="BG269" s="76"/>
      <c r="BH269" s="76"/>
      <c r="BI269" s="76"/>
      <c r="BJ269" s="76"/>
      <c r="BK269" s="76"/>
      <c r="BL269" s="76"/>
      <c r="BM269" s="76"/>
      <c r="BN269" s="76"/>
      <c r="BO269" s="76"/>
    </row>
    <row r="270" customFormat="false" ht="15" hidden="false" customHeight="false" outlineLevel="0" collapsed="false">
      <c r="A270" s="73"/>
      <c r="B270" s="73"/>
      <c r="C270" s="73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4"/>
      <c r="S270" s="74"/>
      <c r="T270" s="74"/>
      <c r="U270" s="73"/>
      <c r="V270" s="73"/>
      <c r="W270" s="73"/>
      <c r="X270" s="73"/>
      <c r="Y270" s="75"/>
      <c r="Z270" s="73"/>
      <c r="AA270" s="73"/>
      <c r="AB270" s="73"/>
      <c r="AC270" s="73"/>
      <c r="AD270" s="73"/>
      <c r="AE270" s="73"/>
      <c r="AF270" s="76"/>
      <c r="AG270" s="76"/>
      <c r="AH270" s="76"/>
      <c r="AI270" s="76"/>
      <c r="AJ270" s="76"/>
      <c r="AK270" s="76"/>
      <c r="AL270" s="76"/>
      <c r="AM270" s="76"/>
      <c r="AN270" s="76"/>
      <c r="AO270" s="76"/>
      <c r="AP270" s="76"/>
      <c r="AQ270" s="76"/>
      <c r="AR270" s="76"/>
      <c r="AS270" s="76"/>
      <c r="AT270" s="76"/>
      <c r="AU270" s="76"/>
      <c r="AV270" s="76"/>
      <c r="AW270" s="76"/>
      <c r="AX270" s="76"/>
      <c r="AY270" s="76"/>
      <c r="AZ270" s="76"/>
      <c r="BA270" s="76"/>
      <c r="BB270" s="76"/>
      <c r="BC270" s="76"/>
      <c r="BD270" s="76"/>
      <c r="BE270" s="76"/>
      <c r="BF270" s="76"/>
      <c r="BG270" s="76"/>
      <c r="BH270" s="76"/>
      <c r="BI270" s="76"/>
      <c r="BJ270" s="76"/>
      <c r="BK270" s="76"/>
      <c r="BL270" s="76"/>
      <c r="BM270" s="76"/>
      <c r="BN270" s="76"/>
      <c r="BO270" s="76"/>
    </row>
    <row r="271" customFormat="false" ht="15" hidden="false" customHeight="false" outlineLevel="0" collapsed="false">
      <c r="A271" s="73"/>
      <c r="B271" s="73"/>
      <c r="C271" s="73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4"/>
      <c r="S271" s="74"/>
      <c r="T271" s="74"/>
      <c r="U271" s="73"/>
      <c r="V271" s="73"/>
      <c r="W271" s="73"/>
      <c r="X271" s="73"/>
      <c r="Y271" s="75"/>
      <c r="Z271" s="73"/>
      <c r="AA271" s="73"/>
      <c r="AB271" s="73"/>
      <c r="AC271" s="73"/>
      <c r="AD271" s="73"/>
      <c r="AE271" s="73"/>
      <c r="AF271" s="76"/>
      <c r="AG271" s="76"/>
      <c r="AH271" s="76"/>
      <c r="AI271" s="76"/>
      <c r="AJ271" s="76"/>
      <c r="AK271" s="76"/>
      <c r="AL271" s="76"/>
      <c r="AM271" s="76"/>
      <c r="AN271" s="76"/>
      <c r="AO271" s="76"/>
      <c r="AP271" s="76"/>
      <c r="AQ271" s="76"/>
      <c r="AR271" s="76"/>
      <c r="AS271" s="76"/>
      <c r="AT271" s="76"/>
      <c r="AU271" s="76"/>
      <c r="AV271" s="76"/>
      <c r="AW271" s="76"/>
      <c r="AX271" s="76"/>
      <c r="AY271" s="76"/>
      <c r="AZ271" s="76"/>
      <c r="BA271" s="76"/>
      <c r="BB271" s="76"/>
      <c r="BC271" s="76"/>
      <c r="BD271" s="76"/>
      <c r="BE271" s="76"/>
      <c r="BF271" s="76"/>
      <c r="BG271" s="76"/>
      <c r="BH271" s="76"/>
      <c r="BI271" s="76"/>
      <c r="BJ271" s="76"/>
      <c r="BK271" s="76"/>
      <c r="BL271" s="76"/>
      <c r="BM271" s="76"/>
      <c r="BN271" s="76"/>
      <c r="BO271" s="76"/>
    </row>
    <row r="272" customFormat="false" ht="15" hidden="false" customHeight="false" outlineLevel="0" collapsed="false">
      <c r="A272" s="73"/>
      <c r="B272" s="73"/>
      <c r="C272" s="73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4"/>
      <c r="S272" s="74"/>
      <c r="T272" s="74"/>
      <c r="U272" s="73"/>
      <c r="V272" s="73"/>
      <c r="W272" s="73"/>
      <c r="X272" s="73"/>
      <c r="Y272" s="75"/>
      <c r="Z272" s="73"/>
      <c r="AA272" s="73"/>
      <c r="AB272" s="73"/>
      <c r="AC272" s="73"/>
      <c r="AD272" s="73"/>
      <c r="AE272" s="73"/>
      <c r="AF272" s="76"/>
      <c r="AG272" s="76"/>
      <c r="AH272" s="76"/>
      <c r="AI272" s="76"/>
      <c r="AJ272" s="76"/>
      <c r="AK272" s="76"/>
      <c r="AL272" s="76"/>
      <c r="AM272" s="76"/>
      <c r="AN272" s="76"/>
      <c r="AO272" s="76"/>
      <c r="AP272" s="76"/>
      <c r="AQ272" s="76"/>
      <c r="AR272" s="76"/>
      <c r="AS272" s="76"/>
      <c r="AT272" s="76"/>
      <c r="AU272" s="76"/>
      <c r="AV272" s="76"/>
      <c r="AW272" s="76"/>
      <c r="AX272" s="76"/>
      <c r="AY272" s="76"/>
      <c r="AZ272" s="76"/>
      <c r="BA272" s="76"/>
      <c r="BB272" s="76"/>
      <c r="BC272" s="76"/>
      <c r="BD272" s="76"/>
      <c r="BE272" s="76"/>
      <c r="BF272" s="76"/>
      <c r="BG272" s="76"/>
      <c r="BH272" s="76"/>
      <c r="BI272" s="76"/>
      <c r="BJ272" s="76"/>
      <c r="BK272" s="76"/>
      <c r="BL272" s="76"/>
      <c r="BM272" s="76"/>
      <c r="BN272" s="76"/>
      <c r="BO272" s="76"/>
    </row>
    <row r="273" customFormat="false" ht="15" hidden="false" customHeight="false" outlineLevel="0" collapsed="false">
      <c r="A273" s="73"/>
      <c r="B273" s="73"/>
      <c r="C273" s="73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4"/>
      <c r="S273" s="74"/>
      <c r="T273" s="74"/>
      <c r="U273" s="73"/>
      <c r="V273" s="73"/>
      <c r="W273" s="73"/>
      <c r="X273" s="73"/>
      <c r="Y273" s="75"/>
      <c r="Z273" s="73"/>
      <c r="AA273" s="73"/>
      <c r="AB273" s="73"/>
      <c r="AC273" s="73"/>
      <c r="AD273" s="73"/>
      <c r="AE273" s="73"/>
      <c r="AF273" s="76"/>
      <c r="AG273" s="76"/>
      <c r="AH273" s="76"/>
      <c r="AI273" s="76"/>
      <c r="AJ273" s="76"/>
      <c r="AK273" s="76"/>
      <c r="AL273" s="76"/>
      <c r="AM273" s="76"/>
      <c r="AN273" s="76"/>
      <c r="AO273" s="76"/>
      <c r="AP273" s="76"/>
      <c r="AQ273" s="76"/>
      <c r="AR273" s="76"/>
      <c r="AS273" s="76"/>
      <c r="AT273" s="76"/>
      <c r="AU273" s="76"/>
      <c r="AV273" s="76"/>
      <c r="AW273" s="76"/>
      <c r="AX273" s="76"/>
      <c r="AY273" s="76"/>
      <c r="AZ273" s="76"/>
      <c r="BA273" s="76"/>
      <c r="BB273" s="76"/>
      <c r="BC273" s="76"/>
      <c r="BD273" s="76"/>
      <c r="BE273" s="76"/>
      <c r="BF273" s="76"/>
      <c r="BG273" s="76"/>
      <c r="BH273" s="76"/>
      <c r="BI273" s="76"/>
      <c r="BJ273" s="76"/>
      <c r="BK273" s="76"/>
      <c r="BL273" s="76"/>
      <c r="BM273" s="76"/>
      <c r="BN273" s="76"/>
      <c r="BO273" s="76"/>
    </row>
    <row r="274" customFormat="false" ht="15" hidden="false" customHeight="false" outlineLevel="0" collapsed="false">
      <c r="A274" s="73"/>
      <c r="B274" s="73"/>
      <c r="C274" s="73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4"/>
      <c r="S274" s="74"/>
      <c r="T274" s="74"/>
      <c r="U274" s="73"/>
      <c r="V274" s="73"/>
      <c r="W274" s="73"/>
      <c r="X274" s="73"/>
      <c r="Y274" s="75"/>
      <c r="Z274" s="73"/>
      <c r="AA274" s="73"/>
      <c r="AB274" s="73"/>
      <c r="AC274" s="73"/>
      <c r="AD274" s="73"/>
      <c r="AE274" s="73"/>
      <c r="AF274" s="76"/>
      <c r="AG274" s="76"/>
      <c r="AH274" s="76"/>
      <c r="AI274" s="76"/>
      <c r="AJ274" s="76"/>
      <c r="AK274" s="76"/>
      <c r="AL274" s="76"/>
      <c r="AM274" s="76"/>
      <c r="AN274" s="76"/>
      <c r="AO274" s="76"/>
      <c r="AP274" s="76"/>
      <c r="AQ274" s="76"/>
      <c r="AR274" s="76"/>
      <c r="AS274" s="76"/>
      <c r="AT274" s="76"/>
      <c r="AU274" s="76"/>
      <c r="AV274" s="76"/>
      <c r="AW274" s="76"/>
      <c r="AX274" s="76"/>
      <c r="AY274" s="76"/>
      <c r="AZ274" s="76"/>
      <c r="BA274" s="76"/>
      <c r="BB274" s="76"/>
      <c r="BC274" s="76"/>
      <c r="BD274" s="76"/>
      <c r="BE274" s="76"/>
      <c r="BF274" s="76"/>
      <c r="BG274" s="76"/>
      <c r="BH274" s="76"/>
      <c r="BI274" s="76"/>
      <c r="BJ274" s="76"/>
      <c r="BK274" s="76"/>
      <c r="BL274" s="76"/>
      <c r="BM274" s="76"/>
      <c r="BN274" s="76"/>
      <c r="BO274" s="76"/>
    </row>
    <row r="275" customFormat="false" ht="15" hidden="false" customHeight="false" outlineLevel="0" collapsed="false">
      <c r="A275" s="73"/>
      <c r="B275" s="73"/>
      <c r="C275" s="73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4"/>
      <c r="S275" s="74"/>
      <c r="T275" s="74"/>
      <c r="U275" s="73"/>
      <c r="V275" s="73"/>
      <c r="W275" s="73"/>
      <c r="X275" s="73"/>
      <c r="Y275" s="75"/>
      <c r="Z275" s="73"/>
      <c r="AA275" s="73"/>
      <c r="AB275" s="73"/>
      <c r="AC275" s="73"/>
      <c r="AD275" s="73"/>
      <c r="AE275" s="73"/>
      <c r="AF275" s="76"/>
      <c r="AG275" s="76"/>
      <c r="AH275" s="76"/>
      <c r="AI275" s="76"/>
      <c r="AJ275" s="76"/>
      <c r="AK275" s="76"/>
      <c r="AL275" s="76"/>
      <c r="AM275" s="76"/>
      <c r="AN275" s="76"/>
      <c r="AO275" s="76"/>
      <c r="AP275" s="76"/>
      <c r="AQ275" s="76"/>
      <c r="AR275" s="76"/>
      <c r="AS275" s="76"/>
      <c r="AT275" s="76"/>
      <c r="AU275" s="76"/>
      <c r="AV275" s="76"/>
      <c r="AW275" s="76"/>
      <c r="AX275" s="76"/>
      <c r="AY275" s="76"/>
      <c r="AZ275" s="76"/>
      <c r="BA275" s="76"/>
      <c r="BB275" s="76"/>
      <c r="BC275" s="76"/>
      <c r="BD275" s="76"/>
      <c r="BE275" s="76"/>
      <c r="BF275" s="76"/>
      <c r="BG275" s="76"/>
      <c r="BH275" s="76"/>
      <c r="BI275" s="76"/>
      <c r="BJ275" s="76"/>
      <c r="BK275" s="76"/>
      <c r="BL275" s="76"/>
      <c r="BM275" s="76"/>
      <c r="BN275" s="76"/>
      <c r="BO275" s="76"/>
    </row>
    <row r="276" customFormat="false" ht="15" hidden="false" customHeight="false" outlineLevel="0" collapsed="false">
      <c r="A276" s="73"/>
      <c r="B276" s="73"/>
      <c r="C276" s="73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4"/>
      <c r="S276" s="74"/>
      <c r="T276" s="74"/>
      <c r="U276" s="73"/>
      <c r="V276" s="73"/>
      <c r="W276" s="73"/>
      <c r="X276" s="73"/>
      <c r="Y276" s="75"/>
      <c r="Z276" s="73"/>
      <c r="AA276" s="73"/>
      <c r="AB276" s="73"/>
      <c r="AC276" s="73"/>
      <c r="AD276" s="73"/>
      <c r="AE276" s="73"/>
      <c r="AF276" s="76"/>
      <c r="AG276" s="76"/>
      <c r="AH276" s="76"/>
      <c r="AI276" s="76"/>
      <c r="AJ276" s="76"/>
      <c r="AK276" s="76"/>
      <c r="AL276" s="76"/>
      <c r="AM276" s="76"/>
      <c r="AN276" s="76"/>
      <c r="AO276" s="76"/>
      <c r="AP276" s="76"/>
      <c r="AQ276" s="76"/>
      <c r="AR276" s="76"/>
      <c r="AS276" s="76"/>
      <c r="AT276" s="76"/>
      <c r="AU276" s="76"/>
      <c r="AV276" s="76"/>
      <c r="AW276" s="76"/>
      <c r="AX276" s="76"/>
      <c r="AY276" s="76"/>
      <c r="AZ276" s="76"/>
      <c r="BA276" s="76"/>
      <c r="BB276" s="76"/>
      <c r="BC276" s="76"/>
      <c r="BD276" s="76"/>
      <c r="BE276" s="76"/>
      <c r="BF276" s="76"/>
      <c r="BG276" s="76"/>
      <c r="BH276" s="76"/>
      <c r="BI276" s="76"/>
      <c r="BJ276" s="76"/>
      <c r="BK276" s="76"/>
      <c r="BL276" s="76"/>
      <c r="BM276" s="76"/>
      <c r="BN276" s="76"/>
      <c r="BO276" s="76"/>
    </row>
    <row r="277" customFormat="false" ht="15" hidden="false" customHeight="false" outlineLevel="0" collapsed="false">
      <c r="A277" s="73"/>
      <c r="B277" s="73"/>
      <c r="C277" s="73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4"/>
      <c r="S277" s="74"/>
      <c r="T277" s="74"/>
      <c r="U277" s="73"/>
      <c r="V277" s="73"/>
      <c r="W277" s="73"/>
      <c r="X277" s="73"/>
      <c r="Y277" s="75"/>
      <c r="Z277" s="73"/>
      <c r="AA277" s="73"/>
      <c r="AB277" s="73"/>
      <c r="AC277" s="73"/>
      <c r="AD277" s="73"/>
      <c r="AE277" s="73"/>
      <c r="AF277" s="76"/>
      <c r="AG277" s="76"/>
      <c r="AH277" s="76"/>
      <c r="AI277" s="76"/>
      <c r="AJ277" s="76"/>
      <c r="AK277" s="76"/>
      <c r="AL277" s="76"/>
      <c r="AM277" s="76"/>
      <c r="AN277" s="76"/>
      <c r="AO277" s="76"/>
      <c r="AP277" s="76"/>
      <c r="AQ277" s="76"/>
      <c r="AR277" s="76"/>
      <c r="AS277" s="76"/>
      <c r="AT277" s="76"/>
      <c r="AU277" s="76"/>
      <c r="AV277" s="76"/>
      <c r="AW277" s="76"/>
      <c r="AX277" s="76"/>
      <c r="AY277" s="76"/>
      <c r="AZ277" s="76"/>
      <c r="BA277" s="76"/>
      <c r="BB277" s="76"/>
      <c r="BC277" s="76"/>
      <c r="BD277" s="76"/>
      <c r="BE277" s="76"/>
      <c r="BF277" s="76"/>
      <c r="BG277" s="76"/>
      <c r="BH277" s="76"/>
      <c r="BI277" s="76"/>
      <c r="BJ277" s="76"/>
      <c r="BK277" s="76"/>
      <c r="BL277" s="76"/>
      <c r="BM277" s="76"/>
      <c r="BN277" s="76"/>
      <c r="BO277" s="76"/>
    </row>
    <row r="278" customFormat="false" ht="15" hidden="false" customHeight="false" outlineLevel="0" collapsed="false">
      <c r="A278" s="73"/>
      <c r="B278" s="73"/>
      <c r="C278" s="73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4"/>
      <c r="S278" s="74"/>
      <c r="T278" s="74"/>
      <c r="U278" s="73"/>
      <c r="V278" s="73"/>
      <c r="W278" s="73"/>
      <c r="X278" s="73"/>
      <c r="Y278" s="75"/>
      <c r="Z278" s="73"/>
      <c r="AA278" s="73"/>
      <c r="AB278" s="73"/>
      <c r="AC278" s="73"/>
      <c r="AD278" s="73"/>
      <c r="AE278" s="73"/>
      <c r="AF278" s="76"/>
      <c r="AG278" s="76"/>
      <c r="AH278" s="76"/>
      <c r="AI278" s="76"/>
      <c r="AJ278" s="76"/>
      <c r="AK278" s="76"/>
      <c r="AL278" s="76"/>
      <c r="AM278" s="76"/>
      <c r="AN278" s="76"/>
      <c r="AO278" s="76"/>
      <c r="AP278" s="76"/>
      <c r="AQ278" s="76"/>
      <c r="AR278" s="76"/>
      <c r="AS278" s="76"/>
      <c r="AT278" s="76"/>
      <c r="AU278" s="76"/>
      <c r="AV278" s="76"/>
      <c r="AW278" s="76"/>
      <c r="AX278" s="76"/>
      <c r="AY278" s="76"/>
      <c r="AZ278" s="76"/>
      <c r="BA278" s="76"/>
      <c r="BB278" s="76"/>
      <c r="BC278" s="76"/>
      <c r="BD278" s="76"/>
      <c r="BE278" s="76"/>
      <c r="BF278" s="76"/>
      <c r="BG278" s="76"/>
      <c r="BH278" s="76"/>
      <c r="BI278" s="76"/>
      <c r="BJ278" s="76"/>
      <c r="BK278" s="76"/>
      <c r="BL278" s="76"/>
      <c r="BM278" s="76"/>
      <c r="BN278" s="76"/>
      <c r="BO278" s="76"/>
    </row>
    <row r="279" customFormat="false" ht="15" hidden="false" customHeight="false" outlineLevel="0" collapsed="false">
      <c r="A279" s="73"/>
      <c r="B279" s="73"/>
      <c r="C279" s="73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4"/>
      <c r="S279" s="74"/>
      <c r="T279" s="74"/>
      <c r="U279" s="73"/>
      <c r="V279" s="73"/>
      <c r="W279" s="73"/>
      <c r="X279" s="73"/>
      <c r="Y279" s="75"/>
      <c r="Z279" s="73"/>
      <c r="AA279" s="73"/>
      <c r="AB279" s="73"/>
      <c r="AC279" s="73"/>
      <c r="AD279" s="73"/>
      <c r="AE279" s="73"/>
      <c r="AF279" s="76"/>
      <c r="AG279" s="76"/>
      <c r="AH279" s="76"/>
      <c r="AI279" s="76"/>
      <c r="AJ279" s="76"/>
      <c r="AK279" s="76"/>
      <c r="AL279" s="76"/>
      <c r="AM279" s="76"/>
      <c r="AN279" s="76"/>
      <c r="AO279" s="76"/>
      <c r="AP279" s="76"/>
      <c r="AQ279" s="76"/>
      <c r="AR279" s="76"/>
      <c r="AS279" s="76"/>
      <c r="AT279" s="76"/>
      <c r="AU279" s="76"/>
      <c r="AV279" s="76"/>
      <c r="AW279" s="76"/>
      <c r="AX279" s="76"/>
      <c r="AY279" s="76"/>
      <c r="AZ279" s="76"/>
      <c r="BA279" s="76"/>
      <c r="BB279" s="76"/>
      <c r="BC279" s="76"/>
      <c r="BD279" s="76"/>
      <c r="BE279" s="76"/>
      <c r="BF279" s="76"/>
      <c r="BG279" s="76"/>
      <c r="BH279" s="76"/>
      <c r="BI279" s="76"/>
      <c r="BJ279" s="76"/>
      <c r="BK279" s="76"/>
      <c r="BL279" s="76"/>
      <c r="BM279" s="76"/>
      <c r="BN279" s="76"/>
      <c r="BO279" s="76"/>
    </row>
    <row r="280" customFormat="false" ht="15" hidden="false" customHeight="false" outlineLevel="0" collapsed="false">
      <c r="A280" s="73"/>
      <c r="B280" s="73"/>
      <c r="C280" s="73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4"/>
      <c r="S280" s="74"/>
      <c r="T280" s="74"/>
      <c r="U280" s="73"/>
      <c r="V280" s="73"/>
      <c r="W280" s="73"/>
      <c r="X280" s="73"/>
      <c r="Y280" s="75"/>
      <c r="Z280" s="73"/>
      <c r="AA280" s="73"/>
      <c r="AB280" s="73"/>
      <c r="AC280" s="73"/>
      <c r="AD280" s="73"/>
      <c r="AE280" s="73"/>
      <c r="AF280" s="76"/>
      <c r="AG280" s="76"/>
      <c r="AH280" s="76"/>
      <c r="AI280" s="76"/>
      <c r="AJ280" s="76"/>
      <c r="AK280" s="76"/>
      <c r="AL280" s="76"/>
      <c r="AM280" s="76"/>
      <c r="AN280" s="76"/>
      <c r="AO280" s="76"/>
      <c r="AP280" s="76"/>
      <c r="AQ280" s="76"/>
      <c r="AR280" s="76"/>
      <c r="AS280" s="76"/>
      <c r="AT280" s="76"/>
      <c r="AU280" s="76"/>
      <c r="AV280" s="76"/>
      <c r="AW280" s="76"/>
      <c r="AX280" s="76"/>
      <c r="AY280" s="76"/>
      <c r="AZ280" s="76"/>
      <c r="BA280" s="76"/>
      <c r="BB280" s="76"/>
      <c r="BC280" s="76"/>
      <c r="BD280" s="76"/>
      <c r="BE280" s="76"/>
      <c r="BF280" s="76"/>
      <c r="BG280" s="76"/>
      <c r="BH280" s="76"/>
      <c r="BI280" s="76"/>
      <c r="BJ280" s="76"/>
      <c r="BK280" s="76"/>
      <c r="BL280" s="76"/>
      <c r="BM280" s="76"/>
      <c r="BN280" s="76"/>
      <c r="BO280" s="76"/>
    </row>
    <row r="281" customFormat="false" ht="15" hidden="false" customHeight="false" outlineLevel="0" collapsed="false">
      <c r="A281" s="73"/>
      <c r="B281" s="73"/>
      <c r="C281" s="73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4"/>
      <c r="S281" s="74"/>
      <c r="T281" s="74"/>
      <c r="U281" s="73"/>
      <c r="V281" s="73"/>
      <c r="W281" s="73"/>
      <c r="X281" s="73"/>
      <c r="Y281" s="75"/>
      <c r="Z281" s="73"/>
      <c r="AA281" s="73"/>
      <c r="AB281" s="73"/>
      <c r="AC281" s="73"/>
      <c r="AD281" s="73"/>
      <c r="AE281" s="73"/>
      <c r="AF281" s="76"/>
      <c r="AG281" s="76"/>
      <c r="AH281" s="76"/>
      <c r="AI281" s="76"/>
      <c r="AJ281" s="76"/>
      <c r="AK281" s="76"/>
      <c r="AL281" s="76"/>
      <c r="AM281" s="76"/>
      <c r="AN281" s="76"/>
      <c r="AO281" s="76"/>
      <c r="AP281" s="76"/>
      <c r="AQ281" s="76"/>
      <c r="AR281" s="76"/>
      <c r="AS281" s="76"/>
      <c r="AT281" s="76"/>
      <c r="AU281" s="76"/>
      <c r="AV281" s="76"/>
      <c r="AW281" s="76"/>
      <c r="AX281" s="76"/>
      <c r="AY281" s="76"/>
      <c r="AZ281" s="76"/>
      <c r="BA281" s="76"/>
      <c r="BB281" s="76"/>
      <c r="BC281" s="76"/>
      <c r="BD281" s="76"/>
      <c r="BE281" s="76"/>
      <c r="BF281" s="76"/>
      <c r="BG281" s="76"/>
      <c r="BH281" s="76"/>
      <c r="BI281" s="76"/>
      <c r="BJ281" s="76"/>
      <c r="BK281" s="76"/>
      <c r="BL281" s="76"/>
      <c r="BM281" s="76"/>
      <c r="BN281" s="76"/>
      <c r="BO281" s="76"/>
    </row>
    <row r="282" customFormat="false" ht="15" hidden="false" customHeight="false" outlineLevel="0" collapsed="false">
      <c r="A282" s="73"/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4"/>
      <c r="S282" s="74"/>
      <c r="T282" s="74"/>
      <c r="U282" s="73"/>
      <c r="V282" s="73"/>
      <c r="W282" s="73"/>
      <c r="X282" s="73"/>
      <c r="Y282" s="75"/>
      <c r="Z282" s="73"/>
      <c r="AA282" s="73"/>
      <c r="AB282" s="73"/>
      <c r="AC282" s="73"/>
      <c r="AD282" s="73"/>
      <c r="AE282" s="73"/>
      <c r="AF282" s="76"/>
      <c r="AG282" s="76"/>
      <c r="AH282" s="76"/>
      <c r="AI282" s="76"/>
      <c r="AJ282" s="76"/>
      <c r="AK282" s="76"/>
      <c r="AL282" s="76"/>
      <c r="AM282" s="76"/>
      <c r="AN282" s="76"/>
      <c r="AO282" s="76"/>
      <c r="AP282" s="76"/>
      <c r="AQ282" s="76"/>
      <c r="AR282" s="76"/>
      <c r="AS282" s="76"/>
      <c r="AT282" s="76"/>
      <c r="AU282" s="76"/>
      <c r="AV282" s="76"/>
      <c r="AW282" s="76"/>
      <c r="AX282" s="76"/>
      <c r="AY282" s="76"/>
      <c r="AZ282" s="76"/>
      <c r="BA282" s="76"/>
      <c r="BB282" s="76"/>
      <c r="BC282" s="76"/>
      <c r="BD282" s="76"/>
      <c r="BE282" s="76"/>
      <c r="BF282" s="76"/>
      <c r="BG282" s="76"/>
      <c r="BH282" s="76"/>
      <c r="BI282" s="76"/>
      <c r="BJ282" s="76"/>
      <c r="BK282" s="76"/>
      <c r="BL282" s="76"/>
      <c r="BM282" s="76"/>
      <c r="BN282" s="76"/>
      <c r="BO282" s="76"/>
    </row>
    <row r="283" customFormat="false" ht="15" hidden="false" customHeight="false" outlineLevel="0" collapsed="false">
      <c r="A283" s="73"/>
      <c r="B283" s="73"/>
      <c r="C283" s="73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4"/>
      <c r="S283" s="74"/>
      <c r="T283" s="74"/>
      <c r="U283" s="73"/>
      <c r="V283" s="73"/>
      <c r="W283" s="73"/>
      <c r="X283" s="73"/>
      <c r="Y283" s="75"/>
      <c r="Z283" s="73"/>
      <c r="AA283" s="73"/>
      <c r="AB283" s="73"/>
      <c r="AC283" s="73"/>
      <c r="AD283" s="73"/>
      <c r="AE283" s="73"/>
      <c r="AF283" s="76"/>
      <c r="AG283" s="76"/>
      <c r="AH283" s="76"/>
      <c r="AI283" s="76"/>
      <c r="AJ283" s="76"/>
      <c r="AK283" s="76"/>
      <c r="AL283" s="76"/>
      <c r="AM283" s="76"/>
      <c r="AN283" s="76"/>
      <c r="AO283" s="76"/>
      <c r="AP283" s="76"/>
      <c r="AQ283" s="76"/>
      <c r="AR283" s="76"/>
      <c r="AS283" s="76"/>
      <c r="AT283" s="76"/>
      <c r="AU283" s="76"/>
      <c r="AV283" s="76"/>
      <c r="AW283" s="76"/>
      <c r="AX283" s="76"/>
      <c r="AY283" s="76"/>
      <c r="AZ283" s="76"/>
      <c r="BA283" s="76"/>
      <c r="BB283" s="76"/>
      <c r="BC283" s="76"/>
      <c r="BD283" s="76"/>
      <c r="BE283" s="76"/>
      <c r="BF283" s="76"/>
      <c r="BG283" s="76"/>
      <c r="BH283" s="76"/>
      <c r="BI283" s="76"/>
      <c r="BJ283" s="76"/>
      <c r="BK283" s="76"/>
      <c r="BL283" s="76"/>
      <c r="BM283" s="76"/>
      <c r="BN283" s="76"/>
      <c r="BO283" s="76"/>
    </row>
    <row r="284" customFormat="false" ht="15" hidden="false" customHeight="false" outlineLevel="0" collapsed="false">
      <c r="A284" s="73"/>
      <c r="B284" s="73"/>
      <c r="C284" s="73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4"/>
      <c r="S284" s="74"/>
      <c r="T284" s="74"/>
      <c r="U284" s="73"/>
      <c r="V284" s="73"/>
      <c r="W284" s="73"/>
      <c r="X284" s="73"/>
      <c r="Y284" s="75"/>
      <c r="Z284" s="73"/>
      <c r="AA284" s="73"/>
      <c r="AB284" s="73"/>
      <c r="AC284" s="73"/>
      <c r="AD284" s="73"/>
      <c r="AE284" s="73"/>
      <c r="AF284" s="76"/>
      <c r="AG284" s="76"/>
      <c r="AH284" s="76"/>
      <c r="AI284" s="76"/>
      <c r="AJ284" s="76"/>
      <c r="AK284" s="76"/>
      <c r="AL284" s="76"/>
      <c r="AM284" s="76"/>
      <c r="AN284" s="76"/>
      <c r="AO284" s="76"/>
      <c r="AP284" s="76"/>
      <c r="AQ284" s="76"/>
      <c r="AR284" s="76"/>
      <c r="AS284" s="76"/>
      <c r="AT284" s="76"/>
      <c r="AU284" s="76"/>
      <c r="AV284" s="76"/>
      <c r="AW284" s="76"/>
      <c r="AX284" s="76"/>
      <c r="AY284" s="76"/>
      <c r="AZ284" s="76"/>
      <c r="BA284" s="76"/>
      <c r="BB284" s="76"/>
      <c r="BC284" s="76"/>
      <c r="BD284" s="76"/>
      <c r="BE284" s="76"/>
      <c r="BF284" s="76"/>
      <c r="BG284" s="76"/>
      <c r="BH284" s="76"/>
      <c r="BI284" s="76"/>
      <c r="BJ284" s="76"/>
      <c r="BK284" s="76"/>
      <c r="BL284" s="76"/>
      <c r="BM284" s="76"/>
      <c r="BN284" s="76"/>
      <c r="BO284" s="76"/>
    </row>
    <row r="285" customFormat="false" ht="15" hidden="false" customHeight="false" outlineLevel="0" collapsed="false">
      <c r="A285" s="73"/>
      <c r="B285" s="73"/>
      <c r="C285" s="73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4"/>
      <c r="S285" s="74"/>
      <c r="T285" s="74"/>
      <c r="U285" s="73"/>
      <c r="V285" s="73"/>
      <c r="W285" s="73"/>
      <c r="X285" s="73"/>
      <c r="Y285" s="75"/>
      <c r="Z285" s="73"/>
      <c r="AA285" s="73"/>
      <c r="AB285" s="73"/>
      <c r="AC285" s="73"/>
      <c r="AD285" s="73"/>
      <c r="AE285" s="73"/>
      <c r="AF285" s="76"/>
      <c r="AG285" s="76"/>
      <c r="AH285" s="76"/>
      <c r="AI285" s="76"/>
      <c r="AJ285" s="76"/>
      <c r="AK285" s="76"/>
      <c r="AL285" s="76"/>
      <c r="AM285" s="76"/>
      <c r="AN285" s="76"/>
      <c r="AO285" s="76"/>
      <c r="AP285" s="76"/>
      <c r="AQ285" s="76"/>
      <c r="AR285" s="76"/>
      <c r="AS285" s="76"/>
      <c r="AT285" s="76"/>
      <c r="AU285" s="76"/>
      <c r="AV285" s="76"/>
      <c r="AW285" s="76"/>
      <c r="AX285" s="76"/>
      <c r="AY285" s="76"/>
      <c r="AZ285" s="76"/>
      <c r="BA285" s="76"/>
      <c r="BB285" s="76"/>
      <c r="BC285" s="76"/>
      <c r="BD285" s="76"/>
      <c r="BE285" s="76"/>
      <c r="BF285" s="76"/>
      <c r="BG285" s="76"/>
      <c r="BH285" s="76"/>
      <c r="BI285" s="76"/>
      <c r="BJ285" s="76"/>
      <c r="BK285" s="76"/>
      <c r="BL285" s="76"/>
      <c r="BM285" s="76"/>
      <c r="BN285" s="76"/>
      <c r="BO285" s="76"/>
    </row>
    <row r="286" customFormat="false" ht="15" hidden="false" customHeight="false" outlineLevel="0" collapsed="false">
      <c r="A286" s="73"/>
      <c r="B286" s="73"/>
      <c r="C286" s="73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4"/>
      <c r="S286" s="74"/>
      <c r="T286" s="74"/>
      <c r="U286" s="73"/>
      <c r="V286" s="73"/>
      <c r="W286" s="73"/>
      <c r="X286" s="73"/>
      <c r="Y286" s="75"/>
      <c r="Z286" s="73"/>
      <c r="AA286" s="73"/>
      <c r="AB286" s="73"/>
      <c r="AC286" s="73"/>
      <c r="AD286" s="73"/>
      <c r="AE286" s="73"/>
      <c r="AF286" s="76"/>
      <c r="AG286" s="76"/>
      <c r="AH286" s="76"/>
      <c r="AI286" s="76"/>
      <c r="AJ286" s="76"/>
      <c r="AK286" s="76"/>
      <c r="AL286" s="76"/>
      <c r="AM286" s="76"/>
      <c r="AN286" s="76"/>
      <c r="AO286" s="76"/>
      <c r="AP286" s="76"/>
      <c r="AQ286" s="76"/>
      <c r="AR286" s="76"/>
      <c r="AS286" s="76"/>
      <c r="AT286" s="76"/>
      <c r="AU286" s="76"/>
      <c r="AV286" s="76"/>
      <c r="AW286" s="76"/>
      <c r="AX286" s="76"/>
      <c r="AY286" s="76"/>
      <c r="AZ286" s="76"/>
      <c r="BA286" s="76"/>
      <c r="BB286" s="76"/>
      <c r="BC286" s="76"/>
      <c r="BD286" s="76"/>
      <c r="BE286" s="76"/>
      <c r="BF286" s="76"/>
      <c r="BG286" s="76"/>
      <c r="BH286" s="76"/>
      <c r="BI286" s="76"/>
      <c r="BJ286" s="76"/>
      <c r="BK286" s="76"/>
      <c r="BL286" s="76"/>
      <c r="BM286" s="76"/>
      <c r="BN286" s="76"/>
      <c r="BO286" s="76"/>
    </row>
    <row r="287" customFormat="false" ht="15" hidden="false" customHeight="false" outlineLevel="0" collapsed="false">
      <c r="A287" s="73"/>
      <c r="B287" s="73"/>
      <c r="C287" s="73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4"/>
      <c r="S287" s="74"/>
      <c r="T287" s="74"/>
      <c r="U287" s="73"/>
      <c r="V287" s="73"/>
      <c r="W287" s="73"/>
      <c r="X287" s="73"/>
      <c r="Y287" s="75"/>
      <c r="Z287" s="73"/>
      <c r="AA287" s="73"/>
      <c r="AB287" s="73"/>
      <c r="AC287" s="73"/>
      <c r="AD287" s="73"/>
      <c r="AE287" s="73"/>
      <c r="AF287" s="76"/>
      <c r="AG287" s="76"/>
      <c r="AH287" s="76"/>
      <c r="AI287" s="76"/>
      <c r="AJ287" s="76"/>
      <c r="AK287" s="76"/>
      <c r="AL287" s="76"/>
      <c r="AM287" s="76"/>
      <c r="AN287" s="76"/>
      <c r="AO287" s="76"/>
      <c r="AP287" s="76"/>
      <c r="AQ287" s="76"/>
      <c r="AR287" s="76"/>
      <c r="AS287" s="76"/>
      <c r="AT287" s="76"/>
      <c r="AU287" s="76"/>
      <c r="AV287" s="76"/>
      <c r="AW287" s="76"/>
      <c r="AX287" s="76"/>
      <c r="AY287" s="76"/>
      <c r="AZ287" s="76"/>
      <c r="BA287" s="76"/>
      <c r="BB287" s="76"/>
      <c r="BC287" s="76"/>
      <c r="BD287" s="76"/>
      <c r="BE287" s="76"/>
      <c r="BF287" s="76"/>
      <c r="BG287" s="76"/>
      <c r="BH287" s="76"/>
      <c r="BI287" s="76"/>
      <c r="BJ287" s="76"/>
      <c r="BK287" s="76"/>
      <c r="BL287" s="76"/>
      <c r="BM287" s="76"/>
      <c r="BN287" s="76"/>
      <c r="BO287" s="76"/>
    </row>
    <row r="288" customFormat="false" ht="15" hidden="false" customHeight="false" outlineLevel="0" collapsed="false">
      <c r="A288" s="73"/>
      <c r="B288" s="73"/>
      <c r="C288" s="73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4"/>
      <c r="S288" s="74"/>
      <c r="T288" s="74"/>
      <c r="U288" s="73"/>
      <c r="V288" s="73"/>
      <c r="W288" s="73"/>
      <c r="X288" s="73"/>
      <c r="Y288" s="75"/>
      <c r="Z288" s="73"/>
      <c r="AA288" s="73"/>
      <c r="AB288" s="73"/>
      <c r="AC288" s="73"/>
      <c r="AD288" s="73"/>
      <c r="AE288" s="73"/>
      <c r="AF288" s="76"/>
      <c r="AG288" s="76"/>
      <c r="AH288" s="76"/>
      <c r="AI288" s="76"/>
      <c r="AJ288" s="76"/>
      <c r="AK288" s="76"/>
      <c r="AL288" s="76"/>
      <c r="AM288" s="76"/>
      <c r="AN288" s="76"/>
      <c r="AO288" s="76"/>
      <c r="AP288" s="76"/>
      <c r="AQ288" s="76"/>
      <c r="AR288" s="76"/>
      <c r="AS288" s="76"/>
      <c r="AT288" s="76"/>
      <c r="AU288" s="76"/>
      <c r="AV288" s="76"/>
      <c r="AW288" s="76"/>
      <c r="AX288" s="76"/>
      <c r="AY288" s="76"/>
      <c r="AZ288" s="76"/>
      <c r="BA288" s="76"/>
      <c r="BB288" s="76"/>
      <c r="BC288" s="76"/>
      <c r="BD288" s="76"/>
      <c r="BE288" s="76"/>
      <c r="BF288" s="76"/>
      <c r="BG288" s="76"/>
      <c r="BH288" s="76"/>
      <c r="BI288" s="76"/>
      <c r="BJ288" s="76"/>
      <c r="BK288" s="76"/>
      <c r="BL288" s="76"/>
      <c r="BM288" s="76"/>
      <c r="BN288" s="76"/>
      <c r="BO288" s="76"/>
    </row>
    <row r="289" customFormat="false" ht="15" hidden="false" customHeight="false" outlineLevel="0" collapsed="false">
      <c r="A289" s="73"/>
      <c r="B289" s="73"/>
      <c r="C289" s="73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4"/>
      <c r="S289" s="74"/>
      <c r="T289" s="74"/>
      <c r="U289" s="73"/>
      <c r="V289" s="73"/>
      <c r="W289" s="73"/>
      <c r="X289" s="73"/>
      <c r="Y289" s="75"/>
      <c r="Z289" s="73"/>
      <c r="AA289" s="73"/>
      <c r="AB289" s="73"/>
      <c r="AC289" s="73"/>
      <c r="AD289" s="73"/>
      <c r="AE289" s="73"/>
      <c r="AF289" s="76"/>
      <c r="AG289" s="76"/>
      <c r="AH289" s="76"/>
      <c r="AI289" s="76"/>
      <c r="AJ289" s="76"/>
      <c r="AK289" s="76"/>
      <c r="AL289" s="76"/>
      <c r="AM289" s="76"/>
      <c r="AN289" s="76"/>
      <c r="AO289" s="76"/>
      <c r="AP289" s="76"/>
      <c r="AQ289" s="76"/>
      <c r="AR289" s="76"/>
      <c r="AS289" s="76"/>
      <c r="AT289" s="76"/>
      <c r="AU289" s="76"/>
      <c r="AV289" s="76"/>
      <c r="AW289" s="76"/>
      <c r="AX289" s="76"/>
      <c r="AY289" s="76"/>
      <c r="AZ289" s="76"/>
      <c r="BA289" s="76"/>
      <c r="BB289" s="76"/>
      <c r="BC289" s="76"/>
      <c r="BD289" s="76"/>
      <c r="BE289" s="76"/>
      <c r="BF289" s="76"/>
      <c r="BG289" s="76"/>
      <c r="BH289" s="76"/>
      <c r="BI289" s="76"/>
      <c r="BJ289" s="76"/>
      <c r="BK289" s="76"/>
      <c r="BL289" s="76"/>
      <c r="BM289" s="76"/>
      <c r="BN289" s="76"/>
      <c r="BO289" s="76"/>
    </row>
    <row r="290" customFormat="false" ht="15" hidden="false" customHeight="false" outlineLevel="0" collapsed="false">
      <c r="A290" s="73"/>
      <c r="B290" s="73"/>
      <c r="C290" s="73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4"/>
      <c r="S290" s="74"/>
      <c r="T290" s="74"/>
      <c r="U290" s="73"/>
      <c r="V290" s="73"/>
      <c r="W290" s="73"/>
      <c r="X290" s="73"/>
      <c r="Y290" s="75"/>
      <c r="Z290" s="73"/>
      <c r="AA290" s="73"/>
      <c r="AB290" s="73"/>
      <c r="AC290" s="73"/>
      <c r="AD290" s="73"/>
      <c r="AE290" s="73"/>
      <c r="AF290" s="76"/>
      <c r="AG290" s="76"/>
      <c r="AH290" s="76"/>
      <c r="AI290" s="76"/>
      <c r="AJ290" s="76"/>
      <c r="AK290" s="76"/>
      <c r="AL290" s="76"/>
      <c r="AM290" s="76"/>
      <c r="AN290" s="76"/>
      <c r="AO290" s="76"/>
      <c r="AP290" s="76"/>
      <c r="AQ290" s="76"/>
      <c r="AR290" s="76"/>
      <c r="AS290" s="76"/>
      <c r="AT290" s="76"/>
      <c r="AU290" s="76"/>
      <c r="AV290" s="76"/>
      <c r="AW290" s="76"/>
      <c r="AX290" s="76"/>
      <c r="AY290" s="76"/>
      <c r="AZ290" s="76"/>
      <c r="BA290" s="76"/>
      <c r="BB290" s="76"/>
      <c r="BC290" s="76"/>
      <c r="BD290" s="76"/>
      <c r="BE290" s="76"/>
      <c r="BF290" s="76"/>
      <c r="BG290" s="76"/>
      <c r="BH290" s="76"/>
      <c r="BI290" s="76"/>
      <c r="BJ290" s="76"/>
      <c r="BK290" s="76"/>
      <c r="BL290" s="76"/>
      <c r="BM290" s="76"/>
      <c r="BN290" s="76"/>
      <c r="BO290" s="76"/>
    </row>
    <row r="291" customFormat="false" ht="15" hidden="false" customHeight="false" outlineLevel="0" collapsed="false">
      <c r="A291" s="73"/>
      <c r="B291" s="73"/>
      <c r="C291" s="73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4"/>
      <c r="S291" s="74"/>
      <c r="T291" s="74"/>
      <c r="U291" s="73"/>
      <c r="V291" s="73"/>
      <c r="W291" s="73"/>
      <c r="X291" s="73"/>
      <c r="Y291" s="75"/>
      <c r="Z291" s="73"/>
      <c r="AA291" s="73"/>
      <c r="AB291" s="73"/>
      <c r="AC291" s="73"/>
      <c r="AD291" s="73"/>
      <c r="AE291" s="73"/>
      <c r="AF291" s="76"/>
      <c r="AG291" s="76"/>
      <c r="AH291" s="76"/>
      <c r="AI291" s="76"/>
      <c r="AJ291" s="76"/>
      <c r="AK291" s="76"/>
      <c r="AL291" s="76"/>
      <c r="AM291" s="76"/>
      <c r="AN291" s="76"/>
      <c r="AO291" s="76"/>
      <c r="AP291" s="76"/>
      <c r="AQ291" s="76"/>
      <c r="AR291" s="76"/>
      <c r="AS291" s="76"/>
      <c r="AT291" s="76"/>
      <c r="AU291" s="76"/>
      <c r="AV291" s="76"/>
      <c r="AW291" s="76"/>
      <c r="AX291" s="76"/>
      <c r="AY291" s="76"/>
      <c r="AZ291" s="76"/>
      <c r="BA291" s="76"/>
      <c r="BB291" s="76"/>
      <c r="BC291" s="76"/>
      <c r="BD291" s="76"/>
      <c r="BE291" s="76"/>
      <c r="BF291" s="76"/>
      <c r="BG291" s="76"/>
      <c r="BH291" s="76"/>
      <c r="BI291" s="76"/>
      <c r="BJ291" s="76"/>
      <c r="BK291" s="76"/>
      <c r="BL291" s="76"/>
      <c r="BM291" s="76"/>
      <c r="BN291" s="76"/>
      <c r="BO291" s="76"/>
    </row>
    <row r="292" customFormat="false" ht="15" hidden="false" customHeight="false" outlineLevel="0" collapsed="false">
      <c r="A292" s="73"/>
      <c r="B292" s="73"/>
      <c r="C292" s="73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4"/>
      <c r="S292" s="74"/>
      <c r="T292" s="74"/>
      <c r="U292" s="73"/>
      <c r="V292" s="73"/>
      <c r="W292" s="73"/>
      <c r="X292" s="73"/>
      <c r="Y292" s="75"/>
      <c r="Z292" s="73"/>
      <c r="AA292" s="73"/>
      <c r="AB292" s="73"/>
      <c r="AC292" s="73"/>
      <c r="AD292" s="73"/>
      <c r="AE292" s="73"/>
      <c r="AF292" s="76"/>
      <c r="AG292" s="76"/>
      <c r="AH292" s="76"/>
      <c r="AI292" s="76"/>
      <c r="AJ292" s="76"/>
      <c r="AK292" s="76"/>
      <c r="AL292" s="76"/>
      <c r="AM292" s="76"/>
      <c r="AN292" s="76"/>
      <c r="AO292" s="76"/>
      <c r="AP292" s="76"/>
      <c r="AQ292" s="76"/>
      <c r="AR292" s="76"/>
      <c r="AS292" s="76"/>
      <c r="AT292" s="76"/>
      <c r="AU292" s="76"/>
      <c r="AV292" s="76"/>
      <c r="AW292" s="76"/>
      <c r="AX292" s="76"/>
      <c r="AY292" s="76"/>
      <c r="AZ292" s="76"/>
      <c r="BA292" s="76"/>
      <c r="BB292" s="76"/>
      <c r="BC292" s="76"/>
      <c r="BD292" s="76"/>
      <c r="BE292" s="76"/>
      <c r="BF292" s="76"/>
      <c r="BG292" s="76"/>
      <c r="BH292" s="76"/>
      <c r="BI292" s="76"/>
      <c r="BJ292" s="76"/>
      <c r="BK292" s="76"/>
      <c r="BL292" s="76"/>
      <c r="BM292" s="76"/>
      <c r="BN292" s="76"/>
      <c r="BO292" s="76"/>
    </row>
    <row r="293" customFormat="false" ht="15" hidden="false" customHeight="false" outlineLevel="0" collapsed="false">
      <c r="A293" s="73"/>
      <c r="B293" s="73"/>
      <c r="C293" s="73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4"/>
      <c r="S293" s="74"/>
      <c r="T293" s="74"/>
      <c r="U293" s="73"/>
      <c r="V293" s="73"/>
      <c r="W293" s="73"/>
      <c r="X293" s="73"/>
      <c r="Y293" s="75"/>
      <c r="Z293" s="73"/>
      <c r="AA293" s="73"/>
      <c r="AB293" s="73"/>
      <c r="AC293" s="73"/>
      <c r="AD293" s="73"/>
      <c r="AE293" s="73"/>
      <c r="AF293" s="76"/>
      <c r="AG293" s="76"/>
      <c r="AH293" s="76"/>
      <c r="AI293" s="76"/>
      <c r="AJ293" s="76"/>
      <c r="AK293" s="76"/>
      <c r="AL293" s="76"/>
      <c r="AM293" s="76"/>
      <c r="AN293" s="76"/>
      <c r="AO293" s="76"/>
      <c r="AP293" s="76"/>
      <c r="AQ293" s="76"/>
      <c r="AR293" s="76"/>
      <c r="AS293" s="76"/>
      <c r="AT293" s="76"/>
      <c r="AU293" s="76"/>
      <c r="AV293" s="76"/>
      <c r="AW293" s="76"/>
      <c r="AX293" s="76"/>
      <c r="AY293" s="76"/>
      <c r="AZ293" s="76"/>
      <c r="BA293" s="76"/>
      <c r="BB293" s="76"/>
      <c r="BC293" s="76"/>
      <c r="BD293" s="76"/>
      <c r="BE293" s="76"/>
      <c r="BF293" s="76"/>
      <c r="BG293" s="76"/>
      <c r="BH293" s="76"/>
      <c r="BI293" s="76"/>
      <c r="BJ293" s="76"/>
      <c r="BK293" s="76"/>
      <c r="BL293" s="76"/>
      <c r="BM293" s="76"/>
      <c r="BN293" s="76"/>
      <c r="BO293" s="76"/>
    </row>
    <row r="294" customFormat="false" ht="15" hidden="false" customHeight="false" outlineLevel="0" collapsed="false">
      <c r="A294" s="73"/>
      <c r="B294" s="73"/>
      <c r="C294" s="73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4"/>
      <c r="S294" s="74"/>
      <c r="T294" s="74"/>
      <c r="U294" s="73"/>
      <c r="V294" s="73"/>
      <c r="W294" s="73"/>
      <c r="X294" s="73"/>
      <c r="Y294" s="75"/>
      <c r="Z294" s="73"/>
      <c r="AA294" s="73"/>
      <c r="AB294" s="73"/>
      <c r="AC294" s="73"/>
      <c r="AD294" s="73"/>
      <c r="AE294" s="73"/>
      <c r="AF294" s="76"/>
      <c r="AG294" s="76"/>
      <c r="AH294" s="76"/>
      <c r="AI294" s="76"/>
      <c r="AJ294" s="76"/>
      <c r="AK294" s="76"/>
      <c r="AL294" s="76"/>
      <c r="AM294" s="76"/>
      <c r="AN294" s="76"/>
      <c r="AO294" s="76"/>
      <c r="AP294" s="76"/>
      <c r="AQ294" s="76"/>
      <c r="AR294" s="76"/>
      <c r="AS294" s="76"/>
      <c r="AT294" s="76"/>
      <c r="AU294" s="76"/>
      <c r="AV294" s="76"/>
      <c r="AW294" s="76"/>
      <c r="AX294" s="76"/>
      <c r="AY294" s="76"/>
      <c r="AZ294" s="76"/>
      <c r="BA294" s="76"/>
      <c r="BB294" s="76"/>
      <c r="BC294" s="76"/>
      <c r="BD294" s="76"/>
      <c r="BE294" s="76"/>
      <c r="BF294" s="76"/>
      <c r="BG294" s="76"/>
      <c r="BH294" s="76"/>
      <c r="BI294" s="76"/>
      <c r="BJ294" s="76"/>
      <c r="BK294" s="76"/>
      <c r="BL294" s="76"/>
      <c r="BM294" s="76"/>
      <c r="BN294" s="76"/>
      <c r="BO294" s="76"/>
    </row>
    <row r="295" customFormat="false" ht="15" hidden="false" customHeight="false" outlineLevel="0" collapsed="false">
      <c r="A295" s="73"/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4"/>
      <c r="S295" s="74"/>
      <c r="T295" s="74"/>
      <c r="U295" s="73"/>
      <c r="V295" s="73"/>
      <c r="W295" s="73"/>
      <c r="X295" s="73"/>
      <c r="Y295" s="75"/>
      <c r="Z295" s="73"/>
      <c r="AA295" s="73"/>
      <c r="AB295" s="73"/>
      <c r="AC295" s="73"/>
      <c r="AD295" s="73"/>
      <c r="AE295" s="73"/>
      <c r="AF295" s="76"/>
      <c r="AG295" s="76"/>
      <c r="AH295" s="76"/>
      <c r="AI295" s="76"/>
      <c r="AJ295" s="76"/>
      <c r="AK295" s="76"/>
      <c r="AL295" s="76"/>
      <c r="AM295" s="76"/>
      <c r="AN295" s="76"/>
      <c r="AO295" s="76"/>
      <c r="AP295" s="76"/>
      <c r="AQ295" s="76"/>
      <c r="AR295" s="76"/>
      <c r="AS295" s="76"/>
      <c r="AT295" s="76"/>
      <c r="AU295" s="76"/>
      <c r="AV295" s="76"/>
      <c r="AW295" s="76"/>
      <c r="AX295" s="76"/>
      <c r="AY295" s="76"/>
      <c r="AZ295" s="76"/>
      <c r="BA295" s="76"/>
      <c r="BB295" s="76"/>
      <c r="BC295" s="76"/>
      <c r="BD295" s="76"/>
      <c r="BE295" s="76"/>
      <c r="BF295" s="76"/>
      <c r="BG295" s="76"/>
      <c r="BH295" s="76"/>
      <c r="BI295" s="76"/>
      <c r="BJ295" s="76"/>
      <c r="BK295" s="76"/>
      <c r="BL295" s="76"/>
      <c r="BM295" s="76"/>
      <c r="BN295" s="76"/>
      <c r="BO295" s="76"/>
    </row>
    <row r="296" customFormat="false" ht="15" hidden="false" customHeight="false" outlineLevel="0" collapsed="false">
      <c r="A296" s="73"/>
      <c r="B296" s="73"/>
      <c r="C296" s="73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4"/>
      <c r="S296" s="74"/>
      <c r="T296" s="74"/>
      <c r="U296" s="73"/>
      <c r="V296" s="73"/>
      <c r="W296" s="73"/>
      <c r="X296" s="73"/>
      <c r="Y296" s="75"/>
      <c r="Z296" s="73"/>
      <c r="AA296" s="73"/>
      <c r="AB296" s="73"/>
      <c r="AC296" s="73"/>
      <c r="AD296" s="73"/>
      <c r="AE296" s="73"/>
      <c r="AF296" s="76"/>
      <c r="AG296" s="76"/>
      <c r="AH296" s="76"/>
      <c r="AI296" s="76"/>
      <c r="AJ296" s="76"/>
      <c r="AK296" s="76"/>
      <c r="AL296" s="76"/>
      <c r="AM296" s="76"/>
      <c r="AN296" s="76"/>
      <c r="AO296" s="76"/>
      <c r="AP296" s="76"/>
      <c r="AQ296" s="76"/>
      <c r="AR296" s="76"/>
      <c r="AS296" s="76"/>
      <c r="AT296" s="76"/>
      <c r="AU296" s="76"/>
      <c r="AV296" s="76"/>
      <c r="AW296" s="76"/>
      <c r="AX296" s="76"/>
      <c r="AY296" s="76"/>
      <c r="AZ296" s="76"/>
      <c r="BA296" s="76"/>
      <c r="BB296" s="76"/>
      <c r="BC296" s="76"/>
      <c r="BD296" s="76"/>
      <c r="BE296" s="76"/>
      <c r="BF296" s="76"/>
      <c r="BG296" s="76"/>
      <c r="BH296" s="76"/>
      <c r="BI296" s="76"/>
      <c r="BJ296" s="76"/>
      <c r="BK296" s="76"/>
      <c r="BL296" s="76"/>
      <c r="BM296" s="76"/>
      <c r="BN296" s="76"/>
      <c r="BO296" s="76"/>
    </row>
    <row r="297" customFormat="false" ht="15" hidden="false" customHeight="false" outlineLevel="0" collapsed="false">
      <c r="A297" s="73"/>
      <c r="B297" s="73"/>
      <c r="C297" s="73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4"/>
      <c r="S297" s="74"/>
      <c r="T297" s="74"/>
      <c r="U297" s="73"/>
      <c r="V297" s="73"/>
      <c r="W297" s="73"/>
      <c r="X297" s="73"/>
      <c r="Y297" s="75"/>
      <c r="Z297" s="73"/>
      <c r="AA297" s="73"/>
      <c r="AB297" s="73"/>
      <c r="AC297" s="73"/>
      <c r="AD297" s="73"/>
      <c r="AE297" s="73"/>
      <c r="AF297" s="76"/>
      <c r="AG297" s="76"/>
      <c r="AH297" s="76"/>
      <c r="AI297" s="76"/>
      <c r="AJ297" s="76"/>
      <c r="AK297" s="76"/>
      <c r="AL297" s="76"/>
      <c r="AM297" s="76"/>
      <c r="AN297" s="76"/>
      <c r="AO297" s="76"/>
      <c r="AP297" s="76"/>
      <c r="AQ297" s="76"/>
      <c r="AR297" s="76"/>
      <c r="AS297" s="76"/>
      <c r="AT297" s="76"/>
      <c r="AU297" s="76"/>
      <c r="AV297" s="76"/>
      <c r="AW297" s="76"/>
      <c r="AX297" s="76"/>
      <c r="AY297" s="76"/>
      <c r="AZ297" s="76"/>
      <c r="BA297" s="76"/>
      <c r="BB297" s="76"/>
      <c r="BC297" s="76"/>
      <c r="BD297" s="76"/>
      <c r="BE297" s="76"/>
      <c r="BF297" s="76"/>
      <c r="BG297" s="76"/>
      <c r="BH297" s="76"/>
      <c r="BI297" s="76"/>
      <c r="BJ297" s="76"/>
      <c r="BK297" s="76"/>
      <c r="BL297" s="76"/>
      <c r="BM297" s="76"/>
      <c r="BN297" s="76"/>
      <c r="BO297" s="76"/>
    </row>
    <row r="298" customFormat="false" ht="15" hidden="false" customHeight="false" outlineLevel="0" collapsed="false">
      <c r="A298" s="73"/>
      <c r="B298" s="73"/>
      <c r="C298" s="73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4"/>
      <c r="S298" s="74"/>
      <c r="T298" s="74"/>
      <c r="U298" s="73"/>
      <c r="V298" s="73"/>
      <c r="W298" s="73"/>
      <c r="X298" s="73"/>
      <c r="Y298" s="75"/>
      <c r="Z298" s="73"/>
      <c r="AA298" s="73"/>
      <c r="AB298" s="73"/>
      <c r="AC298" s="73"/>
      <c r="AD298" s="73"/>
      <c r="AE298" s="73"/>
      <c r="AF298" s="76"/>
      <c r="AG298" s="76"/>
      <c r="AH298" s="76"/>
      <c r="AI298" s="76"/>
      <c r="AJ298" s="76"/>
      <c r="AK298" s="76"/>
      <c r="AL298" s="76"/>
      <c r="AM298" s="76"/>
      <c r="AN298" s="76"/>
      <c r="AO298" s="76"/>
      <c r="AP298" s="76"/>
      <c r="AQ298" s="76"/>
      <c r="AR298" s="76"/>
      <c r="AS298" s="76"/>
      <c r="AT298" s="76"/>
      <c r="AU298" s="76"/>
      <c r="AV298" s="76"/>
      <c r="AW298" s="76"/>
      <c r="AX298" s="76"/>
      <c r="AY298" s="76"/>
      <c r="AZ298" s="76"/>
      <c r="BA298" s="76"/>
      <c r="BB298" s="76"/>
      <c r="BC298" s="76"/>
      <c r="BD298" s="76"/>
      <c r="BE298" s="76"/>
      <c r="BF298" s="76"/>
      <c r="BG298" s="76"/>
      <c r="BH298" s="76"/>
      <c r="BI298" s="76"/>
      <c r="BJ298" s="76"/>
      <c r="BK298" s="76"/>
      <c r="BL298" s="76"/>
      <c r="BM298" s="76"/>
      <c r="BN298" s="76"/>
      <c r="BO298" s="76"/>
    </row>
    <row r="299" customFormat="false" ht="15" hidden="false" customHeight="false" outlineLevel="0" collapsed="false">
      <c r="A299" s="73"/>
      <c r="B299" s="73"/>
      <c r="C299" s="7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4"/>
      <c r="S299" s="74"/>
      <c r="T299" s="74"/>
      <c r="U299" s="73"/>
      <c r="V299" s="73"/>
      <c r="W299" s="73"/>
      <c r="X299" s="73"/>
      <c r="Y299" s="75"/>
      <c r="Z299" s="73"/>
      <c r="AA299" s="73"/>
      <c r="AB299" s="73"/>
      <c r="AC299" s="73"/>
      <c r="AD299" s="73"/>
      <c r="AE299" s="73"/>
      <c r="AF299" s="76"/>
      <c r="AG299" s="76"/>
      <c r="AH299" s="76"/>
      <c r="AI299" s="76"/>
      <c r="AJ299" s="76"/>
      <c r="AK299" s="76"/>
      <c r="AL299" s="76"/>
      <c r="AM299" s="76"/>
      <c r="AN299" s="76"/>
      <c r="AO299" s="76"/>
      <c r="AP299" s="76"/>
      <c r="AQ299" s="76"/>
      <c r="AR299" s="76"/>
      <c r="AS299" s="76"/>
      <c r="AT299" s="76"/>
      <c r="AU299" s="76"/>
      <c r="AV299" s="76"/>
      <c r="AW299" s="76"/>
      <c r="AX299" s="76"/>
      <c r="AY299" s="76"/>
      <c r="AZ299" s="76"/>
      <c r="BA299" s="76"/>
      <c r="BB299" s="76"/>
      <c r="BC299" s="76"/>
      <c r="BD299" s="76"/>
      <c r="BE299" s="76"/>
      <c r="BF299" s="76"/>
      <c r="BG299" s="76"/>
      <c r="BH299" s="76"/>
      <c r="BI299" s="76"/>
      <c r="BJ299" s="76"/>
      <c r="BK299" s="76"/>
      <c r="BL299" s="76"/>
      <c r="BM299" s="76"/>
      <c r="BN299" s="76"/>
      <c r="BO299" s="76"/>
    </row>
    <row r="300" customFormat="false" ht="15" hidden="false" customHeight="false" outlineLevel="0" collapsed="false">
      <c r="A300" s="73"/>
      <c r="B300" s="73"/>
      <c r="C300" s="73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4"/>
      <c r="S300" s="74"/>
      <c r="T300" s="74"/>
      <c r="U300" s="73"/>
      <c r="V300" s="73"/>
      <c r="W300" s="73"/>
      <c r="X300" s="73"/>
      <c r="Y300" s="75"/>
      <c r="Z300" s="73"/>
      <c r="AA300" s="73"/>
      <c r="AB300" s="73"/>
      <c r="AC300" s="73"/>
      <c r="AD300" s="73"/>
      <c r="AE300" s="73"/>
      <c r="AF300" s="76"/>
      <c r="AG300" s="76"/>
      <c r="AH300" s="76"/>
      <c r="AI300" s="76"/>
      <c r="AJ300" s="76"/>
      <c r="AK300" s="76"/>
      <c r="AL300" s="76"/>
      <c r="AM300" s="76"/>
      <c r="AN300" s="76"/>
      <c r="AO300" s="76"/>
      <c r="AP300" s="76"/>
      <c r="AQ300" s="76"/>
      <c r="AR300" s="76"/>
      <c r="AS300" s="76"/>
      <c r="AT300" s="76"/>
      <c r="AU300" s="76"/>
      <c r="AV300" s="76"/>
      <c r="AW300" s="76"/>
      <c r="AX300" s="76"/>
      <c r="AY300" s="76"/>
      <c r="AZ300" s="76"/>
      <c r="BA300" s="76"/>
      <c r="BB300" s="76"/>
      <c r="BC300" s="76"/>
      <c r="BD300" s="76"/>
      <c r="BE300" s="76"/>
      <c r="BF300" s="76"/>
      <c r="BG300" s="76"/>
      <c r="BH300" s="76"/>
      <c r="BI300" s="76"/>
      <c r="BJ300" s="76"/>
      <c r="BK300" s="76"/>
      <c r="BL300" s="76"/>
      <c r="BM300" s="76"/>
      <c r="BN300" s="76"/>
      <c r="BO300" s="76"/>
    </row>
    <row r="301" customFormat="false" ht="15" hidden="false" customHeight="false" outlineLevel="0" collapsed="false">
      <c r="A301" s="73"/>
      <c r="B301" s="73"/>
      <c r="C301" s="73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4"/>
      <c r="S301" s="74"/>
      <c r="T301" s="74"/>
      <c r="U301" s="73"/>
      <c r="V301" s="73"/>
      <c r="W301" s="73"/>
      <c r="X301" s="73"/>
      <c r="Y301" s="75"/>
      <c r="Z301" s="73"/>
      <c r="AA301" s="73"/>
      <c r="AB301" s="73"/>
      <c r="AC301" s="73"/>
      <c r="AD301" s="73"/>
      <c r="AE301" s="73"/>
      <c r="AF301" s="76"/>
      <c r="AG301" s="76"/>
      <c r="AH301" s="76"/>
      <c r="AI301" s="76"/>
      <c r="AJ301" s="76"/>
      <c r="AK301" s="76"/>
      <c r="AL301" s="76"/>
      <c r="AM301" s="76"/>
      <c r="AN301" s="76"/>
      <c r="AO301" s="76"/>
      <c r="AP301" s="76"/>
      <c r="AQ301" s="76"/>
      <c r="AR301" s="76"/>
      <c r="AS301" s="76"/>
      <c r="AT301" s="76"/>
      <c r="AU301" s="76"/>
      <c r="AV301" s="76"/>
      <c r="AW301" s="76"/>
      <c r="AX301" s="76"/>
      <c r="AY301" s="76"/>
      <c r="AZ301" s="76"/>
      <c r="BA301" s="76"/>
      <c r="BB301" s="76"/>
      <c r="BC301" s="76"/>
      <c r="BD301" s="76"/>
      <c r="BE301" s="76"/>
      <c r="BF301" s="76"/>
      <c r="BG301" s="76"/>
      <c r="BH301" s="76"/>
      <c r="BI301" s="76"/>
      <c r="BJ301" s="76"/>
      <c r="BK301" s="76"/>
      <c r="BL301" s="76"/>
      <c r="BM301" s="76"/>
      <c r="BN301" s="76"/>
      <c r="BO301" s="76"/>
    </row>
    <row r="302" customFormat="false" ht="15" hidden="false" customHeight="false" outlineLevel="0" collapsed="false">
      <c r="A302" s="73"/>
      <c r="B302" s="73"/>
      <c r="C302" s="73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4"/>
      <c r="S302" s="74"/>
      <c r="T302" s="74"/>
      <c r="U302" s="73"/>
      <c r="V302" s="73"/>
      <c r="W302" s="73"/>
      <c r="X302" s="73"/>
      <c r="Y302" s="75"/>
      <c r="Z302" s="73"/>
      <c r="AA302" s="73"/>
      <c r="AB302" s="73"/>
      <c r="AC302" s="73"/>
      <c r="AD302" s="73"/>
      <c r="AE302" s="73"/>
      <c r="AF302" s="76"/>
      <c r="AG302" s="76"/>
      <c r="AH302" s="76"/>
      <c r="AI302" s="76"/>
      <c r="AJ302" s="76"/>
      <c r="AK302" s="76"/>
      <c r="AL302" s="76"/>
      <c r="AM302" s="76"/>
      <c r="AN302" s="76"/>
      <c r="AO302" s="76"/>
      <c r="AP302" s="76"/>
      <c r="AQ302" s="76"/>
      <c r="AR302" s="76"/>
      <c r="AS302" s="76"/>
      <c r="AT302" s="76"/>
      <c r="AU302" s="76"/>
      <c r="AV302" s="76"/>
      <c r="AW302" s="76"/>
      <c r="AX302" s="76"/>
      <c r="AY302" s="76"/>
      <c r="AZ302" s="76"/>
      <c r="BA302" s="76"/>
      <c r="BB302" s="76"/>
      <c r="BC302" s="76"/>
      <c r="BD302" s="76"/>
      <c r="BE302" s="76"/>
      <c r="BF302" s="76"/>
      <c r="BG302" s="76"/>
      <c r="BH302" s="76"/>
      <c r="BI302" s="76"/>
      <c r="BJ302" s="76"/>
      <c r="BK302" s="76"/>
      <c r="BL302" s="76"/>
      <c r="BM302" s="76"/>
      <c r="BN302" s="76"/>
      <c r="BO302" s="76"/>
    </row>
    <row r="303" customFormat="false" ht="15" hidden="false" customHeight="false" outlineLevel="0" collapsed="false">
      <c r="A303" s="73"/>
      <c r="B303" s="73"/>
      <c r="C303" s="73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4"/>
      <c r="S303" s="74"/>
      <c r="T303" s="74"/>
      <c r="U303" s="73"/>
      <c r="V303" s="73"/>
      <c r="W303" s="73"/>
      <c r="X303" s="73"/>
      <c r="Y303" s="75"/>
      <c r="Z303" s="73"/>
      <c r="AA303" s="73"/>
      <c r="AB303" s="73"/>
      <c r="AC303" s="73"/>
      <c r="AD303" s="73"/>
      <c r="AE303" s="73"/>
      <c r="AF303" s="76"/>
      <c r="AG303" s="76"/>
      <c r="AH303" s="76"/>
      <c r="AI303" s="76"/>
      <c r="AJ303" s="76"/>
      <c r="AK303" s="76"/>
      <c r="AL303" s="76"/>
      <c r="AM303" s="76"/>
      <c r="AN303" s="76"/>
      <c r="AO303" s="76"/>
      <c r="AP303" s="76"/>
      <c r="AQ303" s="76"/>
      <c r="AR303" s="76"/>
      <c r="AS303" s="76"/>
      <c r="AT303" s="76"/>
      <c r="AU303" s="76"/>
      <c r="AV303" s="76"/>
      <c r="AW303" s="76"/>
      <c r="AX303" s="76"/>
      <c r="AY303" s="76"/>
      <c r="AZ303" s="76"/>
      <c r="BA303" s="76"/>
      <c r="BB303" s="76"/>
      <c r="BC303" s="76"/>
      <c r="BD303" s="76"/>
      <c r="BE303" s="76"/>
      <c r="BF303" s="76"/>
      <c r="BG303" s="76"/>
      <c r="BH303" s="76"/>
      <c r="BI303" s="76"/>
      <c r="BJ303" s="76"/>
      <c r="BK303" s="76"/>
      <c r="BL303" s="76"/>
      <c r="BM303" s="76"/>
      <c r="BN303" s="76"/>
      <c r="BO303" s="76"/>
    </row>
    <row r="304" customFormat="false" ht="15" hidden="false" customHeight="false" outlineLevel="0" collapsed="false">
      <c r="A304" s="73"/>
      <c r="B304" s="73"/>
      <c r="C304" s="7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4"/>
      <c r="S304" s="74"/>
      <c r="T304" s="74"/>
      <c r="U304" s="73"/>
      <c r="V304" s="73"/>
      <c r="W304" s="73"/>
      <c r="X304" s="73"/>
      <c r="Y304" s="75"/>
      <c r="Z304" s="73"/>
      <c r="AA304" s="73"/>
      <c r="AB304" s="73"/>
      <c r="AC304" s="73"/>
      <c r="AD304" s="73"/>
      <c r="AE304" s="73"/>
      <c r="AF304" s="76"/>
      <c r="AG304" s="76"/>
      <c r="AH304" s="76"/>
      <c r="AI304" s="76"/>
      <c r="AJ304" s="76"/>
      <c r="AK304" s="76"/>
      <c r="AL304" s="76"/>
      <c r="AM304" s="76"/>
      <c r="AN304" s="76"/>
      <c r="AO304" s="76"/>
      <c r="AP304" s="76"/>
      <c r="AQ304" s="76"/>
      <c r="AR304" s="76"/>
      <c r="AS304" s="76"/>
      <c r="AT304" s="76"/>
      <c r="AU304" s="76"/>
      <c r="AV304" s="76"/>
      <c r="AW304" s="76"/>
      <c r="AX304" s="76"/>
      <c r="AY304" s="76"/>
      <c r="AZ304" s="76"/>
      <c r="BA304" s="76"/>
      <c r="BB304" s="76"/>
      <c r="BC304" s="76"/>
      <c r="BD304" s="76"/>
      <c r="BE304" s="76"/>
      <c r="BF304" s="76"/>
      <c r="BG304" s="76"/>
      <c r="BH304" s="76"/>
      <c r="BI304" s="76"/>
      <c r="BJ304" s="76"/>
      <c r="BK304" s="76"/>
      <c r="BL304" s="76"/>
      <c r="BM304" s="76"/>
      <c r="BN304" s="76"/>
      <c r="BO304" s="76"/>
    </row>
    <row r="305" customFormat="false" ht="15" hidden="false" customHeight="false" outlineLevel="0" collapsed="false">
      <c r="A305" s="73"/>
      <c r="B305" s="73"/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4"/>
      <c r="S305" s="74"/>
      <c r="T305" s="74"/>
      <c r="U305" s="73"/>
      <c r="V305" s="73"/>
      <c r="W305" s="73"/>
      <c r="X305" s="73"/>
      <c r="Y305" s="75"/>
      <c r="Z305" s="73"/>
      <c r="AA305" s="73"/>
      <c r="AB305" s="73"/>
      <c r="AC305" s="73"/>
      <c r="AD305" s="73"/>
      <c r="AE305" s="73"/>
      <c r="AF305" s="76"/>
      <c r="AG305" s="76"/>
      <c r="AH305" s="76"/>
      <c r="AI305" s="76"/>
      <c r="AJ305" s="76"/>
      <c r="AK305" s="76"/>
      <c r="AL305" s="76"/>
      <c r="AM305" s="76"/>
      <c r="AN305" s="76"/>
      <c r="AO305" s="76"/>
      <c r="AP305" s="76"/>
      <c r="AQ305" s="76"/>
      <c r="AR305" s="76"/>
      <c r="AS305" s="76"/>
      <c r="AT305" s="76"/>
      <c r="AU305" s="76"/>
      <c r="AV305" s="76"/>
      <c r="AW305" s="76"/>
      <c r="AX305" s="76"/>
      <c r="AY305" s="76"/>
      <c r="AZ305" s="76"/>
      <c r="BA305" s="76"/>
      <c r="BB305" s="76"/>
      <c r="BC305" s="76"/>
      <c r="BD305" s="76"/>
      <c r="BE305" s="76"/>
      <c r="BF305" s="76"/>
      <c r="BG305" s="76"/>
      <c r="BH305" s="76"/>
      <c r="BI305" s="76"/>
      <c r="BJ305" s="76"/>
      <c r="BK305" s="76"/>
      <c r="BL305" s="76"/>
      <c r="BM305" s="76"/>
      <c r="BN305" s="76"/>
      <c r="BO305" s="76"/>
    </row>
    <row r="306" customFormat="false" ht="15" hidden="false" customHeight="false" outlineLevel="0" collapsed="false">
      <c r="A306" s="73"/>
      <c r="B306" s="73"/>
      <c r="C306" s="73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4"/>
      <c r="S306" s="74"/>
      <c r="T306" s="74"/>
      <c r="U306" s="73"/>
      <c r="V306" s="73"/>
      <c r="W306" s="73"/>
      <c r="X306" s="73"/>
      <c r="Y306" s="75"/>
      <c r="Z306" s="73"/>
      <c r="AA306" s="73"/>
      <c r="AB306" s="73"/>
      <c r="AC306" s="73"/>
      <c r="AD306" s="73"/>
      <c r="AE306" s="73"/>
      <c r="AF306" s="76"/>
      <c r="AG306" s="76"/>
      <c r="AH306" s="76"/>
      <c r="AI306" s="76"/>
      <c r="AJ306" s="76"/>
      <c r="AK306" s="76"/>
      <c r="AL306" s="76"/>
      <c r="AM306" s="76"/>
      <c r="AN306" s="76"/>
      <c r="AO306" s="76"/>
      <c r="AP306" s="76"/>
      <c r="AQ306" s="76"/>
      <c r="AR306" s="76"/>
      <c r="AS306" s="76"/>
      <c r="AT306" s="76"/>
      <c r="AU306" s="76"/>
      <c r="AV306" s="76"/>
      <c r="AW306" s="76"/>
      <c r="AX306" s="76"/>
      <c r="AY306" s="76"/>
      <c r="AZ306" s="76"/>
      <c r="BA306" s="76"/>
      <c r="BB306" s="76"/>
      <c r="BC306" s="76"/>
      <c r="BD306" s="76"/>
      <c r="BE306" s="76"/>
      <c r="BF306" s="76"/>
      <c r="BG306" s="76"/>
      <c r="BH306" s="76"/>
      <c r="BI306" s="76"/>
      <c r="BJ306" s="76"/>
      <c r="BK306" s="76"/>
      <c r="BL306" s="76"/>
      <c r="BM306" s="76"/>
      <c r="BN306" s="76"/>
      <c r="BO306" s="76"/>
    </row>
    <row r="307" customFormat="false" ht="15" hidden="false" customHeight="false" outlineLevel="0" collapsed="false">
      <c r="A307" s="73"/>
      <c r="B307" s="73"/>
      <c r="C307" s="7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4"/>
      <c r="S307" s="74"/>
      <c r="T307" s="74"/>
      <c r="U307" s="73"/>
      <c r="V307" s="73"/>
      <c r="W307" s="73"/>
      <c r="X307" s="73"/>
      <c r="Y307" s="75"/>
      <c r="Z307" s="73"/>
      <c r="AA307" s="73"/>
      <c r="AB307" s="73"/>
      <c r="AC307" s="73"/>
      <c r="AD307" s="73"/>
      <c r="AE307" s="73"/>
      <c r="AF307" s="76"/>
      <c r="AG307" s="76"/>
      <c r="AH307" s="76"/>
      <c r="AI307" s="76"/>
      <c r="AJ307" s="76"/>
      <c r="AK307" s="76"/>
      <c r="AL307" s="76"/>
      <c r="AM307" s="76"/>
      <c r="AN307" s="76"/>
      <c r="AO307" s="76"/>
      <c r="AP307" s="76"/>
      <c r="AQ307" s="76"/>
      <c r="AR307" s="76"/>
      <c r="AS307" s="76"/>
      <c r="AT307" s="76"/>
      <c r="AU307" s="76"/>
      <c r="AV307" s="76"/>
      <c r="AW307" s="76"/>
      <c r="AX307" s="76"/>
      <c r="AY307" s="76"/>
      <c r="AZ307" s="76"/>
      <c r="BA307" s="76"/>
      <c r="BB307" s="76"/>
      <c r="BC307" s="76"/>
      <c r="BD307" s="76"/>
      <c r="BE307" s="76"/>
      <c r="BF307" s="76"/>
      <c r="BG307" s="76"/>
      <c r="BH307" s="76"/>
      <c r="BI307" s="76"/>
      <c r="BJ307" s="76"/>
      <c r="BK307" s="76"/>
      <c r="BL307" s="76"/>
      <c r="BM307" s="76"/>
      <c r="BN307" s="76"/>
      <c r="BO307" s="76"/>
    </row>
    <row r="308" customFormat="false" ht="15" hidden="false" customHeight="false" outlineLevel="0" collapsed="false">
      <c r="A308" s="73"/>
      <c r="B308" s="73"/>
      <c r="C308" s="7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4"/>
      <c r="S308" s="74"/>
      <c r="T308" s="74"/>
      <c r="U308" s="73"/>
      <c r="V308" s="73"/>
      <c r="W308" s="73"/>
      <c r="X308" s="73"/>
      <c r="Y308" s="75"/>
      <c r="Z308" s="73"/>
      <c r="AA308" s="73"/>
      <c r="AB308" s="73"/>
      <c r="AC308" s="73"/>
      <c r="AD308" s="73"/>
      <c r="AE308" s="73"/>
      <c r="AF308" s="76"/>
      <c r="AG308" s="76"/>
      <c r="AH308" s="76"/>
      <c r="AI308" s="76"/>
      <c r="AJ308" s="76"/>
      <c r="AK308" s="76"/>
      <c r="AL308" s="76"/>
      <c r="AM308" s="76"/>
      <c r="AN308" s="76"/>
      <c r="AO308" s="76"/>
      <c r="AP308" s="76"/>
      <c r="AQ308" s="76"/>
      <c r="AR308" s="76"/>
      <c r="AS308" s="76"/>
      <c r="AT308" s="76"/>
      <c r="AU308" s="76"/>
      <c r="AV308" s="76"/>
      <c r="AW308" s="76"/>
      <c r="AX308" s="76"/>
      <c r="AY308" s="76"/>
      <c r="AZ308" s="76"/>
      <c r="BA308" s="76"/>
      <c r="BB308" s="76"/>
      <c r="BC308" s="76"/>
      <c r="BD308" s="76"/>
      <c r="BE308" s="76"/>
      <c r="BF308" s="76"/>
      <c r="BG308" s="76"/>
      <c r="BH308" s="76"/>
      <c r="BI308" s="76"/>
      <c r="BJ308" s="76"/>
      <c r="BK308" s="76"/>
      <c r="BL308" s="76"/>
      <c r="BM308" s="76"/>
      <c r="BN308" s="76"/>
      <c r="BO308" s="76"/>
    </row>
    <row r="309" customFormat="false" ht="15" hidden="false" customHeight="false" outlineLevel="0" collapsed="false">
      <c r="A309" s="73"/>
      <c r="B309" s="73"/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4"/>
      <c r="S309" s="74"/>
      <c r="T309" s="74"/>
      <c r="U309" s="73"/>
      <c r="V309" s="73"/>
      <c r="W309" s="73"/>
      <c r="X309" s="73"/>
      <c r="Y309" s="75"/>
      <c r="Z309" s="73"/>
      <c r="AA309" s="73"/>
      <c r="AB309" s="73"/>
      <c r="AC309" s="73"/>
      <c r="AD309" s="73"/>
      <c r="AE309" s="73"/>
      <c r="AF309" s="76"/>
      <c r="AG309" s="76"/>
      <c r="AH309" s="76"/>
      <c r="AI309" s="76"/>
      <c r="AJ309" s="76"/>
      <c r="AK309" s="76"/>
      <c r="AL309" s="76"/>
      <c r="AM309" s="76"/>
      <c r="AN309" s="76"/>
      <c r="AO309" s="76"/>
      <c r="AP309" s="76"/>
      <c r="AQ309" s="76"/>
      <c r="AR309" s="76"/>
      <c r="AS309" s="76"/>
      <c r="AT309" s="76"/>
      <c r="AU309" s="76"/>
      <c r="AV309" s="76"/>
      <c r="AW309" s="76"/>
      <c r="AX309" s="76"/>
      <c r="AY309" s="76"/>
      <c r="AZ309" s="76"/>
      <c r="BA309" s="76"/>
      <c r="BB309" s="76"/>
      <c r="BC309" s="76"/>
      <c r="BD309" s="76"/>
      <c r="BE309" s="76"/>
      <c r="BF309" s="76"/>
      <c r="BG309" s="76"/>
      <c r="BH309" s="76"/>
      <c r="BI309" s="76"/>
      <c r="BJ309" s="76"/>
      <c r="BK309" s="76"/>
      <c r="BL309" s="76"/>
      <c r="BM309" s="76"/>
      <c r="BN309" s="76"/>
      <c r="BO309" s="76"/>
    </row>
    <row r="310" customFormat="false" ht="15" hidden="false" customHeight="false" outlineLevel="0" collapsed="false">
      <c r="A310" s="73"/>
      <c r="B310" s="73"/>
      <c r="C310" s="7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4"/>
      <c r="S310" s="74"/>
      <c r="T310" s="74"/>
      <c r="U310" s="73"/>
      <c r="V310" s="73"/>
      <c r="W310" s="73"/>
      <c r="X310" s="73"/>
      <c r="Y310" s="75"/>
      <c r="Z310" s="73"/>
      <c r="AA310" s="73"/>
      <c r="AB310" s="73"/>
      <c r="AC310" s="73"/>
      <c r="AD310" s="73"/>
      <c r="AE310" s="73"/>
      <c r="AF310" s="76"/>
      <c r="AG310" s="76"/>
      <c r="AH310" s="76"/>
      <c r="AI310" s="76"/>
      <c r="AJ310" s="76"/>
      <c r="AK310" s="76"/>
      <c r="AL310" s="76"/>
      <c r="AM310" s="76"/>
      <c r="AN310" s="76"/>
      <c r="AO310" s="76"/>
      <c r="AP310" s="76"/>
      <c r="AQ310" s="76"/>
      <c r="AR310" s="76"/>
      <c r="AS310" s="76"/>
      <c r="AT310" s="76"/>
      <c r="AU310" s="76"/>
      <c r="AV310" s="76"/>
      <c r="AW310" s="76"/>
      <c r="AX310" s="76"/>
      <c r="AY310" s="76"/>
      <c r="AZ310" s="76"/>
      <c r="BA310" s="76"/>
      <c r="BB310" s="76"/>
      <c r="BC310" s="76"/>
      <c r="BD310" s="76"/>
      <c r="BE310" s="76"/>
      <c r="BF310" s="76"/>
      <c r="BG310" s="76"/>
      <c r="BH310" s="76"/>
      <c r="BI310" s="76"/>
      <c r="BJ310" s="76"/>
      <c r="BK310" s="76"/>
      <c r="BL310" s="76"/>
      <c r="BM310" s="76"/>
      <c r="BN310" s="76"/>
      <c r="BO310" s="76"/>
    </row>
    <row r="311" customFormat="false" ht="15" hidden="false" customHeight="false" outlineLevel="0" collapsed="false">
      <c r="A311" s="73"/>
      <c r="B311" s="73"/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4"/>
      <c r="S311" s="74"/>
      <c r="T311" s="74"/>
      <c r="U311" s="73"/>
      <c r="V311" s="73"/>
      <c r="W311" s="73"/>
      <c r="X311" s="73"/>
      <c r="Y311" s="75"/>
      <c r="Z311" s="73"/>
      <c r="AA311" s="73"/>
      <c r="AB311" s="73"/>
      <c r="AC311" s="73"/>
      <c r="AD311" s="73"/>
      <c r="AE311" s="73"/>
      <c r="AF311" s="76"/>
      <c r="AG311" s="76"/>
      <c r="AH311" s="76"/>
      <c r="AI311" s="76"/>
      <c r="AJ311" s="76"/>
      <c r="AK311" s="76"/>
      <c r="AL311" s="76"/>
      <c r="AM311" s="76"/>
      <c r="AN311" s="76"/>
      <c r="AO311" s="76"/>
      <c r="AP311" s="76"/>
      <c r="AQ311" s="76"/>
      <c r="AR311" s="76"/>
      <c r="AS311" s="76"/>
      <c r="AT311" s="76"/>
      <c r="AU311" s="76"/>
      <c r="AV311" s="76"/>
      <c r="AW311" s="76"/>
      <c r="AX311" s="76"/>
      <c r="AY311" s="76"/>
      <c r="AZ311" s="76"/>
      <c r="BA311" s="76"/>
      <c r="BB311" s="76"/>
      <c r="BC311" s="76"/>
      <c r="BD311" s="76"/>
      <c r="BE311" s="76"/>
      <c r="BF311" s="76"/>
      <c r="BG311" s="76"/>
      <c r="BH311" s="76"/>
      <c r="BI311" s="76"/>
      <c r="BJ311" s="76"/>
      <c r="BK311" s="76"/>
      <c r="BL311" s="76"/>
      <c r="BM311" s="76"/>
      <c r="BN311" s="76"/>
      <c r="BO311" s="76"/>
    </row>
    <row r="312" customFormat="false" ht="15" hidden="false" customHeight="false" outlineLevel="0" collapsed="false">
      <c r="A312" s="7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4"/>
      <c r="S312" s="74"/>
      <c r="T312" s="74"/>
      <c r="U312" s="73"/>
      <c r="V312" s="73"/>
      <c r="W312" s="73"/>
      <c r="X312" s="73"/>
      <c r="Y312" s="75"/>
      <c r="Z312" s="73"/>
      <c r="AA312" s="73"/>
      <c r="AB312" s="73"/>
      <c r="AC312" s="73"/>
      <c r="AD312" s="73"/>
      <c r="AE312" s="73"/>
      <c r="AF312" s="76"/>
      <c r="AG312" s="76"/>
      <c r="AH312" s="76"/>
      <c r="AI312" s="76"/>
      <c r="AJ312" s="76"/>
      <c r="AK312" s="76"/>
      <c r="AL312" s="76"/>
      <c r="AM312" s="76"/>
      <c r="AN312" s="76"/>
      <c r="AO312" s="76"/>
      <c r="AP312" s="76"/>
      <c r="AQ312" s="76"/>
      <c r="AR312" s="76"/>
      <c r="AS312" s="76"/>
      <c r="AT312" s="76"/>
      <c r="AU312" s="76"/>
      <c r="AV312" s="76"/>
      <c r="AW312" s="76"/>
      <c r="AX312" s="76"/>
      <c r="AY312" s="76"/>
      <c r="AZ312" s="76"/>
      <c r="BA312" s="76"/>
      <c r="BB312" s="76"/>
      <c r="BC312" s="76"/>
      <c r="BD312" s="76"/>
      <c r="BE312" s="76"/>
      <c r="BF312" s="76"/>
      <c r="BG312" s="76"/>
      <c r="BH312" s="76"/>
      <c r="BI312" s="76"/>
      <c r="BJ312" s="76"/>
      <c r="BK312" s="76"/>
      <c r="BL312" s="76"/>
      <c r="BM312" s="76"/>
      <c r="BN312" s="76"/>
      <c r="BO312" s="76"/>
    </row>
    <row r="313" customFormat="false" ht="15" hidden="false" customHeight="false" outlineLevel="0" collapsed="false">
      <c r="A313" s="73"/>
      <c r="B313" s="73"/>
      <c r="C313" s="7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4"/>
      <c r="S313" s="74"/>
      <c r="T313" s="74"/>
      <c r="U313" s="73"/>
      <c r="V313" s="73"/>
      <c r="W313" s="73"/>
      <c r="X313" s="73"/>
      <c r="Y313" s="75"/>
      <c r="Z313" s="73"/>
      <c r="AA313" s="73"/>
      <c r="AB313" s="73"/>
      <c r="AC313" s="73"/>
      <c r="AD313" s="73"/>
      <c r="AE313" s="73"/>
      <c r="AF313" s="76"/>
      <c r="AG313" s="76"/>
      <c r="AH313" s="76"/>
      <c r="AI313" s="76"/>
      <c r="AJ313" s="76"/>
      <c r="AK313" s="76"/>
      <c r="AL313" s="76"/>
      <c r="AM313" s="76"/>
      <c r="AN313" s="76"/>
      <c r="AO313" s="76"/>
      <c r="AP313" s="76"/>
      <c r="AQ313" s="76"/>
      <c r="AR313" s="76"/>
      <c r="AS313" s="76"/>
      <c r="AT313" s="76"/>
      <c r="AU313" s="76"/>
      <c r="AV313" s="76"/>
      <c r="AW313" s="76"/>
      <c r="AX313" s="76"/>
      <c r="AY313" s="76"/>
      <c r="AZ313" s="76"/>
      <c r="BA313" s="76"/>
      <c r="BB313" s="76"/>
      <c r="BC313" s="76"/>
      <c r="BD313" s="76"/>
      <c r="BE313" s="76"/>
      <c r="BF313" s="76"/>
      <c r="BG313" s="76"/>
      <c r="BH313" s="76"/>
      <c r="BI313" s="76"/>
      <c r="BJ313" s="76"/>
      <c r="BK313" s="76"/>
      <c r="BL313" s="76"/>
      <c r="BM313" s="76"/>
      <c r="BN313" s="76"/>
      <c r="BO313" s="76"/>
    </row>
    <row r="314" customFormat="false" ht="15" hidden="false" customHeight="false" outlineLevel="0" collapsed="false">
      <c r="A314" s="73"/>
      <c r="B314" s="73"/>
      <c r="C314" s="7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4"/>
      <c r="S314" s="74"/>
      <c r="T314" s="74"/>
      <c r="U314" s="73"/>
      <c r="V314" s="73"/>
      <c r="W314" s="73"/>
      <c r="X314" s="73"/>
      <c r="Y314" s="75"/>
      <c r="Z314" s="73"/>
      <c r="AA314" s="73"/>
      <c r="AB314" s="73"/>
      <c r="AC314" s="73"/>
      <c r="AD314" s="73"/>
      <c r="AE314" s="73"/>
      <c r="AF314" s="76"/>
      <c r="AG314" s="76"/>
      <c r="AH314" s="76"/>
      <c r="AI314" s="76"/>
      <c r="AJ314" s="76"/>
      <c r="AK314" s="76"/>
      <c r="AL314" s="76"/>
      <c r="AM314" s="76"/>
      <c r="AN314" s="76"/>
      <c r="AO314" s="76"/>
      <c r="AP314" s="76"/>
      <c r="AQ314" s="76"/>
      <c r="AR314" s="76"/>
      <c r="AS314" s="76"/>
      <c r="AT314" s="76"/>
      <c r="AU314" s="76"/>
      <c r="AV314" s="76"/>
      <c r="AW314" s="76"/>
      <c r="AX314" s="76"/>
      <c r="AY314" s="76"/>
      <c r="AZ314" s="76"/>
      <c r="BA314" s="76"/>
      <c r="BB314" s="76"/>
      <c r="BC314" s="76"/>
      <c r="BD314" s="76"/>
      <c r="BE314" s="76"/>
      <c r="BF314" s="76"/>
      <c r="BG314" s="76"/>
      <c r="BH314" s="76"/>
      <c r="BI314" s="76"/>
      <c r="BJ314" s="76"/>
      <c r="BK314" s="76"/>
      <c r="BL314" s="76"/>
      <c r="BM314" s="76"/>
      <c r="BN314" s="76"/>
      <c r="BO314" s="76"/>
    </row>
    <row r="315" customFormat="false" ht="15" hidden="false" customHeight="false" outlineLevel="0" collapsed="false">
      <c r="A315" s="73"/>
      <c r="B315" s="73"/>
      <c r="C315" s="73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4"/>
      <c r="S315" s="74"/>
      <c r="T315" s="74"/>
      <c r="U315" s="73"/>
      <c r="V315" s="73"/>
      <c r="W315" s="73"/>
      <c r="X315" s="73"/>
      <c r="Y315" s="75"/>
      <c r="Z315" s="73"/>
      <c r="AA315" s="73"/>
      <c r="AB315" s="73"/>
      <c r="AC315" s="73"/>
      <c r="AD315" s="73"/>
      <c r="AE315" s="73"/>
      <c r="AF315" s="76"/>
      <c r="AG315" s="76"/>
      <c r="AH315" s="76"/>
      <c r="AI315" s="76"/>
      <c r="AJ315" s="76"/>
      <c r="AK315" s="76"/>
      <c r="AL315" s="76"/>
      <c r="AM315" s="76"/>
      <c r="AN315" s="76"/>
      <c r="AO315" s="76"/>
      <c r="AP315" s="76"/>
      <c r="AQ315" s="76"/>
      <c r="AR315" s="76"/>
      <c r="AS315" s="76"/>
      <c r="AT315" s="76"/>
      <c r="AU315" s="76"/>
      <c r="AV315" s="76"/>
      <c r="AW315" s="76"/>
      <c r="AX315" s="76"/>
      <c r="AY315" s="76"/>
      <c r="AZ315" s="76"/>
      <c r="BA315" s="76"/>
      <c r="BB315" s="76"/>
      <c r="BC315" s="76"/>
      <c r="BD315" s="76"/>
      <c r="BE315" s="76"/>
      <c r="BF315" s="76"/>
      <c r="BG315" s="76"/>
      <c r="BH315" s="76"/>
      <c r="BI315" s="76"/>
      <c r="BJ315" s="76"/>
      <c r="BK315" s="76"/>
      <c r="BL315" s="76"/>
      <c r="BM315" s="76"/>
      <c r="BN315" s="76"/>
      <c r="BO315" s="76"/>
    </row>
    <row r="316" customFormat="false" ht="15" hidden="false" customHeight="false" outlineLevel="0" collapsed="false">
      <c r="A316" s="73"/>
      <c r="B316" s="73"/>
      <c r="C316" s="73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4"/>
      <c r="S316" s="74"/>
      <c r="T316" s="74"/>
      <c r="U316" s="73"/>
      <c r="V316" s="73"/>
      <c r="W316" s="73"/>
      <c r="X316" s="73"/>
      <c r="Y316" s="75"/>
      <c r="Z316" s="73"/>
      <c r="AA316" s="73"/>
      <c r="AB316" s="73"/>
      <c r="AC316" s="73"/>
      <c r="AD316" s="73"/>
      <c r="AE316" s="73"/>
      <c r="AF316" s="76"/>
      <c r="AG316" s="76"/>
      <c r="AH316" s="76"/>
      <c r="AI316" s="76"/>
      <c r="AJ316" s="76"/>
      <c r="AK316" s="76"/>
      <c r="AL316" s="76"/>
      <c r="AM316" s="76"/>
      <c r="AN316" s="76"/>
      <c r="AO316" s="76"/>
      <c r="AP316" s="76"/>
      <c r="AQ316" s="76"/>
      <c r="AR316" s="76"/>
      <c r="AS316" s="76"/>
      <c r="AT316" s="76"/>
      <c r="AU316" s="76"/>
      <c r="AV316" s="76"/>
      <c r="AW316" s="76"/>
      <c r="AX316" s="76"/>
      <c r="AY316" s="76"/>
      <c r="AZ316" s="76"/>
      <c r="BA316" s="76"/>
      <c r="BB316" s="76"/>
      <c r="BC316" s="76"/>
      <c r="BD316" s="76"/>
      <c r="BE316" s="76"/>
      <c r="BF316" s="76"/>
      <c r="BG316" s="76"/>
      <c r="BH316" s="76"/>
      <c r="BI316" s="76"/>
      <c r="BJ316" s="76"/>
      <c r="BK316" s="76"/>
      <c r="BL316" s="76"/>
      <c r="BM316" s="76"/>
      <c r="BN316" s="76"/>
      <c r="BO316" s="76"/>
    </row>
    <row r="317" customFormat="false" ht="15" hidden="false" customHeight="false" outlineLevel="0" collapsed="false">
      <c r="A317" s="73"/>
      <c r="B317" s="73"/>
      <c r="C317" s="73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4"/>
      <c r="S317" s="74"/>
      <c r="T317" s="74"/>
      <c r="U317" s="73"/>
      <c r="V317" s="73"/>
      <c r="W317" s="73"/>
      <c r="X317" s="73"/>
      <c r="Y317" s="75"/>
      <c r="Z317" s="73"/>
      <c r="AA317" s="73"/>
      <c r="AB317" s="73"/>
      <c r="AC317" s="73"/>
      <c r="AD317" s="73"/>
      <c r="AE317" s="73"/>
      <c r="AF317" s="76"/>
      <c r="AG317" s="76"/>
      <c r="AH317" s="76"/>
      <c r="AI317" s="76"/>
      <c r="AJ317" s="76"/>
      <c r="AK317" s="76"/>
      <c r="AL317" s="76"/>
      <c r="AM317" s="76"/>
      <c r="AN317" s="76"/>
      <c r="AO317" s="76"/>
      <c r="AP317" s="76"/>
      <c r="AQ317" s="76"/>
      <c r="AR317" s="76"/>
      <c r="AS317" s="76"/>
      <c r="AT317" s="76"/>
      <c r="AU317" s="76"/>
      <c r="AV317" s="76"/>
      <c r="AW317" s="76"/>
      <c r="AX317" s="76"/>
      <c r="AY317" s="76"/>
      <c r="AZ317" s="76"/>
      <c r="BA317" s="76"/>
      <c r="BB317" s="76"/>
      <c r="BC317" s="76"/>
      <c r="BD317" s="76"/>
      <c r="BE317" s="76"/>
      <c r="BF317" s="76"/>
      <c r="BG317" s="76"/>
      <c r="BH317" s="76"/>
      <c r="BI317" s="76"/>
      <c r="BJ317" s="76"/>
      <c r="BK317" s="76"/>
      <c r="BL317" s="76"/>
      <c r="BM317" s="76"/>
      <c r="BN317" s="76"/>
      <c r="BO317" s="76"/>
    </row>
    <row r="318" customFormat="false" ht="15" hidden="false" customHeight="false" outlineLevel="0" collapsed="false">
      <c r="A318" s="73"/>
      <c r="B318" s="73"/>
      <c r="C318" s="73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4"/>
      <c r="S318" s="74"/>
      <c r="T318" s="74"/>
      <c r="U318" s="73"/>
      <c r="V318" s="73"/>
      <c r="W318" s="73"/>
      <c r="X318" s="73"/>
      <c r="Y318" s="75"/>
      <c r="Z318" s="73"/>
      <c r="AA318" s="73"/>
      <c r="AB318" s="73"/>
      <c r="AC318" s="73"/>
      <c r="AD318" s="73"/>
      <c r="AE318" s="73"/>
      <c r="AF318" s="76"/>
      <c r="AG318" s="76"/>
      <c r="AH318" s="76"/>
      <c r="AI318" s="76"/>
      <c r="AJ318" s="76"/>
      <c r="AK318" s="76"/>
      <c r="AL318" s="76"/>
      <c r="AM318" s="76"/>
      <c r="AN318" s="76"/>
      <c r="AO318" s="76"/>
      <c r="AP318" s="76"/>
      <c r="AQ318" s="76"/>
      <c r="AR318" s="76"/>
      <c r="AS318" s="76"/>
      <c r="AT318" s="76"/>
      <c r="AU318" s="76"/>
      <c r="AV318" s="76"/>
      <c r="AW318" s="76"/>
      <c r="AX318" s="76"/>
      <c r="AY318" s="76"/>
      <c r="AZ318" s="76"/>
      <c r="BA318" s="76"/>
      <c r="BB318" s="76"/>
      <c r="BC318" s="76"/>
      <c r="BD318" s="76"/>
      <c r="BE318" s="76"/>
      <c r="BF318" s="76"/>
      <c r="BG318" s="76"/>
      <c r="BH318" s="76"/>
      <c r="BI318" s="76"/>
      <c r="BJ318" s="76"/>
      <c r="BK318" s="76"/>
      <c r="BL318" s="76"/>
      <c r="BM318" s="76"/>
      <c r="BN318" s="76"/>
      <c r="BO318" s="76"/>
    </row>
    <row r="319" customFormat="false" ht="15" hidden="false" customHeight="false" outlineLevel="0" collapsed="false">
      <c r="A319" s="73"/>
      <c r="B319" s="73"/>
      <c r="C319" s="7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4"/>
      <c r="S319" s="74"/>
      <c r="T319" s="74"/>
      <c r="U319" s="73"/>
      <c r="V319" s="73"/>
      <c r="W319" s="73"/>
      <c r="X319" s="73"/>
      <c r="Y319" s="75"/>
      <c r="Z319" s="73"/>
      <c r="AA319" s="73"/>
      <c r="AB319" s="73"/>
      <c r="AC319" s="73"/>
      <c r="AD319" s="73"/>
      <c r="AE319" s="73"/>
      <c r="AF319" s="76"/>
      <c r="AG319" s="76"/>
      <c r="AH319" s="76"/>
      <c r="AI319" s="76"/>
      <c r="AJ319" s="76"/>
      <c r="AK319" s="76"/>
      <c r="AL319" s="76"/>
      <c r="AM319" s="76"/>
      <c r="AN319" s="76"/>
      <c r="AO319" s="76"/>
      <c r="AP319" s="76"/>
      <c r="AQ319" s="76"/>
      <c r="AR319" s="76"/>
      <c r="AS319" s="76"/>
      <c r="AT319" s="76"/>
      <c r="AU319" s="76"/>
      <c r="AV319" s="76"/>
      <c r="AW319" s="76"/>
      <c r="AX319" s="76"/>
      <c r="AY319" s="76"/>
      <c r="AZ319" s="76"/>
      <c r="BA319" s="76"/>
      <c r="BB319" s="76"/>
      <c r="BC319" s="76"/>
      <c r="BD319" s="76"/>
      <c r="BE319" s="76"/>
      <c r="BF319" s="76"/>
      <c r="BG319" s="76"/>
      <c r="BH319" s="76"/>
      <c r="BI319" s="76"/>
      <c r="BJ319" s="76"/>
      <c r="BK319" s="76"/>
      <c r="BL319" s="76"/>
      <c r="BM319" s="76"/>
      <c r="BN319" s="76"/>
      <c r="BO319" s="76"/>
    </row>
    <row r="320" customFormat="false" ht="15" hidden="false" customHeight="false" outlineLevel="0" collapsed="false">
      <c r="A320" s="73"/>
      <c r="B320" s="73"/>
      <c r="C320" s="73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4"/>
      <c r="S320" s="74"/>
      <c r="T320" s="74"/>
      <c r="U320" s="73"/>
      <c r="V320" s="73"/>
      <c r="W320" s="73"/>
      <c r="X320" s="73"/>
      <c r="Y320" s="75"/>
      <c r="Z320" s="73"/>
      <c r="AA320" s="73"/>
      <c r="AB320" s="73"/>
      <c r="AC320" s="73"/>
      <c r="AD320" s="73"/>
      <c r="AE320" s="73"/>
      <c r="AF320" s="76"/>
      <c r="AG320" s="76"/>
      <c r="AH320" s="76"/>
      <c r="AI320" s="76"/>
      <c r="AJ320" s="76"/>
      <c r="AK320" s="76"/>
      <c r="AL320" s="76"/>
      <c r="AM320" s="76"/>
      <c r="AN320" s="76"/>
      <c r="AO320" s="76"/>
      <c r="AP320" s="76"/>
      <c r="AQ320" s="76"/>
      <c r="AR320" s="76"/>
      <c r="AS320" s="76"/>
      <c r="AT320" s="76"/>
      <c r="AU320" s="76"/>
      <c r="AV320" s="76"/>
      <c r="AW320" s="76"/>
      <c r="AX320" s="76"/>
      <c r="AY320" s="76"/>
      <c r="AZ320" s="76"/>
      <c r="BA320" s="76"/>
      <c r="BB320" s="76"/>
      <c r="BC320" s="76"/>
      <c r="BD320" s="76"/>
      <c r="BE320" s="76"/>
      <c r="BF320" s="76"/>
      <c r="BG320" s="76"/>
      <c r="BH320" s="76"/>
      <c r="BI320" s="76"/>
      <c r="BJ320" s="76"/>
      <c r="BK320" s="76"/>
      <c r="BL320" s="76"/>
      <c r="BM320" s="76"/>
      <c r="BN320" s="76"/>
      <c r="BO320" s="76"/>
    </row>
    <row r="321" customFormat="false" ht="15" hidden="false" customHeight="false" outlineLevel="0" collapsed="false">
      <c r="A321" s="73"/>
      <c r="B321" s="73"/>
      <c r="C321" s="73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4"/>
      <c r="S321" s="74"/>
      <c r="T321" s="74"/>
      <c r="U321" s="73"/>
      <c r="V321" s="73"/>
      <c r="W321" s="73"/>
      <c r="X321" s="73"/>
      <c r="Y321" s="75"/>
      <c r="Z321" s="73"/>
      <c r="AA321" s="73"/>
      <c r="AB321" s="73"/>
      <c r="AC321" s="73"/>
      <c r="AD321" s="73"/>
      <c r="AE321" s="73"/>
      <c r="AF321" s="76"/>
      <c r="AG321" s="76"/>
      <c r="AH321" s="76"/>
      <c r="AI321" s="76"/>
      <c r="AJ321" s="76"/>
      <c r="AK321" s="76"/>
      <c r="AL321" s="76"/>
      <c r="AM321" s="76"/>
      <c r="AN321" s="76"/>
      <c r="AO321" s="76"/>
      <c r="AP321" s="76"/>
      <c r="AQ321" s="76"/>
      <c r="AR321" s="76"/>
      <c r="AS321" s="76"/>
      <c r="AT321" s="76"/>
      <c r="AU321" s="76"/>
      <c r="AV321" s="76"/>
      <c r="AW321" s="76"/>
      <c r="AX321" s="76"/>
      <c r="AY321" s="76"/>
      <c r="AZ321" s="76"/>
      <c r="BA321" s="76"/>
      <c r="BB321" s="76"/>
      <c r="BC321" s="76"/>
      <c r="BD321" s="76"/>
      <c r="BE321" s="76"/>
      <c r="BF321" s="76"/>
      <c r="BG321" s="76"/>
      <c r="BH321" s="76"/>
      <c r="BI321" s="76"/>
      <c r="BJ321" s="76"/>
      <c r="BK321" s="76"/>
      <c r="BL321" s="76"/>
      <c r="BM321" s="76"/>
      <c r="BN321" s="76"/>
      <c r="BO321" s="76"/>
    </row>
    <row r="322" customFormat="false" ht="15" hidden="false" customHeight="false" outlineLevel="0" collapsed="false">
      <c r="A322" s="73"/>
      <c r="B322" s="73"/>
      <c r="C322" s="73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4"/>
      <c r="S322" s="74"/>
      <c r="T322" s="74"/>
      <c r="U322" s="73"/>
      <c r="V322" s="73"/>
      <c r="W322" s="73"/>
      <c r="X322" s="73"/>
      <c r="Y322" s="75"/>
      <c r="Z322" s="73"/>
      <c r="AA322" s="73"/>
      <c r="AB322" s="73"/>
      <c r="AC322" s="73"/>
      <c r="AD322" s="73"/>
      <c r="AE322" s="73"/>
      <c r="AF322" s="76"/>
      <c r="AG322" s="76"/>
      <c r="AH322" s="76"/>
      <c r="AI322" s="76"/>
      <c r="AJ322" s="76"/>
      <c r="AK322" s="76"/>
      <c r="AL322" s="76"/>
      <c r="AM322" s="76"/>
      <c r="AN322" s="76"/>
      <c r="AO322" s="76"/>
      <c r="AP322" s="76"/>
      <c r="AQ322" s="76"/>
      <c r="AR322" s="76"/>
      <c r="AS322" s="76"/>
      <c r="AT322" s="76"/>
      <c r="AU322" s="76"/>
      <c r="AV322" s="76"/>
      <c r="AW322" s="76"/>
      <c r="AX322" s="76"/>
      <c r="AY322" s="76"/>
      <c r="AZ322" s="76"/>
      <c r="BA322" s="76"/>
      <c r="BB322" s="76"/>
      <c r="BC322" s="76"/>
      <c r="BD322" s="76"/>
      <c r="BE322" s="76"/>
      <c r="BF322" s="76"/>
      <c r="BG322" s="76"/>
      <c r="BH322" s="76"/>
      <c r="BI322" s="76"/>
      <c r="BJ322" s="76"/>
      <c r="BK322" s="76"/>
      <c r="BL322" s="76"/>
      <c r="BM322" s="76"/>
      <c r="BN322" s="76"/>
      <c r="BO322" s="76"/>
    </row>
    <row r="323" customFormat="false" ht="15" hidden="false" customHeight="false" outlineLevel="0" collapsed="false">
      <c r="A323" s="73"/>
      <c r="B323" s="73"/>
      <c r="C323" s="73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4"/>
      <c r="S323" s="74"/>
      <c r="T323" s="74"/>
      <c r="U323" s="73"/>
      <c r="V323" s="73"/>
      <c r="W323" s="73"/>
      <c r="X323" s="73"/>
      <c r="Y323" s="75"/>
      <c r="Z323" s="73"/>
      <c r="AA323" s="73"/>
      <c r="AB323" s="73"/>
      <c r="AC323" s="73"/>
      <c r="AD323" s="73"/>
      <c r="AE323" s="73"/>
      <c r="AF323" s="76"/>
      <c r="AG323" s="76"/>
      <c r="AH323" s="76"/>
      <c r="AI323" s="76"/>
      <c r="AJ323" s="76"/>
      <c r="AK323" s="76"/>
      <c r="AL323" s="76"/>
      <c r="AM323" s="76"/>
      <c r="AN323" s="76"/>
      <c r="AO323" s="76"/>
      <c r="AP323" s="76"/>
      <c r="AQ323" s="76"/>
      <c r="AR323" s="76"/>
      <c r="AS323" s="76"/>
      <c r="AT323" s="76"/>
      <c r="AU323" s="76"/>
      <c r="AV323" s="76"/>
      <c r="AW323" s="76"/>
      <c r="AX323" s="76"/>
      <c r="AY323" s="76"/>
      <c r="AZ323" s="76"/>
      <c r="BA323" s="76"/>
      <c r="BB323" s="76"/>
      <c r="BC323" s="76"/>
      <c r="BD323" s="76"/>
      <c r="BE323" s="76"/>
      <c r="BF323" s="76"/>
      <c r="BG323" s="76"/>
      <c r="BH323" s="76"/>
      <c r="BI323" s="76"/>
      <c r="BJ323" s="76"/>
      <c r="BK323" s="76"/>
      <c r="BL323" s="76"/>
      <c r="BM323" s="76"/>
      <c r="BN323" s="76"/>
      <c r="BO323" s="76"/>
    </row>
    <row r="324" customFormat="false" ht="15" hidden="false" customHeight="false" outlineLevel="0" collapsed="false">
      <c r="A324" s="73"/>
      <c r="B324" s="73"/>
      <c r="C324" s="73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4"/>
      <c r="S324" s="74"/>
      <c r="T324" s="74"/>
      <c r="U324" s="73"/>
      <c r="V324" s="73"/>
      <c r="W324" s="73"/>
      <c r="X324" s="73"/>
      <c r="Y324" s="75"/>
      <c r="Z324" s="73"/>
      <c r="AA324" s="73"/>
      <c r="AB324" s="73"/>
      <c r="AC324" s="73"/>
      <c r="AD324" s="73"/>
      <c r="AE324" s="73"/>
      <c r="AF324" s="76"/>
      <c r="AG324" s="76"/>
      <c r="AH324" s="76"/>
      <c r="AI324" s="76"/>
      <c r="AJ324" s="76"/>
      <c r="AK324" s="76"/>
      <c r="AL324" s="76"/>
      <c r="AM324" s="76"/>
      <c r="AN324" s="76"/>
      <c r="AO324" s="76"/>
      <c r="AP324" s="76"/>
      <c r="AQ324" s="76"/>
      <c r="AR324" s="76"/>
      <c r="AS324" s="76"/>
      <c r="AT324" s="76"/>
      <c r="AU324" s="76"/>
      <c r="AV324" s="76"/>
      <c r="AW324" s="76"/>
      <c r="AX324" s="76"/>
      <c r="AY324" s="76"/>
      <c r="AZ324" s="76"/>
      <c r="BA324" s="76"/>
      <c r="BB324" s="76"/>
      <c r="BC324" s="76"/>
      <c r="BD324" s="76"/>
      <c r="BE324" s="76"/>
      <c r="BF324" s="76"/>
      <c r="BG324" s="76"/>
      <c r="BH324" s="76"/>
      <c r="BI324" s="76"/>
      <c r="BJ324" s="76"/>
      <c r="BK324" s="76"/>
      <c r="BL324" s="76"/>
      <c r="BM324" s="76"/>
      <c r="BN324" s="76"/>
      <c r="BO324" s="76"/>
    </row>
    <row r="325" customFormat="false" ht="15" hidden="false" customHeight="false" outlineLevel="0" collapsed="false">
      <c r="A325" s="73"/>
      <c r="B325" s="73"/>
      <c r="C325" s="73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4"/>
      <c r="S325" s="74"/>
      <c r="T325" s="74"/>
      <c r="U325" s="73"/>
      <c r="V325" s="73"/>
      <c r="W325" s="73"/>
      <c r="X325" s="73"/>
      <c r="Y325" s="75"/>
      <c r="Z325" s="73"/>
      <c r="AA325" s="73"/>
      <c r="AB325" s="73"/>
      <c r="AC325" s="73"/>
      <c r="AD325" s="73"/>
      <c r="AE325" s="73"/>
      <c r="AF325" s="76"/>
      <c r="AG325" s="76"/>
      <c r="AH325" s="76"/>
      <c r="AI325" s="76"/>
      <c r="AJ325" s="76"/>
      <c r="AK325" s="76"/>
      <c r="AL325" s="76"/>
      <c r="AM325" s="76"/>
      <c r="AN325" s="76"/>
      <c r="AO325" s="76"/>
      <c r="AP325" s="76"/>
      <c r="AQ325" s="76"/>
      <c r="AR325" s="76"/>
      <c r="AS325" s="76"/>
      <c r="AT325" s="76"/>
      <c r="AU325" s="76"/>
      <c r="AV325" s="76"/>
      <c r="AW325" s="76"/>
      <c r="AX325" s="76"/>
      <c r="AY325" s="76"/>
      <c r="AZ325" s="76"/>
      <c r="BA325" s="76"/>
      <c r="BB325" s="76"/>
      <c r="BC325" s="76"/>
      <c r="BD325" s="76"/>
      <c r="BE325" s="76"/>
      <c r="BF325" s="76"/>
      <c r="BG325" s="76"/>
      <c r="BH325" s="76"/>
      <c r="BI325" s="76"/>
      <c r="BJ325" s="76"/>
      <c r="BK325" s="76"/>
      <c r="BL325" s="76"/>
      <c r="BM325" s="76"/>
      <c r="BN325" s="76"/>
      <c r="BO325" s="76"/>
    </row>
    <row r="326" customFormat="false" ht="15" hidden="false" customHeight="false" outlineLevel="0" collapsed="false">
      <c r="A326" s="73"/>
      <c r="B326" s="73"/>
      <c r="C326" s="7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4"/>
      <c r="S326" s="74"/>
      <c r="T326" s="74"/>
      <c r="U326" s="73"/>
      <c r="V326" s="73"/>
      <c r="W326" s="73"/>
      <c r="X326" s="73"/>
      <c r="Y326" s="75"/>
      <c r="Z326" s="73"/>
      <c r="AA326" s="73"/>
      <c r="AB326" s="73"/>
      <c r="AC326" s="73"/>
      <c r="AD326" s="73"/>
      <c r="AE326" s="73"/>
      <c r="AF326" s="76"/>
      <c r="AG326" s="76"/>
      <c r="AH326" s="76"/>
      <c r="AI326" s="76"/>
      <c r="AJ326" s="76"/>
      <c r="AK326" s="76"/>
      <c r="AL326" s="76"/>
      <c r="AM326" s="76"/>
      <c r="AN326" s="76"/>
      <c r="AO326" s="76"/>
      <c r="AP326" s="76"/>
      <c r="AQ326" s="76"/>
      <c r="AR326" s="76"/>
      <c r="AS326" s="76"/>
      <c r="AT326" s="76"/>
      <c r="AU326" s="76"/>
      <c r="AV326" s="76"/>
      <c r="AW326" s="76"/>
      <c r="AX326" s="76"/>
      <c r="AY326" s="76"/>
      <c r="AZ326" s="76"/>
      <c r="BA326" s="76"/>
      <c r="BB326" s="76"/>
      <c r="BC326" s="76"/>
      <c r="BD326" s="76"/>
      <c r="BE326" s="76"/>
      <c r="BF326" s="76"/>
      <c r="BG326" s="76"/>
      <c r="BH326" s="76"/>
      <c r="BI326" s="76"/>
      <c r="BJ326" s="76"/>
      <c r="BK326" s="76"/>
      <c r="BL326" s="76"/>
      <c r="BM326" s="76"/>
      <c r="BN326" s="76"/>
      <c r="BO326" s="76"/>
    </row>
    <row r="327" customFormat="false" ht="15" hidden="false" customHeight="false" outlineLevel="0" collapsed="false">
      <c r="A327" s="73"/>
      <c r="B327" s="73"/>
      <c r="C327" s="73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4"/>
      <c r="S327" s="74"/>
      <c r="T327" s="74"/>
      <c r="U327" s="73"/>
      <c r="V327" s="73"/>
      <c r="W327" s="73"/>
      <c r="X327" s="73"/>
      <c r="Y327" s="75"/>
      <c r="Z327" s="73"/>
      <c r="AA327" s="73"/>
      <c r="AB327" s="73"/>
      <c r="AC327" s="73"/>
      <c r="AD327" s="73"/>
      <c r="AE327" s="73"/>
      <c r="AF327" s="76"/>
      <c r="AG327" s="76"/>
      <c r="AH327" s="76"/>
      <c r="AI327" s="76"/>
      <c r="AJ327" s="76"/>
      <c r="AK327" s="76"/>
      <c r="AL327" s="76"/>
      <c r="AM327" s="76"/>
      <c r="AN327" s="76"/>
      <c r="AO327" s="76"/>
      <c r="AP327" s="76"/>
      <c r="AQ327" s="76"/>
      <c r="AR327" s="76"/>
      <c r="AS327" s="76"/>
      <c r="AT327" s="76"/>
      <c r="AU327" s="76"/>
      <c r="AV327" s="76"/>
      <c r="AW327" s="76"/>
      <c r="AX327" s="76"/>
      <c r="AY327" s="76"/>
      <c r="AZ327" s="76"/>
      <c r="BA327" s="76"/>
      <c r="BB327" s="76"/>
      <c r="BC327" s="76"/>
      <c r="BD327" s="76"/>
      <c r="BE327" s="76"/>
      <c r="BF327" s="76"/>
      <c r="BG327" s="76"/>
      <c r="BH327" s="76"/>
      <c r="BI327" s="76"/>
      <c r="BJ327" s="76"/>
      <c r="BK327" s="76"/>
      <c r="BL327" s="76"/>
      <c r="BM327" s="76"/>
      <c r="BN327" s="76"/>
      <c r="BO327" s="76"/>
    </row>
    <row r="328" customFormat="false" ht="15" hidden="false" customHeight="false" outlineLevel="0" collapsed="false">
      <c r="A328" s="73"/>
      <c r="B328" s="73"/>
      <c r="C328" s="73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4"/>
      <c r="S328" s="74"/>
      <c r="T328" s="74"/>
      <c r="U328" s="73"/>
      <c r="V328" s="73"/>
      <c r="W328" s="73"/>
      <c r="X328" s="73"/>
      <c r="Y328" s="75"/>
      <c r="Z328" s="73"/>
      <c r="AA328" s="73"/>
      <c r="AB328" s="73"/>
      <c r="AC328" s="73"/>
      <c r="AD328" s="73"/>
      <c r="AE328" s="73"/>
      <c r="AF328" s="76"/>
      <c r="AG328" s="76"/>
      <c r="AH328" s="76"/>
      <c r="AI328" s="76"/>
      <c r="AJ328" s="76"/>
      <c r="AK328" s="76"/>
      <c r="AL328" s="76"/>
      <c r="AM328" s="76"/>
      <c r="AN328" s="76"/>
      <c r="AO328" s="76"/>
      <c r="AP328" s="76"/>
      <c r="AQ328" s="76"/>
      <c r="AR328" s="76"/>
      <c r="AS328" s="76"/>
      <c r="AT328" s="76"/>
      <c r="AU328" s="76"/>
      <c r="AV328" s="76"/>
      <c r="AW328" s="76"/>
      <c r="AX328" s="76"/>
      <c r="AY328" s="76"/>
      <c r="AZ328" s="76"/>
      <c r="BA328" s="76"/>
      <c r="BB328" s="76"/>
      <c r="BC328" s="76"/>
      <c r="BD328" s="76"/>
      <c r="BE328" s="76"/>
      <c r="BF328" s="76"/>
      <c r="BG328" s="76"/>
      <c r="BH328" s="76"/>
      <c r="BI328" s="76"/>
      <c r="BJ328" s="76"/>
      <c r="BK328" s="76"/>
      <c r="BL328" s="76"/>
      <c r="BM328" s="76"/>
      <c r="BN328" s="76"/>
      <c r="BO328" s="76"/>
    </row>
    <row r="329" customFormat="false" ht="15" hidden="false" customHeight="false" outlineLevel="0" collapsed="false">
      <c r="A329" s="73"/>
      <c r="B329" s="73"/>
      <c r="C329" s="73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4"/>
      <c r="S329" s="74"/>
      <c r="T329" s="74"/>
      <c r="U329" s="73"/>
      <c r="V329" s="73"/>
      <c r="W329" s="73"/>
      <c r="X329" s="73"/>
      <c r="Y329" s="75"/>
      <c r="Z329" s="73"/>
      <c r="AA329" s="73"/>
      <c r="AB329" s="73"/>
      <c r="AC329" s="73"/>
      <c r="AD329" s="73"/>
      <c r="AE329" s="73"/>
      <c r="AF329" s="76"/>
      <c r="AG329" s="76"/>
      <c r="AH329" s="76"/>
      <c r="AI329" s="76"/>
      <c r="AJ329" s="76"/>
      <c r="AK329" s="76"/>
      <c r="AL329" s="76"/>
      <c r="AM329" s="76"/>
      <c r="AN329" s="76"/>
      <c r="AO329" s="76"/>
      <c r="AP329" s="76"/>
      <c r="AQ329" s="76"/>
      <c r="AR329" s="76"/>
      <c r="AS329" s="76"/>
      <c r="AT329" s="76"/>
      <c r="AU329" s="76"/>
      <c r="AV329" s="76"/>
      <c r="AW329" s="76"/>
      <c r="AX329" s="76"/>
      <c r="AY329" s="76"/>
      <c r="AZ329" s="76"/>
      <c r="BA329" s="76"/>
      <c r="BB329" s="76"/>
      <c r="BC329" s="76"/>
      <c r="BD329" s="76"/>
      <c r="BE329" s="76"/>
      <c r="BF329" s="76"/>
      <c r="BG329" s="76"/>
      <c r="BH329" s="76"/>
      <c r="BI329" s="76"/>
      <c r="BJ329" s="76"/>
      <c r="BK329" s="76"/>
      <c r="BL329" s="76"/>
      <c r="BM329" s="76"/>
      <c r="BN329" s="76"/>
      <c r="BO329" s="76"/>
    </row>
    <row r="330" customFormat="false" ht="15" hidden="false" customHeight="false" outlineLevel="0" collapsed="false">
      <c r="A330" s="73"/>
      <c r="B330" s="73"/>
      <c r="C330" s="73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4"/>
      <c r="S330" s="74"/>
      <c r="T330" s="74"/>
      <c r="U330" s="73"/>
      <c r="V330" s="73"/>
      <c r="W330" s="73"/>
      <c r="X330" s="73"/>
      <c r="Y330" s="75"/>
      <c r="Z330" s="73"/>
      <c r="AA330" s="73"/>
      <c r="AB330" s="73"/>
      <c r="AC330" s="73"/>
      <c r="AD330" s="73"/>
      <c r="AE330" s="73"/>
      <c r="AF330" s="76"/>
      <c r="AG330" s="76"/>
      <c r="AH330" s="76"/>
      <c r="AI330" s="76"/>
      <c r="AJ330" s="76"/>
      <c r="AK330" s="76"/>
      <c r="AL330" s="76"/>
      <c r="AM330" s="76"/>
      <c r="AN330" s="76"/>
      <c r="AO330" s="76"/>
      <c r="AP330" s="76"/>
      <c r="AQ330" s="76"/>
      <c r="AR330" s="76"/>
      <c r="AS330" s="76"/>
      <c r="AT330" s="76"/>
      <c r="AU330" s="76"/>
      <c r="AV330" s="76"/>
      <c r="AW330" s="76"/>
      <c r="AX330" s="76"/>
      <c r="AY330" s="76"/>
      <c r="AZ330" s="76"/>
      <c r="BA330" s="76"/>
      <c r="BB330" s="76"/>
      <c r="BC330" s="76"/>
      <c r="BD330" s="76"/>
      <c r="BE330" s="76"/>
      <c r="BF330" s="76"/>
      <c r="BG330" s="76"/>
      <c r="BH330" s="76"/>
      <c r="BI330" s="76"/>
      <c r="BJ330" s="76"/>
      <c r="BK330" s="76"/>
      <c r="BL330" s="76"/>
      <c r="BM330" s="76"/>
      <c r="BN330" s="76"/>
      <c r="BO330" s="76"/>
    </row>
    <row r="331" customFormat="false" ht="15" hidden="false" customHeight="false" outlineLevel="0" collapsed="false">
      <c r="A331" s="73"/>
      <c r="B331" s="73"/>
      <c r="C331" s="73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4"/>
      <c r="S331" s="74"/>
      <c r="T331" s="74"/>
      <c r="U331" s="73"/>
      <c r="V331" s="73"/>
      <c r="W331" s="73"/>
      <c r="X331" s="73"/>
      <c r="Y331" s="75"/>
      <c r="Z331" s="73"/>
      <c r="AA331" s="73"/>
      <c r="AB331" s="73"/>
      <c r="AC331" s="73"/>
      <c r="AD331" s="73"/>
      <c r="AE331" s="73"/>
      <c r="AF331" s="76"/>
      <c r="AG331" s="76"/>
      <c r="AH331" s="76"/>
      <c r="AI331" s="76"/>
      <c r="AJ331" s="76"/>
      <c r="AK331" s="76"/>
      <c r="AL331" s="76"/>
      <c r="AM331" s="76"/>
      <c r="AN331" s="76"/>
      <c r="AO331" s="76"/>
      <c r="AP331" s="76"/>
      <c r="AQ331" s="76"/>
      <c r="AR331" s="76"/>
      <c r="AS331" s="76"/>
      <c r="AT331" s="76"/>
      <c r="AU331" s="76"/>
      <c r="AV331" s="76"/>
      <c r="AW331" s="76"/>
      <c r="AX331" s="76"/>
      <c r="AY331" s="76"/>
      <c r="AZ331" s="76"/>
      <c r="BA331" s="76"/>
      <c r="BB331" s="76"/>
      <c r="BC331" s="76"/>
      <c r="BD331" s="76"/>
      <c r="BE331" s="76"/>
      <c r="BF331" s="76"/>
      <c r="BG331" s="76"/>
      <c r="BH331" s="76"/>
      <c r="BI331" s="76"/>
      <c r="BJ331" s="76"/>
      <c r="BK331" s="76"/>
      <c r="BL331" s="76"/>
      <c r="BM331" s="76"/>
      <c r="BN331" s="76"/>
      <c r="BO331" s="76"/>
    </row>
    <row r="332" customFormat="false" ht="15" hidden="false" customHeight="false" outlineLevel="0" collapsed="false">
      <c r="A332" s="73"/>
      <c r="B332" s="73"/>
      <c r="C332" s="73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4"/>
      <c r="S332" s="74"/>
      <c r="T332" s="74"/>
      <c r="U332" s="73"/>
      <c r="V332" s="73"/>
      <c r="W332" s="73"/>
      <c r="X332" s="73"/>
      <c r="Y332" s="75"/>
      <c r="Z332" s="73"/>
      <c r="AA332" s="73"/>
      <c r="AB332" s="73"/>
      <c r="AC332" s="73"/>
      <c r="AD332" s="73"/>
      <c r="AE332" s="73"/>
      <c r="AF332" s="76"/>
      <c r="AG332" s="76"/>
      <c r="AH332" s="76"/>
      <c r="AI332" s="76"/>
      <c r="AJ332" s="76"/>
      <c r="AK332" s="76"/>
      <c r="AL332" s="76"/>
      <c r="AM332" s="76"/>
      <c r="AN332" s="76"/>
      <c r="AO332" s="76"/>
      <c r="AP332" s="76"/>
      <c r="AQ332" s="76"/>
      <c r="AR332" s="76"/>
      <c r="AS332" s="76"/>
      <c r="AT332" s="76"/>
      <c r="AU332" s="76"/>
      <c r="AV332" s="76"/>
      <c r="AW332" s="76"/>
      <c r="AX332" s="76"/>
      <c r="AY332" s="76"/>
      <c r="AZ332" s="76"/>
      <c r="BA332" s="76"/>
      <c r="BB332" s="76"/>
      <c r="BC332" s="76"/>
      <c r="BD332" s="76"/>
      <c r="BE332" s="76"/>
      <c r="BF332" s="76"/>
      <c r="BG332" s="76"/>
      <c r="BH332" s="76"/>
      <c r="BI332" s="76"/>
      <c r="BJ332" s="76"/>
      <c r="BK332" s="76"/>
      <c r="BL332" s="76"/>
      <c r="BM332" s="76"/>
      <c r="BN332" s="76"/>
      <c r="BO332" s="76"/>
    </row>
    <row r="333" customFormat="false" ht="15" hidden="false" customHeight="false" outlineLevel="0" collapsed="false">
      <c r="A333" s="73"/>
      <c r="B333" s="73"/>
      <c r="C333" s="73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4"/>
      <c r="S333" s="74"/>
      <c r="T333" s="74"/>
      <c r="U333" s="73"/>
      <c r="V333" s="73"/>
      <c r="W333" s="73"/>
      <c r="X333" s="73"/>
      <c r="Y333" s="75"/>
      <c r="Z333" s="73"/>
      <c r="AA333" s="73"/>
      <c r="AB333" s="73"/>
      <c r="AC333" s="73"/>
      <c r="AD333" s="73"/>
      <c r="AE333" s="73"/>
      <c r="AF333" s="76"/>
      <c r="AG333" s="76"/>
      <c r="AH333" s="76"/>
      <c r="AI333" s="76"/>
      <c r="AJ333" s="76"/>
      <c r="AK333" s="76"/>
      <c r="AL333" s="76"/>
      <c r="AM333" s="76"/>
      <c r="AN333" s="76"/>
      <c r="AO333" s="76"/>
      <c r="AP333" s="76"/>
      <c r="AQ333" s="76"/>
      <c r="AR333" s="76"/>
      <c r="AS333" s="76"/>
      <c r="AT333" s="76"/>
      <c r="AU333" s="76"/>
      <c r="AV333" s="76"/>
      <c r="AW333" s="76"/>
      <c r="AX333" s="76"/>
      <c r="AY333" s="76"/>
      <c r="AZ333" s="76"/>
      <c r="BA333" s="76"/>
      <c r="BB333" s="76"/>
      <c r="BC333" s="76"/>
      <c r="BD333" s="76"/>
      <c r="BE333" s="76"/>
      <c r="BF333" s="76"/>
      <c r="BG333" s="76"/>
      <c r="BH333" s="76"/>
      <c r="BI333" s="76"/>
      <c r="BJ333" s="76"/>
      <c r="BK333" s="76"/>
      <c r="BL333" s="76"/>
      <c r="BM333" s="76"/>
      <c r="BN333" s="76"/>
      <c r="BO333" s="76"/>
    </row>
    <row r="334" customFormat="false" ht="15" hidden="false" customHeight="false" outlineLevel="0" collapsed="false">
      <c r="A334" s="73"/>
      <c r="B334" s="73"/>
      <c r="C334" s="73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4"/>
      <c r="S334" s="74"/>
      <c r="T334" s="74"/>
      <c r="U334" s="73"/>
      <c r="V334" s="73"/>
      <c r="W334" s="73"/>
      <c r="X334" s="73"/>
      <c r="Y334" s="75"/>
      <c r="Z334" s="73"/>
      <c r="AA334" s="73"/>
      <c r="AB334" s="73"/>
      <c r="AC334" s="73"/>
      <c r="AD334" s="73"/>
      <c r="AE334" s="73"/>
      <c r="AF334" s="76"/>
      <c r="AG334" s="76"/>
      <c r="AH334" s="76"/>
      <c r="AI334" s="76"/>
      <c r="AJ334" s="76"/>
      <c r="AK334" s="76"/>
      <c r="AL334" s="76"/>
      <c r="AM334" s="76"/>
      <c r="AN334" s="76"/>
      <c r="AO334" s="76"/>
      <c r="AP334" s="76"/>
      <c r="AQ334" s="76"/>
      <c r="AR334" s="76"/>
      <c r="AS334" s="76"/>
      <c r="AT334" s="76"/>
      <c r="AU334" s="76"/>
      <c r="AV334" s="76"/>
      <c r="AW334" s="76"/>
      <c r="AX334" s="76"/>
      <c r="AY334" s="76"/>
      <c r="AZ334" s="76"/>
      <c r="BA334" s="76"/>
      <c r="BB334" s="76"/>
      <c r="BC334" s="76"/>
      <c r="BD334" s="76"/>
      <c r="BE334" s="76"/>
      <c r="BF334" s="76"/>
      <c r="BG334" s="76"/>
      <c r="BH334" s="76"/>
      <c r="BI334" s="76"/>
      <c r="BJ334" s="76"/>
      <c r="BK334" s="76"/>
      <c r="BL334" s="76"/>
      <c r="BM334" s="76"/>
      <c r="BN334" s="76"/>
      <c r="BO334" s="76"/>
    </row>
    <row r="335" customFormat="false" ht="15" hidden="false" customHeight="false" outlineLevel="0" collapsed="false">
      <c r="A335" s="73"/>
      <c r="B335" s="73"/>
      <c r="C335" s="73"/>
      <c r="D335" s="73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4"/>
      <c r="S335" s="74"/>
      <c r="T335" s="74"/>
      <c r="U335" s="73"/>
      <c r="V335" s="73"/>
      <c r="W335" s="73"/>
      <c r="X335" s="73"/>
      <c r="Y335" s="75"/>
      <c r="Z335" s="73"/>
      <c r="AA335" s="73"/>
      <c r="AB335" s="73"/>
      <c r="AC335" s="73"/>
      <c r="AD335" s="73"/>
      <c r="AE335" s="73"/>
      <c r="AF335" s="76"/>
      <c r="AG335" s="76"/>
      <c r="AH335" s="76"/>
      <c r="AI335" s="76"/>
      <c r="AJ335" s="76"/>
      <c r="AK335" s="76"/>
      <c r="AL335" s="76"/>
      <c r="AM335" s="76"/>
      <c r="AN335" s="76"/>
      <c r="AO335" s="76"/>
      <c r="AP335" s="76"/>
      <c r="AQ335" s="76"/>
      <c r="AR335" s="76"/>
      <c r="AS335" s="76"/>
      <c r="AT335" s="76"/>
      <c r="AU335" s="76"/>
      <c r="AV335" s="76"/>
      <c r="AW335" s="76"/>
      <c r="AX335" s="76"/>
      <c r="AY335" s="76"/>
      <c r="AZ335" s="76"/>
      <c r="BA335" s="76"/>
      <c r="BB335" s="76"/>
      <c r="BC335" s="76"/>
      <c r="BD335" s="76"/>
      <c r="BE335" s="76"/>
      <c r="BF335" s="76"/>
      <c r="BG335" s="76"/>
      <c r="BH335" s="76"/>
      <c r="BI335" s="76"/>
      <c r="BJ335" s="76"/>
      <c r="BK335" s="76"/>
      <c r="BL335" s="76"/>
      <c r="BM335" s="76"/>
      <c r="BN335" s="76"/>
      <c r="BO335" s="76"/>
    </row>
    <row r="336" customFormat="false" ht="15" hidden="false" customHeight="false" outlineLevel="0" collapsed="false">
      <c r="A336" s="73"/>
      <c r="B336" s="73"/>
      <c r="C336" s="73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4"/>
      <c r="S336" s="74"/>
      <c r="T336" s="74"/>
      <c r="U336" s="73"/>
      <c r="V336" s="73"/>
      <c r="W336" s="73"/>
      <c r="X336" s="73"/>
      <c r="Y336" s="75"/>
      <c r="Z336" s="73"/>
      <c r="AA336" s="73"/>
      <c r="AB336" s="73"/>
      <c r="AC336" s="73"/>
      <c r="AD336" s="73"/>
      <c r="AE336" s="73"/>
      <c r="AF336" s="76"/>
      <c r="AG336" s="76"/>
      <c r="AH336" s="76"/>
      <c r="AI336" s="76"/>
      <c r="AJ336" s="76"/>
      <c r="AK336" s="76"/>
      <c r="AL336" s="76"/>
      <c r="AM336" s="76"/>
      <c r="AN336" s="76"/>
      <c r="AO336" s="76"/>
      <c r="AP336" s="76"/>
      <c r="AQ336" s="76"/>
      <c r="AR336" s="76"/>
      <c r="AS336" s="76"/>
      <c r="AT336" s="76"/>
      <c r="AU336" s="76"/>
      <c r="AV336" s="76"/>
      <c r="AW336" s="76"/>
      <c r="AX336" s="76"/>
      <c r="AY336" s="76"/>
      <c r="AZ336" s="76"/>
      <c r="BA336" s="76"/>
      <c r="BB336" s="76"/>
      <c r="BC336" s="76"/>
      <c r="BD336" s="76"/>
      <c r="BE336" s="76"/>
      <c r="BF336" s="76"/>
      <c r="BG336" s="76"/>
      <c r="BH336" s="76"/>
      <c r="BI336" s="76"/>
      <c r="BJ336" s="76"/>
      <c r="BK336" s="76"/>
      <c r="BL336" s="76"/>
      <c r="BM336" s="76"/>
      <c r="BN336" s="76"/>
      <c r="BO336" s="76"/>
    </row>
    <row r="337" customFormat="false" ht="15" hidden="false" customHeight="false" outlineLevel="0" collapsed="false">
      <c r="A337" s="73"/>
      <c r="B337" s="73"/>
      <c r="C337" s="73"/>
      <c r="D337" s="73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4"/>
      <c r="S337" s="74"/>
      <c r="T337" s="74"/>
      <c r="U337" s="73"/>
      <c r="V337" s="73"/>
      <c r="W337" s="73"/>
      <c r="X337" s="73"/>
      <c r="Y337" s="75"/>
      <c r="Z337" s="73"/>
      <c r="AA337" s="73"/>
      <c r="AB337" s="73"/>
      <c r="AC337" s="73"/>
      <c r="AD337" s="73"/>
      <c r="AE337" s="73"/>
      <c r="AF337" s="76"/>
      <c r="AG337" s="76"/>
      <c r="AH337" s="76"/>
      <c r="AI337" s="76"/>
      <c r="AJ337" s="76"/>
      <c r="AK337" s="76"/>
      <c r="AL337" s="76"/>
      <c r="AM337" s="76"/>
      <c r="AN337" s="76"/>
      <c r="AO337" s="76"/>
      <c r="AP337" s="76"/>
      <c r="AQ337" s="76"/>
      <c r="AR337" s="76"/>
      <c r="AS337" s="76"/>
      <c r="AT337" s="76"/>
      <c r="AU337" s="76"/>
      <c r="AV337" s="76"/>
      <c r="AW337" s="76"/>
      <c r="AX337" s="76"/>
      <c r="AY337" s="76"/>
      <c r="AZ337" s="76"/>
      <c r="BA337" s="76"/>
      <c r="BB337" s="76"/>
      <c r="BC337" s="76"/>
      <c r="BD337" s="76"/>
      <c r="BE337" s="76"/>
      <c r="BF337" s="76"/>
      <c r="BG337" s="76"/>
      <c r="BH337" s="76"/>
      <c r="BI337" s="76"/>
      <c r="BJ337" s="76"/>
      <c r="BK337" s="76"/>
      <c r="BL337" s="76"/>
      <c r="BM337" s="76"/>
      <c r="BN337" s="76"/>
      <c r="BO337" s="76"/>
    </row>
    <row r="338" customFormat="false" ht="15" hidden="false" customHeight="false" outlineLevel="0" collapsed="false">
      <c r="A338" s="73"/>
      <c r="B338" s="73"/>
      <c r="C338" s="73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4"/>
      <c r="S338" s="74"/>
      <c r="T338" s="74"/>
      <c r="U338" s="73"/>
      <c r="V338" s="73"/>
      <c r="W338" s="73"/>
      <c r="X338" s="73"/>
      <c r="Y338" s="75"/>
      <c r="Z338" s="73"/>
      <c r="AA338" s="73"/>
      <c r="AB338" s="73"/>
      <c r="AC338" s="73"/>
      <c r="AD338" s="73"/>
      <c r="AE338" s="73"/>
      <c r="AF338" s="76"/>
      <c r="AG338" s="76"/>
      <c r="AH338" s="76"/>
      <c r="AI338" s="76"/>
      <c r="AJ338" s="76"/>
      <c r="AK338" s="76"/>
      <c r="AL338" s="76"/>
      <c r="AM338" s="76"/>
      <c r="AN338" s="76"/>
      <c r="AO338" s="76"/>
      <c r="AP338" s="76"/>
      <c r="AQ338" s="76"/>
      <c r="AR338" s="76"/>
      <c r="AS338" s="76"/>
      <c r="AT338" s="76"/>
      <c r="AU338" s="76"/>
      <c r="AV338" s="76"/>
      <c r="AW338" s="76"/>
      <c r="AX338" s="76"/>
      <c r="AY338" s="76"/>
      <c r="AZ338" s="76"/>
      <c r="BA338" s="76"/>
      <c r="BB338" s="76"/>
      <c r="BC338" s="76"/>
      <c r="BD338" s="76"/>
      <c r="BE338" s="76"/>
      <c r="BF338" s="76"/>
      <c r="BG338" s="76"/>
      <c r="BH338" s="76"/>
      <c r="BI338" s="76"/>
      <c r="BJ338" s="76"/>
      <c r="BK338" s="76"/>
      <c r="BL338" s="76"/>
      <c r="BM338" s="76"/>
      <c r="BN338" s="76"/>
      <c r="BO338" s="76"/>
    </row>
    <row r="339" customFormat="false" ht="15" hidden="false" customHeight="false" outlineLevel="0" collapsed="false">
      <c r="A339" s="73"/>
      <c r="B339" s="73"/>
      <c r="C339" s="73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4"/>
      <c r="S339" s="74"/>
      <c r="T339" s="74"/>
      <c r="U339" s="73"/>
      <c r="V339" s="73"/>
      <c r="W339" s="73"/>
      <c r="X339" s="73"/>
      <c r="Y339" s="75"/>
      <c r="Z339" s="73"/>
      <c r="AA339" s="73"/>
      <c r="AB339" s="73"/>
      <c r="AC339" s="73"/>
      <c r="AD339" s="73"/>
      <c r="AE339" s="73"/>
      <c r="AF339" s="76"/>
      <c r="AG339" s="76"/>
      <c r="AH339" s="76"/>
      <c r="AI339" s="76"/>
      <c r="AJ339" s="76"/>
      <c r="AK339" s="76"/>
      <c r="AL339" s="76"/>
      <c r="AM339" s="76"/>
      <c r="AN339" s="76"/>
      <c r="AO339" s="76"/>
      <c r="AP339" s="76"/>
      <c r="AQ339" s="76"/>
      <c r="AR339" s="76"/>
      <c r="AS339" s="76"/>
      <c r="AT339" s="76"/>
      <c r="AU339" s="76"/>
      <c r="AV339" s="76"/>
      <c r="AW339" s="76"/>
      <c r="AX339" s="76"/>
      <c r="AY339" s="76"/>
      <c r="AZ339" s="76"/>
      <c r="BA339" s="76"/>
      <c r="BB339" s="76"/>
      <c r="BC339" s="76"/>
      <c r="BD339" s="76"/>
      <c r="BE339" s="76"/>
      <c r="BF339" s="76"/>
      <c r="BG339" s="76"/>
      <c r="BH339" s="76"/>
      <c r="BI339" s="76"/>
      <c r="BJ339" s="76"/>
      <c r="BK339" s="76"/>
      <c r="BL339" s="76"/>
      <c r="BM339" s="76"/>
      <c r="BN339" s="76"/>
      <c r="BO339" s="76"/>
    </row>
    <row r="340" customFormat="false" ht="15" hidden="false" customHeight="false" outlineLevel="0" collapsed="false">
      <c r="A340" s="73"/>
      <c r="B340" s="73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4"/>
      <c r="S340" s="74"/>
      <c r="T340" s="74"/>
      <c r="U340" s="73"/>
      <c r="V340" s="73"/>
      <c r="W340" s="73"/>
      <c r="X340" s="73"/>
      <c r="Y340" s="75"/>
      <c r="Z340" s="73"/>
      <c r="AA340" s="73"/>
      <c r="AB340" s="73"/>
      <c r="AC340" s="73"/>
      <c r="AD340" s="73"/>
      <c r="AE340" s="73"/>
      <c r="AF340" s="76"/>
      <c r="AG340" s="76"/>
      <c r="AH340" s="76"/>
      <c r="AI340" s="76"/>
      <c r="AJ340" s="76"/>
      <c r="AK340" s="76"/>
      <c r="AL340" s="76"/>
      <c r="AM340" s="76"/>
      <c r="AN340" s="76"/>
      <c r="AO340" s="76"/>
      <c r="AP340" s="76"/>
      <c r="AQ340" s="76"/>
      <c r="AR340" s="76"/>
      <c r="AS340" s="76"/>
      <c r="AT340" s="76"/>
      <c r="AU340" s="76"/>
      <c r="AV340" s="76"/>
      <c r="AW340" s="76"/>
      <c r="AX340" s="76"/>
      <c r="AY340" s="76"/>
      <c r="AZ340" s="76"/>
      <c r="BA340" s="76"/>
      <c r="BB340" s="76"/>
      <c r="BC340" s="76"/>
      <c r="BD340" s="76"/>
      <c r="BE340" s="76"/>
      <c r="BF340" s="76"/>
      <c r="BG340" s="76"/>
      <c r="BH340" s="76"/>
      <c r="BI340" s="76"/>
      <c r="BJ340" s="76"/>
      <c r="BK340" s="76"/>
      <c r="BL340" s="76"/>
      <c r="BM340" s="76"/>
      <c r="BN340" s="76"/>
      <c r="BO340" s="76"/>
    </row>
    <row r="341" customFormat="false" ht="15" hidden="false" customHeight="false" outlineLevel="0" collapsed="false">
      <c r="A341" s="73"/>
      <c r="B341" s="73"/>
      <c r="C341" s="73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4"/>
      <c r="S341" s="74"/>
      <c r="T341" s="74"/>
      <c r="U341" s="73"/>
      <c r="V341" s="73"/>
      <c r="W341" s="73"/>
      <c r="X341" s="73"/>
      <c r="Y341" s="75"/>
      <c r="Z341" s="73"/>
      <c r="AA341" s="73"/>
      <c r="AB341" s="73"/>
      <c r="AC341" s="73"/>
      <c r="AD341" s="73"/>
      <c r="AE341" s="73"/>
      <c r="AF341" s="76"/>
      <c r="AG341" s="76"/>
      <c r="AH341" s="76"/>
      <c r="AI341" s="76"/>
      <c r="AJ341" s="76"/>
      <c r="AK341" s="76"/>
      <c r="AL341" s="76"/>
      <c r="AM341" s="76"/>
      <c r="AN341" s="76"/>
      <c r="AO341" s="76"/>
      <c r="AP341" s="76"/>
      <c r="AQ341" s="76"/>
      <c r="AR341" s="76"/>
      <c r="AS341" s="76"/>
      <c r="AT341" s="76"/>
      <c r="AU341" s="76"/>
      <c r="AV341" s="76"/>
      <c r="AW341" s="76"/>
      <c r="AX341" s="76"/>
      <c r="AY341" s="76"/>
      <c r="AZ341" s="76"/>
      <c r="BA341" s="76"/>
      <c r="BB341" s="76"/>
      <c r="BC341" s="76"/>
      <c r="BD341" s="76"/>
      <c r="BE341" s="76"/>
      <c r="BF341" s="76"/>
      <c r="BG341" s="76"/>
      <c r="BH341" s="76"/>
      <c r="BI341" s="76"/>
      <c r="BJ341" s="76"/>
      <c r="BK341" s="76"/>
      <c r="BL341" s="76"/>
      <c r="BM341" s="76"/>
      <c r="BN341" s="76"/>
      <c r="BO341" s="76"/>
    </row>
    <row r="342" customFormat="false" ht="15" hidden="false" customHeight="false" outlineLevel="0" collapsed="false">
      <c r="A342" s="73"/>
      <c r="B342" s="73"/>
      <c r="C342" s="73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4"/>
      <c r="S342" s="74"/>
      <c r="T342" s="74"/>
      <c r="U342" s="73"/>
      <c r="V342" s="73"/>
      <c r="W342" s="73"/>
      <c r="X342" s="73"/>
      <c r="Y342" s="75"/>
      <c r="Z342" s="73"/>
      <c r="AA342" s="73"/>
      <c r="AB342" s="73"/>
      <c r="AC342" s="73"/>
      <c r="AD342" s="73"/>
      <c r="AE342" s="73"/>
      <c r="AF342" s="76"/>
      <c r="AG342" s="76"/>
      <c r="AH342" s="76"/>
      <c r="AI342" s="76"/>
      <c r="AJ342" s="76"/>
      <c r="AK342" s="76"/>
      <c r="AL342" s="76"/>
      <c r="AM342" s="76"/>
      <c r="AN342" s="76"/>
      <c r="AO342" s="76"/>
      <c r="AP342" s="76"/>
      <c r="AQ342" s="76"/>
      <c r="AR342" s="76"/>
      <c r="AS342" s="76"/>
      <c r="AT342" s="76"/>
      <c r="AU342" s="76"/>
      <c r="AV342" s="76"/>
      <c r="AW342" s="76"/>
      <c r="AX342" s="76"/>
      <c r="AY342" s="76"/>
      <c r="AZ342" s="76"/>
      <c r="BA342" s="76"/>
      <c r="BB342" s="76"/>
      <c r="BC342" s="76"/>
      <c r="BD342" s="76"/>
      <c r="BE342" s="76"/>
      <c r="BF342" s="76"/>
      <c r="BG342" s="76"/>
      <c r="BH342" s="76"/>
      <c r="BI342" s="76"/>
      <c r="BJ342" s="76"/>
      <c r="BK342" s="76"/>
      <c r="BL342" s="76"/>
      <c r="BM342" s="76"/>
      <c r="BN342" s="76"/>
      <c r="BO342" s="76"/>
    </row>
    <row r="343" customFormat="false" ht="15" hidden="false" customHeight="false" outlineLevel="0" collapsed="false">
      <c r="A343" s="73"/>
      <c r="B343" s="73"/>
      <c r="C343" s="73"/>
      <c r="D343" s="73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4"/>
      <c r="S343" s="74"/>
      <c r="T343" s="74"/>
      <c r="U343" s="73"/>
      <c r="V343" s="73"/>
      <c r="W343" s="73"/>
      <c r="X343" s="73"/>
      <c r="Y343" s="75"/>
      <c r="Z343" s="73"/>
      <c r="AA343" s="73"/>
      <c r="AB343" s="73"/>
      <c r="AC343" s="73"/>
      <c r="AD343" s="73"/>
      <c r="AE343" s="73"/>
      <c r="AF343" s="76"/>
      <c r="AG343" s="76"/>
      <c r="AH343" s="76"/>
      <c r="AI343" s="76"/>
      <c r="AJ343" s="76"/>
      <c r="AK343" s="76"/>
      <c r="AL343" s="76"/>
      <c r="AM343" s="76"/>
      <c r="AN343" s="76"/>
      <c r="AO343" s="76"/>
      <c r="AP343" s="76"/>
      <c r="AQ343" s="76"/>
      <c r="AR343" s="76"/>
      <c r="AS343" s="76"/>
      <c r="AT343" s="76"/>
      <c r="AU343" s="76"/>
      <c r="AV343" s="76"/>
      <c r="AW343" s="76"/>
      <c r="AX343" s="76"/>
      <c r="AY343" s="76"/>
      <c r="AZ343" s="76"/>
      <c r="BA343" s="76"/>
      <c r="BB343" s="76"/>
      <c r="BC343" s="76"/>
      <c r="BD343" s="76"/>
      <c r="BE343" s="76"/>
      <c r="BF343" s="76"/>
      <c r="BG343" s="76"/>
      <c r="BH343" s="76"/>
      <c r="BI343" s="76"/>
      <c r="BJ343" s="76"/>
      <c r="BK343" s="76"/>
      <c r="BL343" s="76"/>
      <c r="BM343" s="76"/>
      <c r="BN343" s="76"/>
      <c r="BO343" s="76"/>
    </row>
    <row r="344" customFormat="false" ht="15" hidden="false" customHeight="false" outlineLevel="0" collapsed="false">
      <c r="A344" s="73"/>
      <c r="B344" s="73"/>
      <c r="C344" s="73"/>
      <c r="D344" s="73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4"/>
      <c r="S344" s="74"/>
      <c r="T344" s="74"/>
      <c r="U344" s="73"/>
      <c r="V344" s="73"/>
      <c r="W344" s="73"/>
      <c r="X344" s="73"/>
      <c r="Y344" s="75"/>
      <c r="Z344" s="73"/>
      <c r="AA344" s="73"/>
      <c r="AB344" s="73"/>
      <c r="AC344" s="73"/>
      <c r="AD344" s="73"/>
      <c r="AE344" s="73"/>
      <c r="AF344" s="76"/>
      <c r="AG344" s="76"/>
      <c r="AH344" s="76"/>
      <c r="AI344" s="76"/>
      <c r="AJ344" s="76"/>
      <c r="AK344" s="76"/>
      <c r="AL344" s="76"/>
      <c r="AM344" s="76"/>
      <c r="AN344" s="76"/>
      <c r="AO344" s="76"/>
      <c r="AP344" s="76"/>
      <c r="AQ344" s="76"/>
      <c r="AR344" s="76"/>
      <c r="AS344" s="76"/>
      <c r="AT344" s="76"/>
      <c r="AU344" s="76"/>
      <c r="AV344" s="76"/>
      <c r="AW344" s="76"/>
      <c r="AX344" s="76"/>
      <c r="AY344" s="76"/>
      <c r="AZ344" s="76"/>
      <c r="BA344" s="76"/>
      <c r="BB344" s="76"/>
      <c r="BC344" s="76"/>
      <c r="BD344" s="76"/>
      <c r="BE344" s="76"/>
      <c r="BF344" s="76"/>
      <c r="BG344" s="76"/>
      <c r="BH344" s="76"/>
      <c r="BI344" s="76"/>
      <c r="BJ344" s="76"/>
      <c r="BK344" s="76"/>
      <c r="BL344" s="76"/>
      <c r="BM344" s="76"/>
      <c r="BN344" s="76"/>
      <c r="BO344" s="76"/>
    </row>
    <row r="345" customFormat="false" ht="15" hidden="false" customHeight="false" outlineLevel="0" collapsed="false">
      <c r="A345" s="73"/>
      <c r="B345" s="73"/>
      <c r="C345" s="73"/>
      <c r="D345" s="73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4"/>
      <c r="S345" s="74"/>
      <c r="T345" s="74"/>
      <c r="U345" s="73"/>
      <c r="V345" s="73"/>
      <c r="W345" s="73"/>
      <c r="X345" s="73"/>
      <c r="Y345" s="75"/>
      <c r="Z345" s="73"/>
      <c r="AA345" s="73"/>
      <c r="AB345" s="73"/>
      <c r="AC345" s="73"/>
      <c r="AD345" s="73"/>
      <c r="AE345" s="73"/>
      <c r="AF345" s="76"/>
      <c r="AG345" s="76"/>
      <c r="AH345" s="76"/>
      <c r="AI345" s="76"/>
      <c r="AJ345" s="76"/>
      <c r="AK345" s="76"/>
      <c r="AL345" s="76"/>
      <c r="AM345" s="76"/>
      <c r="AN345" s="76"/>
      <c r="AO345" s="76"/>
      <c r="AP345" s="76"/>
      <c r="AQ345" s="76"/>
      <c r="AR345" s="76"/>
      <c r="AS345" s="76"/>
      <c r="AT345" s="76"/>
      <c r="AU345" s="76"/>
      <c r="AV345" s="76"/>
      <c r="AW345" s="76"/>
      <c r="AX345" s="76"/>
      <c r="AY345" s="76"/>
      <c r="AZ345" s="76"/>
      <c r="BA345" s="76"/>
      <c r="BB345" s="76"/>
      <c r="BC345" s="76"/>
      <c r="BD345" s="76"/>
      <c r="BE345" s="76"/>
      <c r="BF345" s="76"/>
      <c r="BG345" s="76"/>
      <c r="BH345" s="76"/>
      <c r="BI345" s="76"/>
      <c r="BJ345" s="76"/>
      <c r="BK345" s="76"/>
      <c r="BL345" s="76"/>
      <c r="BM345" s="76"/>
      <c r="BN345" s="76"/>
      <c r="BO345" s="76"/>
    </row>
    <row r="346" customFormat="false" ht="15" hidden="false" customHeight="false" outlineLevel="0" collapsed="false">
      <c r="A346" s="73"/>
      <c r="B346" s="73"/>
      <c r="C346" s="73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4"/>
      <c r="S346" s="74"/>
      <c r="T346" s="74"/>
      <c r="U346" s="73"/>
      <c r="V346" s="73"/>
      <c r="W346" s="73"/>
      <c r="X346" s="73"/>
      <c r="Y346" s="75"/>
      <c r="Z346" s="73"/>
      <c r="AA346" s="73"/>
      <c r="AB346" s="73"/>
      <c r="AC346" s="73"/>
      <c r="AD346" s="73"/>
      <c r="AE346" s="73"/>
      <c r="AF346" s="76"/>
      <c r="AG346" s="76"/>
      <c r="AH346" s="76"/>
      <c r="AI346" s="76"/>
      <c r="AJ346" s="76"/>
      <c r="AK346" s="76"/>
      <c r="AL346" s="76"/>
      <c r="AM346" s="76"/>
      <c r="AN346" s="76"/>
      <c r="AO346" s="76"/>
      <c r="AP346" s="76"/>
      <c r="AQ346" s="76"/>
      <c r="AR346" s="76"/>
      <c r="AS346" s="76"/>
      <c r="AT346" s="76"/>
      <c r="AU346" s="76"/>
      <c r="AV346" s="76"/>
      <c r="AW346" s="76"/>
      <c r="AX346" s="76"/>
      <c r="AY346" s="76"/>
      <c r="AZ346" s="76"/>
      <c r="BA346" s="76"/>
      <c r="BB346" s="76"/>
      <c r="BC346" s="76"/>
      <c r="BD346" s="76"/>
      <c r="BE346" s="76"/>
      <c r="BF346" s="76"/>
      <c r="BG346" s="76"/>
      <c r="BH346" s="76"/>
      <c r="BI346" s="76"/>
      <c r="BJ346" s="76"/>
      <c r="BK346" s="76"/>
      <c r="BL346" s="76"/>
      <c r="BM346" s="76"/>
      <c r="BN346" s="76"/>
      <c r="BO346" s="76"/>
    </row>
  </sheetData>
  <conditionalFormatting sqref="O4:O89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N4:N89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53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5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5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48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33:D49 D51:D52 D54:D63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33:E49 E51:E52 E54:E63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33:F49 F51:F52 F54:F63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4:F32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89">
    <cfRule type="colorScale" priority="1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64:D89">
    <cfRule type="colorScale" priority="1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64:E89">
    <cfRule type="colorScale" priority="1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64:F89">
    <cfRule type="colorScale" priority="1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51:G52 G4:G49 G54:G89">
    <cfRule type="colorScale" priority="1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51:H52 H4:H49 H54:H89">
    <cfRule type="colorScale" priority="1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51:J52 I4:J4 I6:J49 I5 I54:J89">
    <cfRule type="colorScale" priority="1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M51:M89 M4:M49">
    <cfRule type="colorScale" priority="1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6:K89 K4">
    <cfRule type="colorScale" priority="2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4:L89">
    <cfRule type="colorScale" priority="2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2026-02-21T23:59:14Z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