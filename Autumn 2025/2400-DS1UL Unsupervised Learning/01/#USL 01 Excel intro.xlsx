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defaultThemeVersion="124226"/>
  <mc:AlternateContent xmlns:mc="http://schemas.openxmlformats.org/markup-compatibility/2006">
    <mc:Choice Requires="x15">
      <x15ac:absPath xmlns:x15ac="http://schemas.microsoft.com/office/spreadsheetml/2010/11/ac" url="/Users/Jacek/Desktop/USL/KK/clustering/"/>
    </mc:Choice>
  </mc:AlternateContent>
  <xr:revisionPtr revIDLastSave="0" documentId="13_ncr:1_{9CE82622-F6D4-E54F-96D5-E2C017BA8147}" xr6:coauthVersionLast="45" xr6:coauthVersionMax="45" xr10:uidLastSave="{00000000-0000-0000-0000-000000000000}"/>
  <bookViews>
    <workbookView xWindow="0" yWindow="0" windowWidth="28800" windowHeight="18000" xr2:uid="{00000000-000D-0000-FFFF-FFFF00000000}"/>
  </bookViews>
  <sheets>
    <sheet name="Intro" sheetId="1" r:id="rId1"/>
    <sheet name="K-means" sheetId="4" r:id="rId2"/>
    <sheet name="PAM" sheetId="6" r:id="rId3"/>
    <sheet name="distances" sheetId="7" r:id="rId4"/>
    <sheet name="Silhouette" sheetId="8" r:id="rId5"/>
    <sheet name="Task1" sheetId="2" r:id="rId6"/>
    <sheet name="Task 2" sheetId="5" r:id="rId7"/>
  </sheets>
  <definedNames>
    <definedName name="solver_adj" localSheetId="1" hidden="1">'K-means'!$B$34:$G$34</definedName>
    <definedName name="solver_adj" localSheetId="5" hidden="1">Task1!#REF!</definedName>
    <definedName name="solver_cvg" localSheetId="1" hidden="1">0.0001</definedName>
    <definedName name="solver_cvg" localSheetId="5" hidden="1">0.0001</definedName>
    <definedName name="solver_drv" localSheetId="1" hidden="1">1</definedName>
    <definedName name="solver_drv" localSheetId="5" hidden="1">1</definedName>
    <definedName name="solver_eng" localSheetId="1" hidden="1">1</definedName>
    <definedName name="solver_eng" localSheetId="5" hidden="1">1</definedName>
    <definedName name="solver_est" localSheetId="1" hidden="1">1</definedName>
    <definedName name="solver_est" localSheetId="5" hidden="1">1</definedName>
    <definedName name="solver_itr" localSheetId="1" hidden="1">2147483647</definedName>
    <definedName name="solver_itr" localSheetId="5" hidden="1">2147483647</definedName>
    <definedName name="solver_mip" localSheetId="1" hidden="1">2147483647</definedName>
    <definedName name="solver_mip" localSheetId="5" hidden="1">2147483647</definedName>
    <definedName name="solver_mni" localSheetId="1" hidden="1">30</definedName>
    <definedName name="solver_mni" localSheetId="5" hidden="1">30</definedName>
    <definedName name="solver_mrt" localSheetId="1" hidden="1">0.075</definedName>
    <definedName name="solver_mrt" localSheetId="5" hidden="1">0.075</definedName>
    <definedName name="solver_msl" localSheetId="1" hidden="1">2</definedName>
    <definedName name="solver_msl" localSheetId="5" hidden="1">2</definedName>
    <definedName name="solver_neg" localSheetId="1" hidden="1">1</definedName>
    <definedName name="solver_neg" localSheetId="5" hidden="1">1</definedName>
    <definedName name="solver_nod" localSheetId="1" hidden="1">2147483647</definedName>
    <definedName name="solver_nod" localSheetId="5" hidden="1">2147483647</definedName>
    <definedName name="solver_num" localSheetId="1" hidden="1">0</definedName>
    <definedName name="solver_num" localSheetId="5" hidden="1">0</definedName>
    <definedName name="solver_nwt" localSheetId="1" hidden="1">1</definedName>
    <definedName name="solver_nwt" localSheetId="5" hidden="1">1</definedName>
    <definedName name="solver_opt" localSheetId="1" hidden="1">'K-means'!$O$50</definedName>
    <definedName name="solver_opt" localSheetId="5" hidden="1">Task1!#REF!</definedName>
    <definedName name="solver_pre" localSheetId="1" hidden="1">0.000001</definedName>
    <definedName name="solver_pre" localSheetId="5" hidden="1">0.000001</definedName>
    <definedName name="solver_rbv" localSheetId="1" hidden="1">1</definedName>
    <definedName name="solver_rbv" localSheetId="5" hidden="1">1</definedName>
    <definedName name="solver_rlx" localSheetId="1" hidden="1">2</definedName>
    <definedName name="solver_rlx" localSheetId="5" hidden="1">2</definedName>
    <definedName name="solver_rsd" localSheetId="1" hidden="1">0</definedName>
    <definedName name="solver_rsd" localSheetId="5" hidden="1">0</definedName>
    <definedName name="solver_scl" localSheetId="1" hidden="1">1</definedName>
    <definedName name="solver_scl" localSheetId="5" hidden="1">1</definedName>
    <definedName name="solver_sho" localSheetId="1" hidden="1">2</definedName>
    <definedName name="solver_sho" localSheetId="5" hidden="1">2</definedName>
    <definedName name="solver_ssz" localSheetId="1" hidden="1">100</definedName>
    <definedName name="solver_ssz" localSheetId="5" hidden="1">100</definedName>
    <definedName name="solver_tim" localSheetId="1" hidden="1">2147483647</definedName>
    <definedName name="solver_tim" localSheetId="5" hidden="1">2147483647</definedName>
    <definedName name="solver_tol" localSheetId="1" hidden="1">0.01</definedName>
    <definedName name="solver_tol" localSheetId="5" hidden="1">0.01</definedName>
    <definedName name="solver_typ" localSheetId="1" hidden="1">2</definedName>
    <definedName name="solver_typ" localSheetId="5" hidden="1">2</definedName>
    <definedName name="solver_val" localSheetId="1" hidden="1">0</definedName>
    <definedName name="solver_val" localSheetId="5" hidden="1">0</definedName>
    <definedName name="solver_ver" localSheetId="1" hidden="1">3</definedName>
    <definedName name="solver_ver" localSheetId="5"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7" l="1"/>
  <c r="F16" i="7"/>
  <c r="BK16" i="7"/>
  <c r="H9" i="8" l="1"/>
  <c r="I27" i="8" s="1"/>
  <c r="K27" i="8" s="1"/>
  <c r="I9" i="8"/>
  <c r="J9" i="8"/>
  <c r="K9" i="8"/>
  <c r="L9" i="8"/>
  <c r="M9" i="8"/>
  <c r="N9" i="8"/>
  <c r="O9" i="8"/>
  <c r="P9" i="8"/>
  <c r="Q9" i="8"/>
  <c r="R9" i="8"/>
  <c r="S9" i="8"/>
  <c r="T9" i="8"/>
  <c r="U9" i="8"/>
  <c r="H10" i="8"/>
  <c r="I10" i="8"/>
  <c r="J10" i="8"/>
  <c r="K10" i="8"/>
  <c r="L10" i="8"/>
  <c r="M10" i="8"/>
  <c r="N10" i="8"/>
  <c r="O10" i="8"/>
  <c r="P10" i="8"/>
  <c r="Q10" i="8"/>
  <c r="R10" i="8"/>
  <c r="S10" i="8"/>
  <c r="T10" i="8"/>
  <c r="U10" i="8"/>
  <c r="H11" i="8"/>
  <c r="I29" i="8" s="1"/>
  <c r="I11" i="8"/>
  <c r="J11" i="8"/>
  <c r="K11" i="8"/>
  <c r="L11" i="8"/>
  <c r="M11" i="8"/>
  <c r="N11" i="8"/>
  <c r="O11" i="8"/>
  <c r="P11" i="8"/>
  <c r="Q11" i="8"/>
  <c r="R11" i="8"/>
  <c r="S11" i="8"/>
  <c r="T11" i="8"/>
  <c r="U11" i="8"/>
  <c r="H12" i="8"/>
  <c r="I12" i="8"/>
  <c r="J12" i="8"/>
  <c r="K12" i="8"/>
  <c r="L12" i="8"/>
  <c r="M12" i="8"/>
  <c r="N12" i="8"/>
  <c r="O12" i="8"/>
  <c r="P12" i="8"/>
  <c r="Q12" i="8"/>
  <c r="R12" i="8"/>
  <c r="S12" i="8"/>
  <c r="T12" i="8"/>
  <c r="U12" i="8"/>
  <c r="H13" i="8"/>
  <c r="I31" i="8" s="1"/>
  <c r="K31" i="8" s="1"/>
  <c r="I13" i="8"/>
  <c r="J13" i="8"/>
  <c r="K13" i="8"/>
  <c r="L13" i="8"/>
  <c r="M13" i="8"/>
  <c r="N13" i="8"/>
  <c r="O13" i="8"/>
  <c r="P13" i="8"/>
  <c r="Q13" i="8"/>
  <c r="R13" i="8"/>
  <c r="S13" i="8"/>
  <c r="T13" i="8"/>
  <c r="U13" i="8"/>
  <c r="H14" i="8"/>
  <c r="I14" i="8"/>
  <c r="J14" i="8"/>
  <c r="K14" i="8"/>
  <c r="L14" i="8"/>
  <c r="M14" i="8"/>
  <c r="N14" i="8"/>
  <c r="O14" i="8"/>
  <c r="P14" i="8"/>
  <c r="Q14" i="8"/>
  <c r="R14" i="8"/>
  <c r="S14" i="8"/>
  <c r="T14" i="8"/>
  <c r="U14" i="8"/>
  <c r="H15" i="8"/>
  <c r="I33" i="8" s="1"/>
  <c r="I15" i="8"/>
  <c r="J15" i="8"/>
  <c r="K15" i="8"/>
  <c r="L15" i="8"/>
  <c r="M15" i="8"/>
  <c r="N15" i="8"/>
  <c r="O15" i="8"/>
  <c r="P15" i="8"/>
  <c r="Q15" i="8"/>
  <c r="R15" i="8"/>
  <c r="S15" i="8"/>
  <c r="T15" i="8"/>
  <c r="U15" i="8"/>
  <c r="H16" i="8"/>
  <c r="I16" i="8"/>
  <c r="J16" i="8"/>
  <c r="K16" i="8"/>
  <c r="L16" i="8"/>
  <c r="M16" i="8"/>
  <c r="N16" i="8"/>
  <c r="O16" i="8"/>
  <c r="P16" i="8"/>
  <c r="Q16" i="8"/>
  <c r="R16" i="8"/>
  <c r="S16" i="8"/>
  <c r="T16" i="8"/>
  <c r="U16" i="8"/>
  <c r="H17" i="8"/>
  <c r="I35" i="8" s="1"/>
  <c r="I17" i="8"/>
  <c r="J17" i="8"/>
  <c r="K17" i="8"/>
  <c r="L17" i="8"/>
  <c r="M17" i="8"/>
  <c r="N17" i="8"/>
  <c r="O17" i="8"/>
  <c r="P17" i="8"/>
  <c r="Q17" i="8"/>
  <c r="R17" i="8"/>
  <c r="S17" i="8"/>
  <c r="T17" i="8"/>
  <c r="U17" i="8"/>
  <c r="H18" i="8"/>
  <c r="I18" i="8"/>
  <c r="J18" i="8"/>
  <c r="K18" i="8"/>
  <c r="L18" i="8"/>
  <c r="M18" i="8"/>
  <c r="N18" i="8"/>
  <c r="O18" i="8"/>
  <c r="P18" i="8"/>
  <c r="Q18" i="8"/>
  <c r="R18" i="8"/>
  <c r="S18" i="8"/>
  <c r="T18" i="8"/>
  <c r="U18" i="8"/>
  <c r="H19" i="8"/>
  <c r="I37" i="8" s="1"/>
  <c r="I19" i="8"/>
  <c r="J19" i="8"/>
  <c r="K19" i="8"/>
  <c r="L19" i="8"/>
  <c r="M19" i="8"/>
  <c r="N19" i="8"/>
  <c r="O19" i="8"/>
  <c r="P19" i="8"/>
  <c r="Q19" i="8"/>
  <c r="R19" i="8"/>
  <c r="S19" i="8"/>
  <c r="T19" i="8"/>
  <c r="U19" i="8"/>
  <c r="H20" i="8"/>
  <c r="I20" i="8"/>
  <c r="J20" i="8"/>
  <c r="K20" i="8"/>
  <c r="L20" i="8"/>
  <c r="M20" i="8"/>
  <c r="N20" i="8"/>
  <c r="O20" i="8"/>
  <c r="P20" i="8"/>
  <c r="Q20" i="8"/>
  <c r="R20" i="8"/>
  <c r="S20" i="8"/>
  <c r="T20" i="8"/>
  <c r="U20" i="8"/>
  <c r="H21" i="8"/>
  <c r="I39" i="8" s="1"/>
  <c r="I21" i="8"/>
  <c r="J21" i="8"/>
  <c r="K21" i="8"/>
  <c r="L21" i="8"/>
  <c r="M21" i="8"/>
  <c r="N21" i="8"/>
  <c r="O21" i="8"/>
  <c r="P21" i="8"/>
  <c r="Q21" i="8"/>
  <c r="R21" i="8"/>
  <c r="S21" i="8"/>
  <c r="T21" i="8"/>
  <c r="U21" i="8"/>
  <c r="I8" i="8"/>
  <c r="J8" i="8"/>
  <c r="K8" i="8"/>
  <c r="L8" i="8"/>
  <c r="M8" i="8"/>
  <c r="N8" i="8"/>
  <c r="O8" i="8"/>
  <c r="P8" i="8"/>
  <c r="Q8" i="8"/>
  <c r="R8" i="8"/>
  <c r="S8" i="8"/>
  <c r="T8" i="8"/>
  <c r="U8" i="8"/>
  <c r="H8" i="8"/>
  <c r="I26" i="8" s="1"/>
  <c r="K26" i="8" s="1"/>
  <c r="BK14" i="7"/>
  <c r="BL14" i="7"/>
  <c r="BM14" i="7"/>
  <c r="BN14" i="7"/>
  <c r="BO14" i="7"/>
  <c r="BP14" i="7"/>
  <c r="BQ14" i="7"/>
  <c r="BR14" i="7"/>
  <c r="BS14" i="7"/>
  <c r="BT14" i="7"/>
  <c r="BU14" i="7"/>
  <c r="BV14" i="7"/>
  <c r="BW14" i="7"/>
  <c r="BX14" i="7"/>
  <c r="BK15" i="7"/>
  <c r="BL15" i="7"/>
  <c r="BM15" i="7"/>
  <c r="BN15" i="7"/>
  <c r="BO15" i="7"/>
  <c r="BP15" i="7"/>
  <c r="BQ15" i="7"/>
  <c r="BR15" i="7"/>
  <c r="BS15" i="7"/>
  <c r="BT15" i="7"/>
  <c r="BU15" i="7"/>
  <c r="BV15" i="7"/>
  <c r="BW15" i="7"/>
  <c r="BX15" i="7"/>
  <c r="BL16" i="7"/>
  <c r="BM16" i="7"/>
  <c r="BN16" i="7"/>
  <c r="BO16" i="7"/>
  <c r="BP16" i="7"/>
  <c r="BQ16" i="7"/>
  <c r="BR16" i="7"/>
  <c r="BS16" i="7"/>
  <c r="BT16" i="7"/>
  <c r="BU16" i="7"/>
  <c r="BV16" i="7"/>
  <c r="BW16" i="7"/>
  <c r="BX16" i="7"/>
  <c r="BK17" i="7"/>
  <c r="BL17" i="7"/>
  <c r="BM17" i="7"/>
  <c r="BN17" i="7"/>
  <c r="BO17" i="7"/>
  <c r="BP17" i="7"/>
  <c r="BQ17" i="7"/>
  <c r="BR17" i="7"/>
  <c r="BS17" i="7"/>
  <c r="BT17" i="7"/>
  <c r="BU17" i="7"/>
  <c r="BV17" i="7"/>
  <c r="BW17" i="7"/>
  <c r="BX17" i="7"/>
  <c r="BK18" i="7"/>
  <c r="BL18" i="7"/>
  <c r="BM18" i="7"/>
  <c r="BN18" i="7"/>
  <c r="BO18" i="7"/>
  <c r="BP18" i="7"/>
  <c r="BQ18" i="7"/>
  <c r="BR18" i="7"/>
  <c r="BS18" i="7"/>
  <c r="BT18" i="7"/>
  <c r="BU18" i="7"/>
  <c r="BV18" i="7"/>
  <c r="BW18" i="7"/>
  <c r="BX18" i="7"/>
  <c r="BK19" i="7"/>
  <c r="BL19" i="7"/>
  <c r="BM19" i="7"/>
  <c r="BN19" i="7"/>
  <c r="BO19" i="7"/>
  <c r="BP19" i="7"/>
  <c r="BQ19" i="7"/>
  <c r="BR19" i="7"/>
  <c r="BS19" i="7"/>
  <c r="BT19" i="7"/>
  <c r="BU19" i="7"/>
  <c r="BV19" i="7"/>
  <c r="BW19" i="7"/>
  <c r="BX19" i="7"/>
  <c r="BK20" i="7"/>
  <c r="BL20" i="7"/>
  <c r="BM20" i="7"/>
  <c r="BN20" i="7"/>
  <c r="BO20" i="7"/>
  <c r="BP20" i="7"/>
  <c r="BQ20" i="7"/>
  <c r="BR20" i="7"/>
  <c r="BS20" i="7"/>
  <c r="BT20" i="7"/>
  <c r="BU20" i="7"/>
  <c r="BV20" i="7"/>
  <c r="BW20" i="7"/>
  <c r="BX20" i="7"/>
  <c r="BK21" i="7"/>
  <c r="BL21" i="7"/>
  <c r="BM21" i="7"/>
  <c r="BN21" i="7"/>
  <c r="BO21" i="7"/>
  <c r="BP21" i="7"/>
  <c r="BQ21" i="7"/>
  <c r="BR21" i="7"/>
  <c r="BS21" i="7"/>
  <c r="BT21" i="7"/>
  <c r="BU21" i="7"/>
  <c r="BV21" i="7"/>
  <c r="BW21" i="7"/>
  <c r="BX21" i="7"/>
  <c r="BK22" i="7"/>
  <c r="BL22" i="7"/>
  <c r="BM22" i="7"/>
  <c r="BN22" i="7"/>
  <c r="BO22" i="7"/>
  <c r="BP22" i="7"/>
  <c r="BQ22" i="7"/>
  <c r="BR22" i="7"/>
  <c r="BS22" i="7"/>
  <c r="BT22" i="7"/>
  <c r="BU22" i="7"/>
  <c r="BV22" i="7"/>
  <c r="BW22" i="7"/>
  <c r="BX22" i="7"/>
  <c r="BK23" i="7"/>
  <c r="BL23" i="7"/>
  <c r="BM23" i="7"/>
  <c r="BN23" i="7"/>
  <c r="BO23" i="7"/>
  <c r="BP23" i="7"/>
  <c r="BQ23" i="7"/>
  <c r="BR23" i="7"/>
  <c r="BS23" i="7"/>
  <c r="BT23" i="7"/>
  <c r="BU23" i="7"/>
  <c r="BV23" i="7"/>
  <c r="BW23" i="7"/>
  <c r="BX23" i="7"/>
  <c r="BK24" i="7"/>
  <c r="BL24" i="7"/>
  <c r="BM24" i="7"/>
  <c r="BN24" i="7"/>
  <c r="BO24" i="7"/>
  <c r="BP24" i="7"/>
  <c r="BQ24" i="7"/>
  <c r="BR24" i="7"/>
  <c r="BS24" i="7"/>
  <c r="BT24" i="7"/>
  <c r="BU24" i="7"/>
  <c r="BV24" i="7"/>
  <c r="BW24" i="7"/>
  <c r="BX24" i="7"/>
  <c r="BK25" i="7"/>
  <c r="BL25" i="7"/>
  <c r="BM25" i="7"/>
  <c r="BN25" i="7"/>
  <c r="BO25" i="7"/>
  <c r="BP25" i="7"/>
  <c r="BQ25" i="7"/>
  <c r="BR25" i="7"/>
  <c r="BS25" i="7"/>
  <c r="BT25" i="7"/>
  <c r="BU25" i="7"/>
  <c r="BV25" i="7"/>
  <c r="BW25" i="7"/>
  <c r="BX25" i="7"/>
  <c r="BK26" i="7"/>
  <c r="BL26" i="7"/>
  <c r="BM26" i="7"/>
  <c r="BN26" i="7"/>
  <c r="BO26" i="7"/>
  <c r="BP26" i="7"/>
  <c r="BQ26" i="7"/>
  <c r="BR26" i="7"/>
  <c r="BS26" i="7"/>
  <c r="BT26" i="7"/>
  <c r="BU26" i="7"/>
  <c r="BV26" i="7"/>
  <c r="BW26" i="7"/>
  <c r="BX26" i="7"/>
  <c r="BL13" i="7"/>
  <c r="BM13" i="7"/>
  <c r="BN13" i="7"/>
  <c r="BN29" i="7" s="1" a="1"/>
  <c r="BN29" i="7" s="1"/>
  <c r="BO13" i="7"/>
  <c r="BP13" i="7"/>
  <c r="BQ13" i="7"/>
  <c r="BR13" i="7"/>
  <c r="BS13" i="7"/>
  <c r="BT13" i="7"/>
  <c r="BU13" i="7"/>
  <c r="BV13" i="7"/>
  <c r="BW13" i="7"/>
  <c r="BX13" i="7"/>
  <c r="BK13" i="7"/>
  <c r="AR14" i="7"/>
  <c r="AS14" i="7"/>
  <c r="AT14" i="7"/>
  <c r="AU14" i="7"/>
  <c r="AV14" i="7"/>
  <c r="AW14" i="7"/>
  <c r="AX14" i="7"/>
  <c r="AY14" i="7"/>
  <c r="AZ14" i="7"/>
  <c r="BA14" i="7"/>
  <c r="BB14" i="7"/>
  <c r="BC14" i="7"/>
  <c r="BD14" i="7"/>
  <c r="BE14" i="7"/>
  <c r="AR15" i="7"/>
  <c r="AS15" i="7"/>
  <c r="AT15" i="7"/>
  <c r="AU15" i="7"/>
  <c r="AV15" i="7"/>
  <c r="AW15" i="7"/>
  <c r="AX15" i="7"/>
  <c r="AY15" i="7"/>
  <c r="AZ15" i="7"/>
  <c r="BA15" i="7"/>
  <c r="BB15" i="7"/>
  <c r="BC15" i="7"/>
  <c r="BD15" i="7"/>
  <c r="BE15" i="7"/>
  <c r="AR16" i="7"/>
  <c r="AS16" i="7"/>
  <c r="AT16" i="7"/>
  <c r="AU16" i="7"/>
  <c r="AV16" i="7"/>
  <c r="AW16" i="7"/>
  <c r="AX16" i="7"/>
  <c r="AY16" i="7"/>
  <c r="AZ16" i="7"/>
  <c r="BA16" i="7"/>
  <c r="BB16" i="7"/>
  <c r="BC16" i="7"/>
  <c r="BD16" i="7"/>
  <c r="BE16" i="7"/>
  <c r="AR17" i="7"/>
  <c r="AS17" i="7"/>
  <c r="AT17" i="7"/>
  <c r="AU17" i="7"/>
  <c r="AV17" i="7"/>
  <c r="AW17" i="7"/>
  <c r="AX17" i="7"/>
  <c r="AY17" i="7"/>
  <c r="AZ17" i="7"/>
  <c r="BA17" i="7"/>
  <c r="BB17" i="7"/>
  <c r="BC17" i="7"/>
  <c r="BD17" i="7"/>
  <c r="BE17" i="7"/>
  <c r="AR18" i="7"/>
  <c r="AS18" i="7"/>
  <c r="AT18" i="7"/>
  <c r="AU18" i="7"/>
  <c r="AV18" i="7"/>
  <c r="AW18" i="7"/>
  <c r="AX18" i="7"/>
  <c r="AY18" i="7"/>
  <c r="AZ18" i="7"/>
  <c r="BA18" i="7"/>
  <c r="BB18" i="7"/>
  <c r="BC18" i="7"/>
  <c r="BD18" i="7"/>
  <c r="BE18" i="7"/>
  <c r="AR19" i="7"/>
  <c r="AS19" i="7"/>
  <c r="AT19" i="7"/>
  <c r="AU19" i="7"/>
  <c r="AV19" i="7"/>
  <c r="AW19" i="7"/>
  <c r="AX19" i="7"/>
  <c r="AY19" i="7"/>
  <c r="AZ19" i="7"/>
  <c r="BA19" i="7"/>
  <c r="BB19" i="7"/>
  <c r="BC19" i="7"/>
  <c r="BD19" i="7"/>
  <c r="BE19" i="7"/>
  <c r="AR20" i="7"/>
  <c r="AS20" i="7"/>
  <c r="AT20" i="7"/>
  <c r="AU20" i="7"/>
  <c r="AV20" i="7"/>
  <c r="AW20" i="7"/>
  <c r="AX20" i="7"/>
  <c r="AY20" i="7"/>
  <c r="AZ20" i="7"/>
  <c r="BA20" i="7"/>
  <c r="BB20" i="7"/>
  <c r="BC20" i="7"/>
  <c r="BD20" i="7"/>
  <c r="BE20" i="7"/>
  <c r="AR21" i="7"/>
  <c r="AS21" i="7"/>
  <c r="AT21" i="7"/>
  <c r="AU21" i="7"/>
  <c r="AV21" i="7"/>
  <c r="AW21" i="7"/>
  <c r="AX21" i="7"/>
  <c r="AY21" i="7"/>
  <c r="AZ21" i="7"/>
  <c r="BA21" i="7"/>
  <c r="BB21" i="7"/>
  <c r="BC21" i="7"/>
  <c r="BD21" i="7"/>
  <c r="BE21" i="7"/>
  <c r="AR22" i="7"/>
  <c r="AS22" i="7"/>
  <c r="AT22" i="7"/>
  <c r="AU22" i="7"/>
  <c r="AV22" i="7"/>
  <c r="AW22" i="7"/>
  <c r="AX22" i="7"/>
  <c r="AY22" i="7"/>
  <c r="AZ22" i="7"/>
  <c r="BA22" i="7"/>
  <c r="BB22" i="7"/>
  <c r="BC22" i="7"/>
  <c r="BD22" i="7"/>
  <c r="BE22" i="7"/>
  <c r="AR23" i="7"/>
  <c r="AS23" i="7"/>
  <c r="AT23" i="7"/>
  <c r="AU23" i="7"/>
  <c r="AV23" i="7"/>
  <c r="AW23" i="7"/>
  <c r="AX23" i="7"/>
  <c r="AY23" i="7"/>
  <c r="AZ23" i="7"/>
  <c r="BA23" i="7"/>
  <c r="BB23" i="7"/>
  <c r="BC23" i="7"/>
  <c r="BD23" i="7"/>
  <c r="BE23" i="7"/>
  <c r="AR24" i="7"/>
  <c r="AS24" i="7"/>
  <c r="AT24" i="7"/>
  <c r="AU24" i="7"/>
  <c r="AV24" i="7"/>
  <c r="AW24" i="7"/>
  <c r="AX24" i="7"/>
  <c r="AY24" i="7"/>
  <c r="AZ24" i="7"/>
  <c r="BA24" i="7"/>
  <c r="BB24" i="7"/>
  <c r="BC24" i="7"/>
  <c r="BD24" i="7"/>
  <c r="BE24" i="7"/>
  <c r="AR25" i="7"/>
  <c r="AS25" i="7"/>
  <c r="AT25" i="7"/>
  <c r="AU25" i="7"/>
  <c r="AV25" i="7"/>
  <c r="AW25" i="7"/>
  <c r="AX25" i="7"/>
  <c r="AY25" i="7"/>
  <c r="AZ25" i="7"/>
  <c r="BA25" i="7"/>
  <c r="BB25" i="7"/>
  <c r="BC25" i="7"/>
  <c r="BD25" i="7"/>
  <c r="BE25" i="7"/>
  <c r="AR26" i="7"/>
  <c r="AS26" i="7"/>
  <c r="AT26" i="7"/>
  <c r="AU26" i="7"/>
  <c r="AV26" i="7"/>
  <c r="AW26" i="7"/>
  <c r="AX26" i="7"/>
  <c r="AY26" i="7"/>
  <c r="AZ26" i="7"/>
  <c r="BA26" i="7"/>
  <c r="BB26" i="7"/>
  <c r="BC26" i="7"/>
  <c r="BD26" i="7"/>
  <c r="BE26" i="7"/>
  <c r="AS13" i="7"/>
  <c r="AT13" i="7"/>
  <c r="AU13" i="7"/>
  <c r="AV13" i="7"/>
  <c r="AW13" i="7"/>
  <c r="AX13" i="7"/>
  <c r="AY13" i="7"/>
  <c r="AZ13" i="7"/>
  <c r="BA13" i="7"/>
  <c r="BB13" i="7"/>
  <c r="BC13" i="7"/>
  <c r="BD13" i="7"/>
  <c r="BE13" i="7"/>
  <c r="AR13" i="7"/>
  <c r="Z13" i="7"/>
  <c r="AA13" i="7"/>
  <c r="AB13" i="7"/>
  <c r="AC13" i="7"/>
  <c r="AD13" i="7"/>
  <c r="AE13" i="7"/>
  <c r="AF13" i="7"/>
  <c r="AG13" i="7"/>
  <c r="AH13" i="7"/>
  <c r="AI13" i="7"/>
  <c r="AJ13" i="7"/>
  <c r="AK13" i="7"/>
  <c r="AL13" i="7"/>
  <c r="Z14" i="7"/>
  <c r="AA14" i="7"/>
  <c r="AB14" i="7"/>
  <c r="AC14" i="7"/>
  <c r="AD14" i="7"/>
  <c r="AE14" i="7"/>
  <c r="AF14" i="7"/>
  <c r="AG14" i="7"/>
  <c r="AH14" i="7"/>
  <c r="AI14" i="7"/>
  <c r="AJ14" i="7"/>
  <c r="AK14" i="7"/>
  <c r="AL14" i="7"/>
  <c r="Z15" i="7"/>
  <c r="AA15" i="7"/>
  <c r="AB15" i="7"/>
  <c r="AC15" i="7"/>
  <c r="AD15" i="7"/>
  <c r="AE15" i="7"/>
  <c r="AF15" i="7"/>
  <c r="AG15" i="7"/>
  <c r="AH15" i="7"/>
  <c r="AI15" i="7"/>
  <c r="AJ15" i="7"/>
  <c r="AK15" i="7"/>
  <c r="AL15" i="7"/>
  <c r="Z16" i="7"/>
  <c r="AA16" i="7"/>
  <c r="AB16" i="7"/>
  <c r="AC16" i="7"/>
  <c r="AD16" i="7"/>
  <c r="AE16" i="7"/>
  <c r="AF16" i="7"/>
  <c r="AG16" i="7"/>
  <c r="AH16" i="7"/>
  <c r="AI16" i="7"/>
  <c r="AJ16" i="7"/>
  <c r="AK16" i="7"/>
  <c r="AL16" i="7"/>
  <c r="Z17" i="7"/>
  <c r="AA17" i="7"/>
  <c r="AB17" i="7"/>
  <c r="AC17" i="7"/>
  <c r="AD17" i="7"/>
  <c r="AE17" i="7"/>
  <c r="AF17" i="7"/>
  <c r="AG17" i="7"/>
  <c r="AH17" i="7"/>
  <c r="AI17" i="7"/>
  <c r="AJ17" i="7"/>
  <c r="AK17" i="7"/>
  <c r="AL17" i="7"/>
  <c r="Z18" i="7"/>
  <c r="AA18" i="7"/>
  <c r="AB18" i="7"/>
  <c r="AC18" i="7"/>
  <c r="AD18" i="7"/>
  <c r="AE18" i="7"/>
  <c r="AF18" i="7"/>
  <c r="AG18" i="7"/>
  <c r="AH18" i="7"/>
  <c r="AI18" i="7"/>
  <c r="AJ18" i="7"/>
  <c r="AK18" i="7"/>
  <c r="AL18" i="7"/>
  <c r="Z19" i="7"/>
  <c r="AA19" i="7"/>
  <c r="AB19" i="7"/>
  <c r="AC19" i="7"/>
  <c r="AD19" i="7"/>
  <c r="AE19" i="7"/>
  <c r="AF19" i="7"/>
  <c r="AG19" i="7"/>
  <c r="AH19" i="7"/>
  <c r="AI19" i="7"/>
  <c r="AJ19" i="7"/>
  <c r="AK19" i="7"/>
  <c r="AL19" i="7"/>
  <c r="Z20" i="7"/>
  <c r="AA20" i="7"/>
  <c r="AB20" i="7"/>
  <c r="AC20" i="7"/>
  <c r="AD20" i="7"/>
  <c r="AE20" i="7"/>
  <c r="AF20" i="7"/>
  <c r="AG20" i="7"/>
  <c r="AH20" i="7"/>
  <c r="AI20" i="7"/>
  <c r="AJ20" i="7"/>
  <c r="AK20" i="7"/>
  <c r="AL20" i="7"/>
  <c r="Z21" i="7"/>
  <c r="AA21" i="7"/>
  <c r="AB21" i="7"/>
  <c r="AC21" i="7"/>
  <c r="AD21" i="7"/>
  <c r="AE21" i="7"/>
  <c r="AF21" i="7"/>
  <c r="AG21" i="7"/>
  <c r="AH21" i="7"/>
  <c r="AI21" i="7"/>
  <c r="AJ21" i="7"/>
  <c r="AK21" i="7"/>
  <c r="AL21" i="7"/>
  <c r="Z22" i="7"/>
  <c r="AA22" i="7"/>
  <c r="AB22" i="7"/>
  <c r="AC22" i="7"/>
  <c r="AD22" i="7"/>
  <c r="AE22" i="7"/>
  <c r="AF22" i="7"/>
  <c r="AG22" i="7"/>
  <c r="AH22" i="7"/>
  <c r="AI22" i="7"/>
  <c r="AJ22" i="7"/>
  <c r="AK22" i="7"/>
  <c r="AL22" i="7"/>
  <c r="Z23" i="7"/>
  <c r="AA23" i="7"/>
  <c r="AB23" i="7"/>
  <c r="AC23" i="7"/>
  <c r="AD23" i="7"/>
  <c r="AE23" i="7"/>
  <c r="AF23" i="7"/>
  <c r="AG23" i="7"/>
  <c r="AH23" i="7"/>
  <c r="AI23" i="7"/>
  <c r="AJ23" i="7"/>
  <c r="AK23" i="7"/>
  <c r="AL23" i="7"/>
  <c r="Z24" i="7"/>
  <c r="AA24" i="7"/>
  <c r="AB24" i="7"/>
  <c r="AC24" i="7"/>
  <c r="AD24" i="7"/>
  <c r="AE24" i="7"/>
  <c r="AF24" i="7"/>
  <c r="AG24" i="7"/>
  <c r="AH24" i="7"/>
  <c r="AI24" i="7"/>
  <c r="AJ24" i="7"/>
  <c r="AK24" i="7"/>
  <c r="AL24" i="7"/>
  <c r="Z25" i="7"/>
  <c r="AA25" i="7"/>
  <c r="AB25" i="7"/>
  <c r="AC25" i="7"/>
  <c r="AD25" i="7"/>
  <c r="AE25" i="7"/>
  <c r="AF25" i="7"/>
  <c r="AG25" i="7"/>
  <c r="AH25" i="7"/>
  <c r="AI25" i="7"/>
  <c r="AJ25" i="7"/>
  <c r="AK25" i="7"/>
  <c r="AL25" i="7"/>
  <c r="Z26" i="7"/>
  <c r="AA26" i="7"/>
  <c r="AB26" i="7"/>
  <c r="AC26" i="7"/>
  <c r="AD26" i="7"/>
  <c r="AE26" i="7"/>
  <c r="AF26" i="7"/>
  <c r="AG26" i="7"/>
  <c r="AH26" i="7"/>
  <c r="AI26" i="7"/>
  <c r="AJ26" i="7"/>
  <c r="AK26" i="7"/>
  <c r="AL26" i="7"/>
  <c r="Y14" i="7"/>
  <c r="Y15" i="7"/>
  <c r="Y16" i="7"/>
  <c r="Y17" i="7"/>
  <c r="Y18" i="7"/>
  <c r="Y19" i="7"/>
  <c r="Y20" i="7"/>
  <c r="Y21" i="7"/>
  <c r="Y22" i="7"/>
  <c r="Y23" i="7"/>
  <c r="Y24" i="7"/>
  <c r="Y25" i="7"/>
  <c r="Y26" i="7"/>
  <c r="Y13" i="7"/>
  <c r="F14" i="7"/>
  <c r="G14" i="7"/>
  <c r="H14" i="7"/>
  <c r="I14" i="7"/>
  <c r="J14" i="7"/>
  <c r="K14" i="7"/>
  <c r="L14" i="7"/>
  <c r="M14" i="7"/>
  <c r="N14" i="7"/>
  <c r="O14" i="7"/>
  <c r="P14" i="7"/>
  <c r="Q14" i="7"/>
  <c r="R14" i="7"/>
  <c r="S14" i="7"/>
  <c r="F15" i="7"/>
  <c r="G15" i="7"/>
  <c r="H15" i="7"/>
  <c r="I15" i="7"/>
  <c r="J15" i="7"/>
  <c r="K15" i="7"/>
  <c r="L15" i="7"/>
  <c r="M15" i="7"/>
  <c r="N15" i="7"/>
  <c r="O15" i="7"/>
  <c r="P15" i="7"/>
  <c r="Q15" i="7"/>
  <c r="R15" i="7"/>
  <c r="S15" i="7"/>
  <c r="H16" i="7"/>
  <c r="I16" i="7"/>
  <c r="J16" i="7"/>
  <c r="K16" i="7"/>
  <c r="L16" i="7"/>
  <c r="M16" i="7"/>
  <c r="N16" i="7"/>
  <c r="O16" i="7"/>
  <c r="P16" i="7"/>
  <c r="Q16" i="7"/>
  <c r="R16" i="7"/>
  <c r="S16" i="7"/>
  <c r="F17" i="7"/>
  <c r="G17" i="7"/>
  <c r="H17" i="7"/>
  <c r="I17" i="7"/>
  <c r="J17" i="7"/>
  <c r="K17" i="7"/>
  <c r="L17" i="7"/>
  <c r="M17" i="7"/>
  <c r="N17" i="7"/>
  <c r="O17" i="7"/>
  <c r="P17" i="7"/>
  <c r="Q17" i="7"/>
  <c r="R17" i="7"/>
  <c r="S17" i="7"/>
  <c r="F18" i="7"/>
  <c r="G18" i="7"/>
  <c r="H18" i="7"/>
  <c r="I18" i="7"/>
  <c r="J18" i="7"/>
  <c r="K18" i="7"/>
  <c r="L18" i="7"/>
  <c r="M18" i="7"/>
  <c r="N18" i="7"/>
  <c r="O18" i="7"/>
  <c r="P18" i="7"/>
  <c r="Q18" i="7"/>
  <c r="R18" i="7"/>
  <c r="S18" i="7"/>
  <c r="F19" i="7"/>
  <c r="G19" i="7"/>
  <c r="H19" i="7"/>
  <c r="I19" i="7"/>
  <c r="J19" i="7"/>
  <c r="K19" i="7"/>
  <c r="L19" i="7"/>
  <c r="M19" i="7"/>
  <c r="N19" i="7"/>
  <c r="O19" i="7"/>
  <c r="P19" i="7"/>
  <c r="Q19" i="7"/>
  <c r="R19" i="7"/>
  <c r="S19" i="7"/>
  <c r="F20" i="7"/>
  <c r="G20" i="7"/>
  <c r="H20" i="7"/>
  <c r="I20" i="7"/>
  <c r="J20" i="7"/>
  <c r="K20" i="7"/>
  <c r="L20" i="7"/>
  <c r="M20" i="7"/>
  <c r="N20" i="7"/>
  <c r="O20" i="7"/>
  <c r="P20" i="7"/>
  <c r="Q20" i="7"/>
  <c r="R20" i="7"/>
  <c r="S20" i="7"/>
  <c r="F21" i="7"/>
  <c r="G21" i="7"/>
  <c r="H21" i="7"/>
  <c r="I21" i="7"/>
  <c r="J21" i="7"/>
  <c r="K21" i="7"/>
  <c r="L21" i="7"/>
  <c r="M21" i="7"/>
  <c r="N21" i="7"/>
  <c r="O21" i="7"/>
  <c r="P21" i="7"/>
  <c r="Q21" i="7"/>
  <c r="R21" i="7"/>
  <c r="S21" i="7"/>
  <c r="F22" i="7"/>
  <c r="G22" i="7"/>
  <c r="H22" i="7"/>
  <c r="I22" i="7"/>
  <c r="J22" i="7"/>
  <c r="K22" i="7"/>
  <c r="L22" i="7"/>
  <c r="M22" i="7"/>
  <c r="N22" i="7"/>
  <c r="O22" i="7"/>
  <c r="P22" i="7"/>
  <c r="Q22" i="7"/>
  <c r="R22" i="7"/>
  <c r="S22" i="7"/>
  <c r="F23" i="7"/>
  <c r="G23" i="7"/>
  <c r="H23" i="7"/>
  <c r="I23" i="7"/>
  <c r="J23" i="7"/>
  <c r="K23" i="7"/>
  <c r="L23" i="7"/>
  <c r="M23" i="7"/>
  <c r="N23" i="7"/>
  <c r="O23" i="7"/>
  <c r="P23" i="7"/>
  <c r="Q23" i="7"/>
  <c r="R23" i="7"/>
  <c r="S23" i="7"/>
  <c r="F24" i="7"/>
  <c r="G24" i="7"/>
  <c r="H24" i="7"/>
  <c r="I24" i="7"/>
  <c r="J24" i="7"/>
  <c r="K24" i="7"/>
  <c r="L24" i="7"/>
  <c r="M24" i="7"/>
  <c r="N24" i="7"/>
  <c r="O24" i="7"/>
  <c r="P24" i="7"/>
  <c r="Q24" i="7"/>
  <c r="R24" i="7"/>
  <c r="S24" i="7"/>
  <c r="F25" i="7"/>
  <c r="G25" i="7"/>
  <c r="H25" i="7"/>
  <c r="I25" i="7"/>
  <c r="J25" i="7"/>
  <c r="K25" i="7"/>
  <c r="L25" i="7"/>
  <c r="M25" i="7"/>
  <c r="N25" i="7"/>
  <c r="O25" i="7"/>
  <c r="P25" i="7"/>
  <c r="Q25" i="7"/>
  <c r="R25" i="7"/>
  <c r="S25" i="7"/>
  <c r="F26" i="7"/>
  <c r="G26" i="7"/>
  <c r="H26" i="7"/>
  <c r="I26" i="7"/>
  <c r="J26" i="7"/>
  <c r="K26" i="7"/>
  <c r="L26" i="7"/>
  <c r="M26" i="7"/>
  <c r="N26" i="7"/>
  <c r="O26" i="7"/>
  <c r="P26" i="7"/>
  <c r="Q26" i="7"/>
  <c r="R26" i="7"/>
  <c r="S26" i="7"/>
  <c r="G13" i="7"/>
  <c r="H13" i="7"/>
  <c r="I13" i="7"/>
  <c r="J13" i="7"/>
  <c r="K13" i="7"/>
  <c r="L13" i="7"/>
  <c r="M13" i="7"/>
  <c r="N13" i="7"/>
  <c r="O13" i="7"/>
  <c r="P13" i="7"/>
  <c r="Q13" i="7"/>
  <c r="R13" i="7"/>
  <c r="S13" i="7"/>
  <c r="F13" i="7"/>
  <c r="AB29" i="7" l="1" a="1"/>
  <c r="AB29" i="7" s="1"/>
  <c r="AU29" i="7" a="1"/>
  <c r="AU39" i="7" s="1"/>
  <c r="AQ32" i="7"/>
  <c r="E31" i="7"/>
  <c r="E30" i="7"/>
  <c r="E29" i="7"/>
  <c r="X29" i="7"/>
  <c r="I29" i="7" a="1"/>
  <c r="I29" i="7" s="1"/>
  <c r="J26" i="8"/>
  <c r="H39" i="8"/>
  <c r="H37" i="8"/>
  <c r="H35" i="8"/>
  <c r="H33" i="8"/>
  <c r="H31" i="8"/>
  <c r="H29" i="8"/>
  <c r="H27" i="8"/>
  <c r="E32" i="7"/>
  <c r="X32" i="7"/>
  <c r="X30" i="7"/>
  <c r="J39" i="8"/>
  <c r="K39" i="8" s="1"/>
  <c r="I38" i="8"/>
  <c r="J37" i="8"/>
  <c r="K37" i="8" s="1"/>
  <c r="I36" i="8"/>
  <c r="J35" i="8"/>
  <c r="I34" i="8"/>
  <c r="J33" i="8"/>
  <c r="I32" i="8"/>
  <c r="J31" i="8"/>
  <c r="I30" i="8"/>
  <c r="J29" i="8"/>
  <c r="I28" i="8"/>
  <c r="J27" i="8"/>
  <c r="X31" i="7"/>
  <c r="H38" i="8"/>
  <c r="H36" i="8"/>
  <c r="H34" i="8"/>
  <c r="H32" i="8"/>
  <c r="H30" i="8"/>
  <c r="H28" i="8"/>
  <c r="H26" i="8"/>
  <c r="J38" i="8"/>
  <c r="K38" i="8" s="1"/>
  <c r="J36" i="8"/>
  <c r="K36" i="8" s="1"/>
  <c r="J34" i="8"/>
  <c r="J32" i="8"/>
  <c r="J30" i="8"/>
  <c r="J28" i="8"/>
  <c r="K28" i="8" s="1"/>
  <c r="BN40" i="7"/>
  <c r="BN38" i="7"/>
  <c r="BN36" i="7"/>
  <c r="BN34" i="7"/>
  <c r="BN32" i="7"/>
  <c r="BN30" i="7"/>
  <c r="BN39" i="7"/>
  <c r="BN37" i="7"/>
  <c r="BN35" i="7"/>
  <c r="BN33" i="7"/>
  <c r="BN31" i="7"/>
  <c r="BJ31" i="7"/>
  <c r="BJ29" i="7"/>
  <c r="BJ30" i="7"/>
  <c r="BJ32" i="7"/>
  <c r="AU30" i="7"/>
  <c r="AU32" i="7"/>
  <c r="AU34" i="7"/>
  <c r="AU36" i="7"/>
  <c r="AU38" i="7"/>
  <c r="AU40" i="7"/>
  <c r="AQ31" i="7"/>
  <c r="AQ29" i="7"/>
  <c r="AU29" i="7"/>
  <c r="AU31" i="7"/>
  <c r="AU33" i="7"/>
  <c r="AU35" i="7"/>
  <c r="AU37" i="7"/>
  <c r="AQ30" i="7"/>
  <c r="AB40" i="7"/>
  <c r="AB38" i="7"/>
  <c r="AB36" i="7"/>
  <c r="AB34" i="7"/>
  <c r="AB32" i="7"/>
  <c r="AB30" i="7"/>
  <c r="AB39" i="7"/>
  <c r="AB37" i="7"/>
  <c r="AB35" i="7"/>
  <c r="AB33" i="7"/>
  <c r="AB31" i="7"/>
  <c r="I38" i="7"/>
  <c r="I36" i="7"/>
  <c r="I30" i="7"/>
  <c r="I39" i="7"/>
  <c r="I33" i="7"/>
  <c r="I31" i="7"/>
  <c r="I157" i="6"/>
  <c r="H157" i="6"/>
  <c r="I170" i="6"/>
  <c r="H170" i="6"/>
  <c r="I169" i="6"/>
  <c r="H169" i="6"/>
  <c r="I168" i="6"/>
  <c r="H168" i="6"/>
  <c r="I167" i="6"/>
  <c r="H167" i="6"/>
  <c r="I166" i="6"/>
  <c r="H166" i="6"/>
  <c r="I165" i="6"/>
  <c r="H165" i="6"/>
  <c r="I164" i="6"/>
  <c r="H164" i="6"/>
  <c r="I163" i="6"/>
  <c r="H163" i="6"/>
  <c r="I162" i="6"/>
  <c r="H162" i="6"/>
  <c r="I161" i="6"/>
  <c r="H161" i="6"/>
  <c r="I160" i="6"/>
  <c r="H160" i="6"/>
  <c r="I159" i="6"/>
  <c r="H159" i="6"/>
  <c r="I158" i="6"/>
  <c r="H158" i="6"/>
  <c r="H137" i="6"/>
  <c r="I137" i="6"/>
  <c r="H138" i="6"/>
  <c r="I138" i="6"/>
  <c r="H139" i="6"/>
  <c r="I139" i="6"/>
  <c r="H140" i="6"/>
  <c r="I140" i="6"/>
  <c r="H141" i="6"/>
  <c r="I141" i="6"/>
  <c r="H142" i="6"/>
  <c r="I142" i="6"/>
  <c r="H143" i="6"/>
  <c r="I143" i="6"/>
  <c r="H144" i="6"/>
  <c r="I144" i="6"/>
  <c r="H145" i="6"/>
  <c r="I145" i="6"/>
  <c r="H146" i="6"/>
  <c r="I146" i="6"/>
  <c r="H147" i="6"/>
  <c r="I147" i="6"/>
  <c r="H148" i="6"/>
  <c r="I148" i="6"/>
  <c r="H149" i="6"/>
  <c r="I149" i="6"/>
  <c r="I136" i="6"/>
  <c r="H136" i="6"/>
  <c r="AV102" i="6"/>
  <c r="AV78" i="6"/>
  <c r="AV50" i="6"/>
  <c r="AV52" i="6"/>
  <c r="AV88" i="6"/>
  <c r="AV103" i="6"/>
  <c r="AV117" i="6"/>
  <c r="AV49" i="6"/>
  <c r="AV86" i="6"/>
  <c r="AV101" i="6"/>
  <c r="AV113" i="6"/>
  <c r="AV55" i="6"/>
  <c r="AV79" i="6"/>
  <c r="AV89" i="6"/>
  <c r="AV104" i="6"/>
  <c r="AV43" i="6"/>
  <c r="AV54" i="6"/>
  <c r="AV61" i="6"/>
  <c r="AV63" i="6"/>
  <c r="AV77" i="6"/>
  <c r="AV118" i="6"/>
  <c r="AV38" i="6"/>
  <c r="AV40" i="6"/>
  <c r="AV60" i="6"/>
  <c r="AV114" i="6"/>
  <c r="AV80" i="6"/>
  <c r="AV93" i="6"/>
  <c r="AV36" i="6"/>
  <c r="AV116" i="6"/>
  <c r="AV119" i="6"/>
  <c r="AV37" i="6"/>
  <c r="AV48" i="6"/>
  <c r="AV56" i="6"/>
  <c r="AV57" i="6"/>
  <c r="AV58" i="6"/>
  <c r="AV62" i="6"/>
  <c r="AV66" i="6"/>
  <c r="AV83" i="6"/>
  <c r="AV98" i="6"/>
  <c r="AV112" i="6"/>
  <c r="AV65" i="6"/>
  <c r="AV74" i="6"/>
  <c r="AV64" i="6"/>
  <c r="AV81" i="6"/>
  <c r="AV90" i="6"/>
  <c r="AV106" i="6"/>
  <c r="AV107" i="6"/>
  <c r="AV108" i="6"/>
  <c r="AV109" i="6"/>
  <c r="AV42" i="6"/>
  <c r="AV115" i="6"/>
  <c r="AV72" i="6"/>
  <c r="AV105" i="6"/>
  <c r="AV45" i="6"/>
  <c r="AV95" i="6"/>
  <c r="AV59" i="6"/>
  <c r="AV68" i="6"/>
  <c r="AV70" i="6"/>
  <c r="AV92" i="6"/>
  <c r="AV44" i="6"/>
  <c r="AV69" i="6"/>
  <c r="AV94" i="6"/>
  <c r="AV110" i="6"/>
  <c r="AV46" i="6"/>
  <c r="AV67" i="6"/>
  <c r="AV85" i="6"/>
  <c r="AV96" i="6"/>
  <c r="AV100" i="6"/>
  <c r="AV123" i="6"/>
  <c r="AV124" i="6"/>
  <c r="AV35" i="6"/>
  <c r="AV120" i="6"/>
  <c r="AV51" i="6"/>
  <c r="AV53" i="6"/>
  <c r="AV41" i="6"/>
  <c r="AV76" i="6"/>
  <c r="AV91" i="6"/>
  <c r="AV84" i="6"/>
  <c r="AV99" i="6"/>
  <c r="AV47" i="6"/>
  <c r="AV71" i="6"/>
  <c r="AV73" i="6"/>
  <c r="AV111" i="6"/>
  <c r="AV122" i="6"/>
  <c r="AV82" i="6"/>
  <c r="AV97" i="6"/>
  <c r="AV121" i="6"/>
  <c r="AV125" i="6"/>
  <c r="AV75" i="6"/>
  <c r="AV39" i="6"/>
  <c r="AV87" i="6"/>
  <c r="S36" i="6"/>
  <c r="T36" i="6"/>
  <c r="U36" i="6"/>
  <c r="V36" i="6"/>
  <c r="W36" i="6"/>
  <c r="X36" i="6"/>
  <c r="Y36" i="6"/>
  <c r="Z36" i="6"/>
  <c r="AA36" i="6"/>
  <c r="AB36" i="6"/>
  <c r="AC36" i="6"/>
  <c r="AD36" i="6"/>
  <c r="AE36" i="6"/>
  <c r="AF36" i="6"/>
  <c r="S37" i="6"/>
  <c r="T37" i="6"/>
  <c r="U37" i="6"/>
  <c r="V37" i="6"/>
  <c r="W37" i="6"/>
  <c r="X37" i="6"/>
  <c r="Y37" i="6"/>
  <c r="Z37" i="6"/>
  <c r="AA37" i="6"/>
  <c r="AB37" i="6"/>
  <c r="AC37" i="6"/>
  <c r="AD37" i="6"/>
  <c r="AE37" i="6"/>
  <c r="AF37" i="6"/>
  <c r="S38" i="6"/>
  <c r="T38" i="6"/>
  <c r="U38" i="6"/>
  <c r="V38" i="6"/>
  <c r="W38" i="6"/>
  <c r="X38" i="6"/>
  <c r="Y38" i="6"/>
  <c r="Z38" i="6"/>
  <c r="AA38" i="6"/>
  <c r="AB38" i="6"/>
  <c r="AC38" i="6"/>
  <c r="AD38" i="6"/>
  <c r="AE38" i="6"/>
  <c r="AF38" i="6"/>
  <c r="S39" i="6"/>
  <c r="T39" i="6"/>
  <c r="U39" i="6"/>
  <c r="V39" i="6"/>
  <c r="W39" i="6"/>
  <c r="X39" i="6"/>
  <c r="Y39" i="6"/>
  <c r="Z39" i="6"/>
  <c r="AA39" i="6"/>
  <c r="AB39" i="6"/>
  <c r="AC39" i="6"/>
  <c r="AD39" i="6"/>
  <c r="AE39" i="6"/>
  <c r="AF39" i="6"/>
  <c r="S40" i="6"/>
  <c r="T40" i="6"/>
  <c r="U40" i="6"/>
  <c r="V40" i="6"/>
  <c r="W40" i="6"/>
  <c r="X40" i="6"/>
  <c r="Y40" i="6"/>
  <c r="Z40" i="6"/>
  <c r="AA40" i="6"/>
  <c r="AB40" i="6"/>
  <c r="AC40" i="6"/>
  <c r="AD40" i="6"/>
  <c r="AE40" i="6"/>
  <c r="AF40" i="6"/>
  <c r="S41" i="6"/>
  <c r="T41" i="6"/>
  <c r="U41" i="6"/>
  <c r="V41" i="6"/>
  <c r="W41" i="6"/>
  <c r="X41" i="6"/>
  <c r="Y41" i="6"/>
  <c r="Z41" i="6"/>
  <c r="AA41" i="6"/>
  <c r="AB41" i="6"/>
  <c r="AC41" i="6"/>
  <c r="AD41" i="6"/>
  <c r="AE41" i="6"/>
  <c r="AF41" i="6"/>
  <c r="S42" i="6"/>
  <c r="T42" i="6"/>
  <c r="U42" i="6"/>
  <c r="V42" i="6"/>
  <c r="W42" i="6"/>
  <c r="X42" i="6"/>
  <c r="Y42" i="6"/>
  <c r="Z42" i="6"/>
  <c r="AA42" i="6"/>
  <c r="AB42" i="6"/>
  <c r="AC42" i="6"/>
  <c r="AD42" i="6"/>
  <c r="AE42" i="6"/>
  <c r="AF42" i="6"/>
  <c r="S43" i="6"/>
  <c r="T43" i="6"/>
  <c r="U43" i="6"/>
  <c r="V43" i="6"/>
  <c r="W43" i="6"/>
  <c r="X43" i="6"/>
  <c r="Y43" i="6"/>
  <c r="Z43" i="6"/>
  <c r="AA43" i="6"/>
  <c r="AB43" i="6"/>
  <c r="AC43" i="6"/>
  <c r="AD43" i="6"/>
  <c r="AE43" i="6"/>
  <c r="AF43" i="6"/>
  <c r="S44" i="6"/>
  <c r="T44" i="6"/>
  <c r="U44" i="6"/>
  <c r="V44" i="6"/>
  <c r="W44" i="6"/>
  <c r="X44" i="6"/>
  <c r="Y44" i="6"/>
  <c r="Z44" i="6"/>
  <c r="AA44" i="6"/>
  <c r="AB44" i="6"/>
  <c r="AC44" i="6"/>
  <c r="AD44" i="6"/>
  <c r="AE44" i="6"/>
  <c r="AF44" i="6"/>
  <c r="S45" i="6"/>
  <c r="T45" i="6"/>
  <c r="U45" i="6"/>
  <c r="V45" i="6"/>
  <c r="W45" i="6"/>
  <c r="X45" i="6"/>
  <c r="Y45" i="6"/>
  <c r="Z45" i="6"/>
  <c r="AA45" i="6"/>
  <c r="AB45" i="6"/>
  <c r="AC45" i="6"/>
  <c r="AD45" i="6"/>
  <c r="AE45" i="6"/>
  <c r="AF45" i="6"/>
  <c r="S46" i="6"/>
  <c r="T46" i="6"/>
  <c r="U46" i="6"/>
  <c r="V46" i="6"/>
  <c r="W46" i="6"/>
  <c r="X46" i="6"/>
  <c r="Y46" i="6"/>
  <c r="Z46" i="6"/>
  <c r="AA46" i="6"/>
  <c r="AB46" i="6"/>
  <c r="AC46" i="6"/>
  <c r="AD46" i="6"/>
  <c r="AE46" i="6"/>
  <c r="AF46" i="6"/>
  <c r="S47" i="6"/>
  <c r="T47" i="6"/>
  <c r="U47" i="6"/>
  <c r="V47" i="6"/>
  <c r="W47" i="6"/>
  <c r="X47" i="6"/>
  <c r="Y47" i="6"/>
  <c r="Z47" i="6"/>
  <c r="AA47" i="6"/>
  <c r="AB47" i="6"/>
  <c r="AC47" i="6"/>
  <c r="AD47" i="6"/>
  <c r="AE47" i="6"/>
  <c r="AF47" i="6"/>
  <c r="S48" i="6"/>
  <c r="T48" i="6"/>
  <c r="U48" i="6"/>
  <c r="V48" i="6"/>
  <c r="W48" i="6"/>
  <c r="X48" i="6"/>
  <c r="Y48" i="6"/>
  <c r="Z48" i="6"/>
  <c r="AA48" i="6"/>
  <c r="AB48" i="6"/>
  <c r="AC48" i="6"/>
  <c r="AD48" i="6"/>
  <c r="AE48" i="6"/>
  <c r="AF48" i="6"/>
  <c r="S49" i="6"/>
  <c r="T49" i="6"/>
  <c r="U49" i="6"/>
  <c r="V49" i="6"/>
  <c r="W49" i="6"/>
  <c r="X49" i="6"/>
  <c r="Y49" i="6"/>
  <c r="Z49" i="6"/>
  <c r="AA49" i="6"/>
  <c r="AB49" i="6"/>
  <c r="AC49" i="6"/>
  <c r="AD49" i="6"/>
  <c r="AE49" i="6"/>
  <c r="AF49" i="6"/>
  <c r="S50" i="6"/>
  <c r="T50" i="6"/>
  <c r="U50" i="6"/>
  <c r="V50" i="6"/>
  <c r="W50" i="6"/>
  <c r="X50" i="6"/>
  <c r="Y50" i="6"/>
  <c r="Z50" i="6"/>
  <c r="AA50" i="6"/>
  <c r="AB50" i="6"/>
  <c r="AC50" i="6"/>
  <c r="AD50" i="6"/>
  <c r="AE50" i="6"/>
  <c r="AF50" i="6"/>
  <c r="S51" i="6"/>
  <c r="T51" i="6"/>
  <c r="U51" i="6"/>
  <c r="V51" i="6"/>
  <c r="W51" i="6"/>
  <c r="X51" i="6"/>
  <c r="Y51" i="6"/>
  <c r="Z51" i="6"/>
  <c r="AA51" i="6"/>
  <c r="AB51" i="6"/>
  <c r="AC51" i="6"/>
  <c r="AD51" i="6"/>
  <c r="AE51" i="6"/>
  <c r="AF51" i="6"/>
  <c r="S52" i="6"/>
  <c r="T52" i="6"/>
  <c r="U52" i="6"/>
  <c r="V52" i="6"/>
  <c r="W52" i="6"/>
  <c r="X52" i="6"/>
  <c r="Y52" i="6"/>
  <c r="Z52" i="6"/>
  <c r="AA52" i="6"/>
  <c r="AB52" i="6"/>
  <c r="AC52" i="6"/>
  <c r="AD52" i="6"/>
  <c r="AE52" i="6"/>
  <c r="AF52" i="6"/>
  <c r="S53" i="6"/>
  <c r="T53" i="6"/>
  <c r="U53" i="6"/>
  <c r="V53" i="6"/>
  <c r="W53" i="6"/>
  <c r="X53" i="6"/>
  <c r="Y53" i="6"/>
  <c r="Z53" i="6"/>
  <c r="AA53" i="6"/>
  <c r="AB53" i="6"/>
  <c r="AC53" i="6"/>
  <c r="AD53" i="6"/>
  <c r="AE53" i="6"/>
  <c r="AF53" i="6"/>
  <c r="S54" i="6"/>
  <c r="T54" i="6"/>
  <c r="U54" i="6"/>
  <c r="V54" i="6"/>
  <c r="W54" i="6"/>
  <c r="X54" i="6"/>
  <c r="Y54" i="6"/>
  <c r="Z54" i="6"/>
  <c r="AA54" i="6"/>
  <c r="AB54" i="6"/>
  <c r="AC54" i="6"/>
  <c r="AD54" i="6"/>
  <c r="AE54" i="6"/>
  <c r="AF54" i="6"/>
  <c r="S55" i="6"/>
  <c r="T55" i="6"/>
  <c r="U55" i="6"/>
  <c r="V55" i="6"/>
  <c r="W55" i="6"/>
  <c r="X55" i="6"/>
  <c r="Y55" i="6"/>
  <c r="Z55" i="6"/>
  <c r="AA55" i="6"/>
  <c r="AB55" i="6"/>
  <c r="AC55" i="6"/>
  <c r="AD55" i="6"/>
  <c r="AE55" i="6"/>
  <c r="AF55" i="6"/>
  <c r="S56" i="6"/>
  <c r="T56" i="6"/>
  <c r="U56" i="6"/>
  <c r="V56" i="6"/>
  <c r="W56" i="6"/>
  <c r="X56" i="6"/>
  <c r="Y56" i="6"/>
  <c r="Z56" i="6"/>
  <c r="AA56" i="6"/>
  <c r="AB56" i="6"/>
  <c r="AC56" i="6"/>
  <c r="AD56" i="6"/>
  <c r="AE56" i="6"/>
  <c r="AF56" i="6"/>
  <c r="S57" i="6"/>
  <c r="T57" i="6"/>
  <c r="U57" i="6"/>
  <c r="V57" i="6"/>
  <c r="W57" i="6"/>
  <c r="X57" i="6"/>
  <c r="Y57" i="6"/>
  <c r="Z57" i="6"/>
  <c r="AA57" i="6"/>
  <c r="AB57" i="6"/>
  <c r="AC57" i="6"/>
  <c r="AD57" i="6"/>
  <c r="AE57" i="6"/>
  <c r="AF57" i="6"/>
  <c r="S58" i="6"/>
  <c r="T58" i="6"/>
  <c r="U58" i="6"/>
  <c r="V58" i="6"/>
  <c r="W58" i="6"/>
  <c r="X58" i="6"/>
  <c r="Y58" i="6"/>
  <c r="Z58" i="6"/>
  <c r="AA58" i="6"/>
  <c r="AB58" i="6"/>
  <c r="AC58" i="6"/>
  <c r="AD58" i="6"/>
  <c r="AE58" i="6"/>
  <c r="AF58" i="6"/>
  <c r="S59" i="6"/>
  <c r="T59" i="6"/>
  <c r="U59" i="6"/>
  <c r="V59" i="6"/>
  <c r="W59" i="6"/>
  <c r="X59" i="6"/>
  <c r="Y59" i="6"/>
  <c r="Z59" i="6"/>
  <c r="AA59" i="6"/>
  <c r="AB59" i="6"/>
  <c r="AC59" i="6"/>
  <c r="AD59" i="6"/>
  <c r="AE59" i="6"/>
  <c r="AF59" i="6"/>
  <c r="S60" i="6"/>
  <c r="T60" i="6"/>
  <c r="U60" i="6"/>
  <c r="V60" i="6"/>
  <c r="W60" i="6"/>
  <c r="X60" i="6"/>
  <c r="Y60" i="6"/>
  <c r="Z60" i="6"/>
  <c r="AA60" i="6"/>
  <c r="AB60" i="6"/>
  <c r="AC60" i="6"/>
  <c r="AD60" i="6"/>
  <c r="AE60" i="6"/>
  <c r="AF60" i="6"/>
  <c r="S61" i="6"/>
  <c r="T61" i="6"/>
  <c r="U61" i="6"/>
  <c r="V61" i="6"/>
  <c r="W61" i="6"/>
  <c r="X61" i="6"/>
  <c r="Y61" i="6"/>
  <c r="Z61" i="6"/>
  <c r="AA61" i="6"/>
  <c r="AB61" i="6"/>
  <c r="AC61" i="6"/>
  <c r="AD61" i="6"/>
  <c r="AE61" i="6"/>
  <c r="AF61" i="6"/>
  <c r="S62" i="6"/>
  <c r="T62" i="6"/>
  <c r="U62" i="6"/>
  <c r="V62" i="6"/>
  <c r="W62" i="6"/>
  <c r="X62" i="6"/>
  <c r="Y62" i="6"/>
  <c r="Z62" i="6"/>
  <c r="AA62" i="6"/>
  <c r="AB62" i="6"/>
  <c r="AC62" i="6"/>
  <c r="AD62" i="6"/>
  <c r="AE62" i="6"/>
  <c r="AF62" i="6"/>
  <c r="S63" i="6"/>
  <c r="T63" i="6"/>
  <c r="U63" i="6"/>
  <c r="V63" i="6"/>
  <c r="W63" i="6"/>
  <c r="X63" i="6"/>
  <c r="Y63" i="6"/>
  <c r="Z63" i="6"/>
  <c r="AA63" i="6"/>
  <c r="AB63" i="6"/>
  <c r="AC63" i="6"/>
  <c r="AD63" i="6"/>
  <c r="AE63" i="6"/>
  <c r="AF63" i="6"/>
  <c r="S64" i="6"/>
  <c r="T64" i="6"/>
  <c r="U64" i="6"/>
  <c r="V64" i="6"/>
  <c r="W64" i="6"/>
  <c r="X64" i="6"/>
  <c r="Y64" i="6"/>
  <c r="Z64" i="6"/>
  <c r="AA64" i="6"/>
  <c r="AB64" i="6"/>
  <c r="AC64" i="6"/>
  <c r="AD64" i="6"/>
  <c r="AE64" i="6"/>
  <c r="AF64" i="6"/>
  <c r="S65" i="6"/>
  <c r="T65" i="6"/>
  <c r="U65" i="6"/>
  <c r="V65" i="6"/>
  <c r="W65" i="6"/>
  <c r="X65" i="6"/>
  <c r="Y65" i="6"/>
  <c r="Z65" i="6"/>
  <c r="AA65" i="6"/>
  <c r="AB65" i="6"/>
  <c r="AC65" i="6"/>
  <c r="AD65" i="6"/>
  <c r="AE65" i="6"/>
  <c r="AF65" i="6"/>
  <c r="S66" i="6"/>
  <c r="T66" i="6"/>
  <c r="U66" i="6"/>
  <c r="V66" i="6"/>
  <c r="W66" i="6"/>
  <c r="X66" i="6"/>
  <c r="Y66" i="6"/>
  <c r="Z66" i="6"/>
  <c r="AA66" i="6"/>
  <c r="AB66" i="6"/>
  <c r="AC66" i="6"/>
  <c r="AD66" i="6"/>
  <c r="AE66" i="6"/>
  <c r="AF66" i="6"/>
  <c r="S67" i="6"/>
  <c r="T67" i="6"/>
  <c r="U67" i="6"/>
  <c r="V67" i="6"/>
  <c r="W67" i="6"/>
  <c r="X67" i="6"/>
  <c r="Y67" i="6"/>
  <c r="Z67" i="6"/>
  <c r="AA67" i="6"/>
  <c r="AB67" i="6"/>
  <c r="AC67" i="6"/>
  <c r="AD67" i="6"/>
  <c r="AE67" i="6"/>
  <c r="AF67" i="6"/>
  <c r="S68" i="6"/>
  <c r="T68" i="6"/>
  <c r="U68" i="6"/>
  <c r="V68" i="6"/>
  <c r="W68" i="6"/>
  <c r="X68" i="6"/>
  <c r="Y68" i="6"/>
  <c r="Z68" i="6"/>
  <c r="AA68" i="6"/>
  <c r="AB68" i="6"/>
  <c r="AC68" i="6"/>
  <c r="AD68" i="6"/>
  <c r="AE68" i="6"/>
  <c r="AF68" i="6"/>
  <c r="S69" i="6"/>
  <c r="T69" i="6"/>
  <c r="U69" i="6"/>
  <c r="V69" i="6"/>
  <c r="W69" i="6"/>
  <c r="X69" i="6"/>
  <c r="Y69" i="6"/>
  <c r="Z69" i="6"/>
  <c r="AA69" i="6"/>
  <c r="AB69" i="6"/>
  <c r="AC69" i="6"/>
  <c r="AD69" i="6"/>
  <c r="AE69" i="6"/>
  <c r="AF69" i="6"/>
  <c r="S70" i="6"/>
  <c r="T70" i="6"/>
  <c r="U70" i="6"/>
  <c r="V70" i="6"/>
  <c r="W70" i="6"/>
  <c r="X70" i="6"/>
  <c r="Y70" i="6"/>
  <c r="Z70" i="6"/>
  <c r="AA70" i="6"/>
  <c r="AB70" i="6"/>
  <c r="AC70" i="6"/>
  <c r="AD70" i="6"/>
  <c r="AE70" i="6"/>
  <c r="AF70" i="6"/>
  <c r="S71" i="6"/>
  <c r="T71" i="6"/>
  <c r="U71" i="6"/>
  <c r="V71" i="6"/>
  <c r="W71" i="6"/>
  <c r="X71" i="6"/>
  <c r="Y71" i="6"/>
  <c r="Z71" i="6"/>
  <c r="AA71" i="6"/>
  <c r="AB71" i="6"/>
  <c r="AC71" i="6"/>
  <c r="AD71" i="6"/>
  <c r="AE71" i="6"/>
  <c r="AF71" i="6"/>
  <c r="S72" i="6"/>
  <c r="T72" i="6"/>
  <c r="U72" i="6"/>
  <c r="V72" i="6"/>
  <c r="W72" i="6"/>
  <c r="X72" i="6"/>
  <c r="Y72" i="6"/>
  <c r="Z72" i="6"/>
  <c r="AA72" i="6"/>
  <c r="AB72" i="6"/>
  <c r="AC72" i="6"/>
  <c r="AD72" i="6"/>
  <c r="AE72" i="6"/>
  <c r="AF72" i="6"/>
  <c r="S73" i="6"/>
  <c r="T73" i="6"/>
  <c r="U73" i="6"/>
  <c r="V73" i="6"/>
  <c r="W73" i="6"/>
  <c r="X73" i="6"/>
  <c r="Y73" i="6"/>
  <c r="Z73" i="6"/>
  <c r="AA73" i="6"/>
  <c r="AB73" i="6"/>
  <c r="AC73" i="6"/>
  <c r="AD73" i="6"/>
  <c r="AE73" i="6"/>
  <c r="AF73" i="6"/>
  <c r="S74" i="6"/>
  <c r="T74" i="6"/>
  <c r="U74" i="6"/>
  <c r="V74" i="6"/>
  <c r="W74" i="6"/>
  <c r="X74" i="6"/>
  <c r="Y74" i="6"/>
  <c r="Z74" i="6"/>
  <c r="AA74" i="6"/>
  <c r="AB74" i="6"/>
  <c r="AC74" i="6"/>
  <c r="AD74" i="6"/>
  <c r="AE74" i="6"/>
  <c r="AF74" i="6"/>
  <c r="S75" i="6"/>
  <c r="T75" i="6"/>
  <c r="U75" i="6"/>
  <c r="V75" i="6"/>
  <c r="W75" i="6"/>
  <c r="X75" i="6"/>
  <c r="Y75" i="6"/>
  <c r="Z75" i="6"/>
  <c r="AA75" i="6"/>
  <c r="AB75" i="6"/>
  <c r="AC75" i="6"/>
  <c r="AD75" i="6"/>
  <c r="AE75" i="6"/>
  <c r="AF75" i="6"/>
  <c r="S76" i="6"/>
  <c r="T76" i="6"/>
  <c r="U76" i="6"/>
  <c r="V76" i="6"/>
  <c r="W76" i="6"/>
  <c r="X76" i="6"/>
  <c r="Y76" i="6"/>
  <c r="Z76" i="6"/>
  <c r="AA76" i="6"/>
  <c r="AB76" i="6"/>
  <c r="AC76" i="6"/>
  <c r="AD76" i="6"/>
  <c r="AE76" i="6"/>
  <c r="AF76" i="6"/>
  <c r="S77" i="6"/>
  <c r="T77" i="6"/>
  <c r="U77" i="6"/>
  <c r="V77" i="6"/>
  <c r="W77" i="6"/>
  <c r="X77" i="6"/>
  <c r="Y77" i="6"/>
  <c r="Z77" i="6"/>
  <c r="AA77" i="6"/>
  <c r="AB77" i="6"/>
  <c r="AC77" i="6"/>
  <c r="AD77" i="6"/>
  <c r="AE77" i="6"/>
  <c r="AF77" i="6"/>
  <c r="S78" i="6"/>
  <c r="T78" i="6"/>
  <c r="U78" i="6"/>
  <c r="V78" i="6"/>
  <c r="W78" i="6"/>
  <c r="X78" i="6"/>
  <c r="Y78" i="6"/>
  <c r="Z78" i="6"/>
  <c r="AA78" i="6"/>
  <c r="AB78" i="6"/>
  <c r="AC78" i="6"/>
  <c r="AD78" i="6"/>
  <c r="AE78" i="6"/>
  <c r="AF78" i="6"/>
  <c r="S79" i="6"/>
  <c r="T79" i="6"/>
  <c r="U79" i="6"/>
  <c r="V79" i="6"/>
  <c r="W79" i="6"/>
  <c r="X79" i="6"/>
  <c r="Y79" i="6"/>
  <c r="Z79" i="6"/>
  <c r="AA79" i="6"/>
  <c r="AB79" i="6"/>
  <c r="AC79" i="6"/>
  <c r="AD79" i="6"/>
  <c r="AE79" i="6"/>
  <c r="AF79" i="6"/>
  <c r="S80" i="6"/>
  <c r="T80" i="6"/>
  <c r="U80" i="6"/>
  <c r="V80" i="6"/>
  <c r="W80" i="6"/>
  <c r="X80" i="6"/>
  <c r="Y80" i="6"/>
  <c r="Z80" i="6"/>
  <c r="AA80" i="6"/>
  <c r="AB80" i="6"/>
  <c r="AC80" i="6"/>
  <c r="AD80" i="6"/>
  <c r="AE80" i="6"/>
  <c r="AF80" i="6"/>
  <c r="S81" i="6"/>
  <c r="T81" i="6"/>
  <c r="U81" i="6"/>
  <c r="V81" i="6"/>
  <c r="W81" i="6"/>
  <c r="X81" i="6"/>
  <c r="Y81" i="6"/>
  <c r="Z81" i="6"/>
  <c r="AA81" i="6"/>
  <c r="AB81" i="6"/>
  <c r="AC81" i="6"/>
  <c r="AD81" i="6"/>
  <c r="AE81" i="6"/>
  <c r="AF81" i="6"/>
  <c r="S82" i="6"/>
  <c r="T82" i="6"/>
  <c r="U82" i="6"/>
  <c r="V82" i="6"/>
  <c r="W82" i="6"/>
  <c r="X82" i="6"/>
  <c r="Y82" i="6"/>
  <c r="Z82" i="6"/>
  <c r="AA82" i="6"/>
  <c r="AB82" i="6"/>
  <c r="AC82" i="6"/>
  <c r="AD82" i="6"/>
  <c r="AE82" i="6"/>
  <c r="AF82" i="6"/>
  <c r="S83" i="6"/>
  <c r="T83" i="6"/>
  <c r="U83" i="6"/>
  <c r="V83" i="6"/>
  <c r="W83" i="6"/>
  <c r="X83" i="6"/>
  <c r="Y83" i="6"/>
  <c r="Z83" i="6"/>
  <c r="AA83" i="6"/>
  <c r="AB83" i="6"/>
  <c r="AC83" i="6"/>
  <c r="AD83" i="6"/>
  <c r="AE83" i="6"/>
  <c r="AF83" i="6"/>
  <c r="S84" i="6"/>
  <c r="T84" i="6"/>
  <c r="U84" i="6"/>
  <c r="V84" i="6"/>
  <c r="W84" i="6"/>
  <c r="X84" i="6"/>
  <c r="Y84" i="6"/>
  <c r="Z84" i="6"/>
  <c r="AA84" i="6"/>
  <c r="AB84" i="6"/>
  <c r="AC84" i="6"/>
  <c r="AD84" i="6"/>
  <c r="AE84" i="6"/>
  <c r="AF84" i="6"/>
  <c r="S85" i="6"/>
  <c r="T85" i="6"/>
  <c r="U85" i="6"/>
  <c r="V85" i="6"/>
  <c r="W85" i="6"/>
  <c r="X85" i="6"/>
  <c r="Y85" i="6"/>
  <c r="Z85" i="6"/>
  <c r="AA85" i="6"/>
  <c r="AB85" i="6"/>
  <c r="AC85" i="6"/>
  <c r="AD85" i="6"/>
  <c r="AE85" i="6"/>
  <c r="AF85" i="6"/>
  <c r="S86" i="6"/>
  <c r="T86" i="6"/>
  <c r="U86" i="6"/>
  <c r="V86" i="6"/>
  <c r="W86" i="6"/>
  <c r="X86" i="6"/>
  <c r="Y86" i="6"/>
  <c r="Z86" i="6"/>
  <c r="AA86" i="6"/>
  <c r="AB86" i="6"/>
  <c r="AC86" i="6"/>
  <c r="AD86" i="6"/>
  <c r="AE86" i="6"/>
  <c r="AF86" i="6"/>
  <c r="S87" i="6"/>
  <c r="T87" i="6"/>
  <c r="U87" i="6"/>
  <c r="V87" i="6"/>
  <c r="W87" i="6"/>
  <c r="X87" i="6"/>
  <c r="Y87" i="6"/>
  <c r="Z87" i="6"/>
  <c r="AA87" i="6"/>
  <c r="AB87" i="6"/>
  <c r="AC87" i="6"/>
  <c r="AD87" i="6"/>
  <c r="AE87" i="6"/>
  <c r="AF87" i="6"/>
  <c r="S88" i="6"/>
  <c r="T88" i="6"/>
  <c r="U88" i="6"/>
  <c r="V88" i="6"/>
  <c r="W88" i="6"/>
  <c r="X88" i="6"/>
  <c r="Y88" i="6"/>
  <c r="Z88" i="6"/>
  <c r="AA88" i="6"/>
  <c r="AB88" i="6"/>
  <c r="AC88" i="6"/>
  <c r="AD88" i="6"/>
  <c r="AE88" i="6"/>
  <c r="AF88" i="6"/>
  <c r="S89" i="6"/>
  <c r="T89" i="6"/>
  <c r="U89" i="6"/>
  <c r="V89" i="6"/>
  <c r="W89" i="6"/>
  <c r="X89" i="6"/>
  <c r="Y89" i="6"/>
  <c r="Z89" i="6"/>
  <c r="AA89" i="6"/>
  <c r="AB89" i="6"/>
  <c r="AC89" i="6"/>
  <c r="AD89" i="6"/>
  <c r="AE89" i="6"/>
  <c r="AF89" i="6"/>
  <c r="S90" i="6"/>
  <c r="T90" i="6"/>
  <c r="U90" i="6"/>
  <c r="V90" i="6"/>
  <c r="W90" i="6"/>
  <c r="X90" i="6"/>
  <c r="Y90" i="6"/>
  <c r="Z90" i="6"/>
  <c r="AA90" i="6"/>
  <c r="AB90" i="6"/>
  <c r="AC90" i="6"/>
  <c r="AD90" i="6"/>
  <c r="AE90" i="6"/>
  <c r="AF90" i="6"/>
  <c r="S91" i="6"/>
  <c r="T91" i="6"/>
  <c r="U91" i="6"/>
  <c r="V91" i="6"/>
  <c r="W91" i="6"/>
  <c r="X91" i="6"/>
  <c r="Y91" i="6"/>
  <c r="Z91" i="6"/>
  <c r="AA91" i="6"/>
  <c r="AB91" i="6"/>
  <c r="AC91" i="6"/>
  <c r="AD91" i="6"/>
  <c r="AE91" i="6"/>
  <c r="AF91" i="6"/>
  <c r="S92" i="6"/>
  <c r="T92" i="6"/>
  <c r="U92" i="6"/>
  <c r="V92" i="6"/>
  <c r="W92" i="6"/>
  <c r="X92" i="6"/>
  <c r="Y92" i="6"/>
  <c r="Z92" i="6"/>
  <c r="AA92" i="6"/>
  <c r="AB92" i="6"/>
  <c r="AC92" i="6"/>
  <c r="AD92" i="6"/>
  <c r="AE92" i="6"/>
  <c r="AF92" i="6"/>
  <c r="S93" i="6"/>
  <c r="T93" i="6"/>
  <c r="U93" i="6"/>
  <c r="V93" i="6"/>
  <c r="W93" i="6"/>
  <c r="X93" i="6"/>
  <c r="Y93" i="6"/>
  <c r="Z93" i="6"/>
  <c r="AA93" i="6"/>
  <c r="AB93" i="6"/>
  <c r="AC93" i="6"/>
  <c r="AD93" i="6"/>
  <c r="AE93" i="6"/>
  <c r="AF93" i="6"/>
  <c r="S94" i="6"/>
  <c r="T94" i="6"/>
  <c r="U94" i="6"/>
  <c r="V94" i="6"/>
  <c r="W94" i="6"/>
  <c r="X94" i="6"/>
  <c r="Y94" i="6"/>
  <c r="Z94" i="6"/>
  <c r="AA94" i="6"/>
  <c r="AB94" i="6"/>
  <c r="AC94" i="6"/>
  <c r="AD94" i="6"/>
  <c r="AE94" i="6"/>
  <c r="AF94" i="6"/>
  <c r="S95" i="6"/>
  <c r="T95" i="6"/>
  <c r="U95" i="6"/>
  <c r="V95" i="6"/>
  <c r="W95" i="6"/>
  <c r="X95" i="6"/>
  <c r="Y95" i="6"/>
  <c r="Z95" i="6"/>
  <c r="AA95" i="6"/>
  <c r="AB95" i="6"/>
  <c r="AC95" i="6"/>
  <c r="AD95" i="6"/>
  <c r="AE95" i="6"/>
  <c r="AF95" i="6"/>
  <c r="S96" i="6"/>
  <c r="T96" i="6"/>
  <c r="U96" i="6"/>
  <c r="V96" i="6"/>
  <c r="W96" i="6"/>
  <c r="X96" i="6"/>
  <c r="Y96" i="6"/>
  <c r="Z96" i="6"/>
  <c r="AA96" i="6"/>
  <c r="AB96" i="6"/>
  <c r="AC96" i="6"/>
  <c r="AD96" i="6"/>
  <c r="AE96" i="6"/>
  <c r="AF96" i="6"/>
  <c r="S97" i="6"/>
  <c r="T97" i="6"/>
  <c r="U97" i="6"/>
  <c r="V97" i="6"/>
  <c r="W97" i="6"/>
  <c r="X97" i="6"/>
  <c r="Y97" i="6"/>
  <c r="Z97" i="6"/>
  <c r="AA97" i="6"/>
  <c r="AB97" i="6"/>
  <c r="AC97" i="6"/>
  <c r="AD97" i="6"/>
  <c r="AE97" i="6"/>
  <c r="AF97" i="6"/>
  <c r="S98" i="6"/>
  <c r="T98" i="6"/>
  <c r="U98" i="6"/>
  <c r="V98" i="6"/>
  <c r="W98" i="6"/>
  <c r="X98" i="6"/>
  <c r="Y98" i="6"/>
  <c r="Z98" i="6"/>
  <c r="AA98" i="6"/>
  <c r="AB98" i="6"/>
  <c r="AC98" i="6"/>
  <c r="AD98" i="6"/>
  <c r="AE98" i="6"/>
  <c r="AF98" i="6"/>
  <c r="S99" i="6"/>
  <c r="T99" i="6"/>
  <c r="U99" i="6"/>
  <c r="V99" i="6"/>
  <c r="W99" i="6"/>
  <c r="X99" i="6"/>
  <c r="Y99" i="6"/>
  <c r="Z99" i="6"/>
  <c r="AA99" i="6"/>
  <c r="AB99" i="6"/>
  <c r="AC99" i="6"/>
  <c r="AD99" i="6"/>
  <c r="AE99" i="6"/>
  <c r="AF99" i="6"/>
  <c r="S100" i="6"/>
  <c r="T100" i="6"/>
  <c r="U100" i="6"/>
  <c r="V100" i="6"/>
  <c r="W100" i="6"/>
  <c r="X100" i="6"/>
  <c r="Y100" i="6"/>
  <c r="Z100" i="6"/>
  <c r="AA100" i="6"/>
  <c r="AB100" i="6"/>
  <c r="AC100" i="6"/>
  <c r="AD100" i="6"/>
  <c r="AE100" i="6"/>
  <c r="AF100" i="6"/>
  <c r="S101" i="6"/>
  <c r="T101" i="6"/>
  <c r="U101" i="6"/>
  <c r="V101" i="6"/>
  <c r="W101" i="6"/>
  <c r="X101" i="6"/>
  <c r="Y101" i="6"/>
  <c r="Z101" i="6"/>
  <c r="AA101" i="6"/>
  <c r="AB101" i="6"/>
  <c r="AC101" i="6"/>
  <c r="AD101" i="6"/>
  <c r="AE101" i="6"/>
  <c r="AF101" i="6"/>
  <c r="S102" i="6"/>
  <c r="T102" i="6"/>
  <c r="U102" i="6"/>
  <c r="V102" i="6"/>
  <c r="W102" i="6"/>
  <c r="X102" i="6"/>
  <c r="Y102" i="6"/>
  <c r="Z102" i="6"/>
  <c r="AA102" i="6"/>
  <c r="AB102" i="6"/>
  <c r="AC102" i="6"/>
  <c r="AD102" i="6"/>
  <c r="AE102" i="6"/>
  <c r="AF102" i="6"/>
  <c r="S103" i="6"/>
  <c r="T103" i="6"/>
  <c r="U103" i="6"/>
  <c r="V103" i="6"/>
  <c r="W103" i="6"/>
  <c r="X103" i="6"/>
  <c r="Y103" i="6"/>
  <c r="Z103" i="6"/>
  <c r="AA103" i="6"/>
  <c r="AB103" i="6"/>
  <c r="AC103" i="6"/>
  <c r="AD103" i="6"/>
  <c r="AE103" i="6"/>
  <c r="AF103" i="6"/>
  <c r="S104" i="6"/>
  <c r="T104" i="6"/>
  <c r="U104" i="6"/>
  <c r="V104" i="6"/>
  <c r="W104" i="6"/>
  <c r="X104" i="6"/>
  <c r="Y104" i="6"/>
  <c r="Z104" i="6"/>
  <c r="AA104" i="6"/>
  <c r="AB104" i="6"/>
  <c r="AC104" i="6"/>
  <c r="AD104" i="6"/>
  <c r="AE104" i="6"/>
  <c r="AF104" i="6"/>
  <c r="S105" i="6"/>
  <c r="T105" i="6"/>
  <c r="U105" i="6"/>
  <c r="V105" i="6"/>
  <c r="W105" i="6"/>
  <c r="X105" i="6"/>
  <c r="Y105" i="6"/>
  <c r="Z105" i="6"/>
  <c r="AA105" i="6"/>
  <c r="AB105" i="6"/>
  <c r="AC105" i="6"/>
  <c r="AD105" i="6"/>
  <c r="AE105" i="6"/>
  <c r="AF105" i="6"/>
  <c r="S106" i="6"/>
  <c r="T106" i="6"/>
  <c r="U106" i="6"/>
  <c r="V106" i="6"/>
  <c r="W106" i="6"/>
  <c r="X106" i="6"/>
  <c r="Y106" i="6"/>
  <c r="Z106" i="6"/>
  <c r="AA106" i="6"/>
  <c r="AB106" i="6"/>
  <c r="AC106" i="6"/>
  <c r="AD106" i="6"/>
  <c r="AE106" i="6"/>
  <c r="AF106" i="6"/>
  <c r="S107" i="6"/>
  <c r="T107" i="6"/>
  <c r="U107" i="6"/>
  <c r="V107" i="6"/>
  <c r="W107" i="6"/>
  <c r="X107" i="6"/>
  <c r="Y107" i="6"/>
  <c r="Z107" i="6"/>
  <c r="AA107" i="6"/>
  <c r="AB107" i="6"/>
  <c r="AC107" i="6"/>
  <c r="AD107" i="6"/>
  <c r="AE107" i="6"/>
  <c r="AF107" i="6"/>
  <c r="S108" i="6"/>
  <c r="T108" i="6"/>
  <c r="U108" i="6"/>
  <c r="V108" i="6"/>
  <c r="W108" i="6"/>
  <c r="X108" i="6"/>
  <c r="Y108" i="6"/>
  <c r="Z108" i="6"/>
  <c r="AA108" i="6"/>
  <c r="AB108" i="6"/>
  <c r="AC108" i="6"/>
  <c r="AD108" i="6"/>
  <c r="AE108" i="6"/>
  <c r="AF108" i="6"/>
  <c r="S109" i="6"/>
  <c r="T109" i="6"/>
  <c r="U109" i="6"/>
  <c r="V109" i="6"/>
  <c r="W109" i="6"/>
  <c r="X109" i="6"/>
  <c r="Y109" i="6"/>
  <c r="Z109" i="6"/>
  <c r="AA109" i="6"/>
  <c r="AB109" i="6"/>
  <c r="AC109" i="6"/>
  <c r="AD109" i="6"/>
  <c r="AE109" i="6"/>
  <c r="AF109" i="6"/>
  <c r="S110" i="6"/>
  <c r="T110" i="6"/>
  <c r="U110" i="6"/>
  <c r="V110" i="6"/>
  <c r="W110" i="6"/>
  <c r="X110" i="6"/>
  <c r="Y110" i="6"/>
  <c r="Z110" i="6"/>
  <c r="AA110" i="6"/>
  <c r="AB110" i="6"/>
  <c r="AC110" i="6"/>
  <c r="AD110" i="6"/>
  <c r="AE110" i="6"/>
  <c r="AF110" i="6"/>
  <c r="S111" i="6"/>
  <c r="T111" i="6"/>
  <c r="U111" i="6"/>
  <c r="V111" i="6"/>
  <c r="W111" i="6"/>
  <c r="X111" i="6"/>
  <c r="Y111" i="6"/>
  <c r="Z111" i="6"/>
  <c r="AA111" i="6"/>
  <c r="AB111" i="6"/>
  <c r="AC111" i="6"/>
  <c r="AD111" i="6"/>
  <c r="AE111" i="6"/>
  <c r="AF111" i="6"/>
  <c r="S112" i="6"/>
  <c r="T112" i="6"/>
  <c r="U112" i="6"/>
  <c r="V112" i="6"/>
  <c r="W112" i="6"/>
  <c r="X112" i="6"/>
  <c r="Y112" i="6"/>
  <c r="Z112" i="6"/>
  <c r="AA112" i="6"/>
  <c r="AB112" i="6"/>
  <c r="AC112" i="6"/>
  <c r="AD112" i="6"/>
  <c r="AE112" i="6"/>
  <c r="AF112" i="6"/>
  <c r="S113" i="6"/>
  <c r="T113" i="6"/>
  <c r="U113" i="6"/>
  <c r="V113" i="6"/>
  <c r="W113" i="6"/>
  <c r="X113" i="6"/>
  <c r="Y113" i="6"/>
  <c r="Z113" i="6"/>
  <c r="AA113" i="6"/>
  <c r="AB113" i="6"/>
  <c r="AC113" i="6"/>
  <c r="AD113" i="6"/>
  <c r="AE113" i="6"/>
  <c r="AF113" i="6"/>
  <c r="S114" i="6"/>
  <c r="T114" i="6"/>
  <c r="U114" i="6"/>
  <c r="V114" i="6"/>
  <c r="W114" i="6"/>
  <c r="X114" i="6"/>
  <c r="Y114" i="6"/>
  <c r="Z114" i="6"/>
  <c r="AA114" i="6"/>
  <c r="AB114" i="6"/>
  <c r="AC114" i="6"/>
  <c r="AD114" i="6"/>
  <c r="AE114" i="6"/>
  <c r="AF114" i="6"/>
  <c r="S115" i="6"/>
  <c r="T115" i="6"/>
  <c r="U115" i="6"/>
  <c r="V115" i="6"/>
  <c r="W115" i="6"/>
  <c r="X115" i="6"/>
  <c r="Y115" i="6"/>
  <c r="Z115" i="6"/>
  <c r="AA115" i="6"/>
  <c r="AB115" i="6"/>
  <c r="AC115" i="6"/>
  <c r="AD115" i="6"/>
  <c r="AE115" i="6"/>
  <c r="AF115" i="6"/>
  <c r="S116" i="6"/>
  <c r="T116" i="6"/>
  <c r="U116" i="6"/>
  <c r="V116" i="6"/>
  <c r="W116" i="6"/>
  <c r="X116" i="6"/>
  <c r="Y116" i="6"/>
  <c r="Z116" i="6"/>
  <c r="AA116" i="6"/>
  <c r="AB116" i="6"/>
  <c r="AC116" i="6"/>
  <c r="AD116" i="6"/>
  <c r="AE116" i="6"/>
  <c r="AF116" i="6"/>
  <c r="S117" i="6"/>
  <c r="T117" i="6"/>
  <c r="U117" i="6"/>
  <c r="V117" i="6"/>
  <c r="W117" i="6"/>
  <c r="X117" i="6"/>
  <c r="Y117" i="6"/>
  <c r="Z117" i="6"/>
  <c r="AA117" i="6"/>
  <c r="AB117" i="6"/>
  <c r="AC117" i="6"/>
  <c r="AD117" i="6"/>
  <c r="AE117" i="6"/>
  <c r="AF117" i="6"/>
  <c r="S118" i="6"/>
  <c r="T118" i="6"/>
  <c r="U118" i="6"/>
  <c r="V118" i="6"/>
  <c r="W118" i="6"/>
  <c r="X118" i="6"/>
  <c r="Y118" i="6"/>
  <c r="Z118" i="6"/>
  <c r="AA118" i="6"/>
  <c r="AB118" i="6"/>
  <c r="AC118" i="6"/>
  <c r="AD118" i="6"/>
  <c r="AE118" i="6"/>
  <c r="AF118" i="6"/>
  <c r="S119" i="6"/>
  <c r="T119" i="6"/>
  <c r="U119" i="6"/>
  <c r="V119" i="6"/>
  <c r="W119" i="6"/>
  <c r="X119" i="6"/>
  <c r="Y119" i="6"/>
  <c r="Z119" i="6"/>
  <c r="AA119" i="6"/>
  <c r="AB119" i="6"/>
  <c r="AC119" i="6"/>
  <c r="AD119" i="6"/>
  <c r="AE119" i="6"/>
  <c r="AF119" i="6"/>
  <c r="S120" i="6"/>
  <c r="T120" i="6"/>
  <c r="U120" i="6"/>
  <c r="V120" i="6"/>
  <c r="W120" i="6"/>
  <c r="X120" i="6"/>
  <c r="Y120" i="6"/>
  <c r="Z120" i="6"/>
  <c r="AA120" i="6"/>
  <c r="AB120" i="6"/>
  <c r="AC120" i="6"/>
  <c r="AD120" i="6"/>
  <c r="AE120" i="6"/>
  <c r="AF120" i="6"/>
  <c r="S121" i="6"/>
  <c r="T121" i="6"/>
  <c r="U121" i="6"/>
  <c r="V121" i="6"/>
  <c r="W121" i="6"/>
  <c r="X121" i="6"/>
  <c r="Y121" i="6"/>
  <c r="Z121" i="6"/>
  <c r="AA121" i="6"/>
  <c r="AB121" i="6"/>
  <c r="AC121" i="6"/>
  <c r="AD121" i="6"/>
  <c r="AE121" i="6"/>
  <c r="AF121" i="6"/>
  <c r="S122" i="6"/>
  <c r="T122" i="6"/>
  <c r="U122" i="6"/>
  <c r="V122" i="6"/>
  <c r="W122" i="6"/>
  <c r="X122" i="6"/>
  <c r="Y122" i="6"/>
  <c r="Z122" i="6"/>
  <c r="AA122" i="6"/>
  <c r="AB122" i="6"/>
  <c r="AC122" i="6"/>
  <c r="AD122" i="6"/>
  <c r="AE122" i="6"/>
  <c r="AF122" i="6"/>
  <c r="S123" i="6"/>
  <c r="T123" i="6"/>
  <c r="U123" i="6"/>
  <c r="V123" i="6"/>
  <c r="W123" i="6"/>
  <c r="X123" i="6"/>
  <c r="Y123" i="6"/>
  <c r="Z123" i="6"/>
  <c r="AA123" i="6"/>
  <c r="AB123" i="6"/>
  <c r="AC123" i="6"/>
  <c r="AD123" i="6"/>
  <c r="AE123" i="6"/>
  <c r="AF123" i="6"/>
  <c r="S124" i="6"/>
  <c r="T124" i="6"/>
  <c r="U124" i="6"/>
  <c r="V124" i="6"/>
  <c r="W124" i="6"/>
  <c r="X124" i="6"/>
  <c r="Y124" i="6"/>
  <c r="Z124" i="6"/>
  <c r="AA124" i="6"/>
  <c r="AB124" i="6"/>
  <c r="AC124" i="6"/>
  <c r="AD124" i="6"/>
  <c r="AE124" i="6"/>
  <c r="AF124" i="6"/>
  <c r="S125" i="6"/>
  <c r="T125" i="6"/>
  <c r="U125" i="6"/>
  <c r="V125" i="6"/>
  <c r="W125" i="6"/>
  <c r="X125" i="6"/>
  <c r="Y125" i="6"/>
  <c r="Z125" i="6"/>
  <c r="AA125" i="6"/>
  <c r="AB125" i="6"/>
  <c r="AC125" i="6"/>
  <c r="AD125" i="6"/>
  <c r="AE125" i="6"/>
  <c r="AF125" i="6"/>
  <c r="T35" i="6"/>
  <c r="U35" i="6"/>
  <c r="V35" i="6"/>
  <c r="W35" i="6"/>
  <c r="X35" i="6"/>
  <c r="Y35" i="6"/>
  <c r="Z35" i="6"/>
  <c r="AA35" i="6"/>
  <c r="AB35" i="6"/>
  <c r="AC35" i="6"/>
  <c r="AD35" i="6"/>
  <c r="AE35" i="6"/>
  <c r="AF35" i="6"/>
  <c r="S35" i="6"/>
  <c r="I48" i="6"/>
  <c r="E36" i="6"/>
  <c r="F36" i="6"/>
  <c r="G36" i="6"/>
  <c r="H36" i="6"/>
  <c r="I36" i="6"/>
  <c r="J36" i="6"/>
  <c r="K36" i="6"/>
  <c r="L36" i="6"/>
  <c r="M36" i="6"/>
  <c r="N36" i="6"/>
  <c r="O36" i="6"/>
  <c r="P36" i="6"/>
  <c r="Q36" i="6"/>
  <c r="R36" i="6"/>
  <c r="E37" i="6"/>
  <c r="F37" i="6"/>
  <c r="G37" i="6"/>
  <c r="H37" i="6"/>
  <c r="I37" i="6"/>
  <c r="J37" i="6"/>
  <c r="K37" i="6"/>
  <c r="L37" i="6"/>
  <c r="M37" i="6"/>
  <c r="N37" i="6"/>
  <c r="O37" i="6"/>
  <c r="P37" i="6"/>
  <c r="Q37" i="6"/>
  <c r="R37" i="6"/>
  <c r="E38" i="6"/>
  <c r="F38" i="6"/>
  <c r="G38" i="6"/>
  <c r="H38" i="6"/>
  <c r="I38" i="6"/>
  <c r="J38" i="6"/>
  <c r="K38" i="6"/>
  <c r="L38" i="6"/>
  <c r="M38" i="6"/>
  <c r="N38" i="6"/>
  <c r="O38" i="6"/>
  <c r="P38" i="6"/>
  <c r="Q38" i="6"/>
  <c r="R38" i="6"/>
  <c r="E39" i="6"/>
  <c r="F39" i="6"/>
  <c r="G39" i="6"/>
  <c r="H39" i="6"/>
  <c r="I39" i="6"/>
  <c r="J39" i="6"/>
  <c r="K39" i="6"/>
  <c r="L39" i="6"/>
  <c r="M39" i="6"/>
  <c r="N39" i="6"/>
  <c r="O39" i="6"/>
  <c r="P39" i="6"/>
  <c r="Q39" i="6"/>
  <c r="R39" i="6"/>
  <c r="E40" i="6"/>
  <c r="F40" i="6"/>
  <c r="G40" i="6"/>
  <c r="H40" i="6"/>
  <c r="I40" i="6"/>
  <c r="J40" i="6"/>
  <c r="K40" i="6"/>
  <c r="L40" i="6"/>
  <c r="M40" i="6"/>
  <c r="N40" i="6"/>
  <c r="O40" i="6"/>
  <c r="P40" i="6"/>
  <c r="Q40" i="6"/>
  <c r="R40" i="6"/>
  <c r="E41" i="6"/>
  <c r="F41" i="6"/>
  <c r="G41" i="6"/>
  <c r="H41" i="6"/>
  <c r="I41" i="6"/>
  <c r="J41" i="6"/>
  <c r="K41" i="6"/>
  <c r="L41" i="6"/>
  <c r="M41" i="6"/>
  <c r="N41" i="6"/>
  <c r="O41" i="6"/>
  <c r="P41" i="6"/>
  <c r="Q41" i="6"/>
  <c r="R41" i="6"/>
  <c r="E42" i="6"/>
  <c r="F42" i="6"/>
  <c r="G42" i="6"/>
  <c r="H42" i="6"/>
  <c r="I42" i="6"/>
  <c r="J42" i="6"/>
  <c r="K42" i="6"/>
  <c r="L42" i="6"/>
  <c r="M42" i="6"/>
  <c r="N42" i="6"/>
  <c r="O42" i="6"/>
  <c r="P42" i="6"/>
  <c r="Q42" i="6"/>
  <c r="R42" i="6"/>
  <c r="E43" i="6"/>
  <c r="F43" i="6"/>
  <c r="G43" i="6"/>
  <c r="H43" i="6"/>
  <c r="I43" i="6"/>
  <c r="J43" i="6"/>
  <c r="K43" i="6"/>
  <c r="L43" i="6"/>
  <c r="M43" i="6"/>
  <c r="N43" i="6"/>
  <c r="O43" i="6"/>
  <c r="P43" i="6"/>
  <c r="Q43" i="6"/>
  <c r="R43" i="6"/>
  <c r="E44" i="6"/>
  <c r="F44" i="6"/>
  <c r="G44" i="6"/>
  <c r="H44" i="6"/>
  <c r="I44" i="6"/>
  <c r="J44" i="6"/>
  <c r="K44" i="6"/>
  <c r="L44" i="6"/>
  <c r="M44" i="6"/>
  <c r="N44" i="6"/>
  <c r="O44" i="6"/>
  <c r="P44" i="6"/>
  <c r="Q44" i="6"/>
  <c r="R44" i="6"/>
  <c r="E45" i="6"/>
  <c r="F45" i="6"/>
  <c r="G45" i="6"/>
  <c r="H45" i="6"/>
  <c r="I45" i="6"/>
  <c r="J45" i="6"/>
  <c r="K45" i="6"/>
  <c r="L45" i="6"/>
  <c r="M45" i="6"/>
  <c r="N45" i="6"/>
  <c r="O45" i="6"/>
  <c r="P45" i="6"/>
  <c r="Q45" i="6"/>
  <c r="R45" i="6"/>
  <c r="E46" i="6"/>
  <c r="F46" i="6"/>
  <c r="G46" i="6"/>
  <c r="H46" i="6"/>
  <c r="I46" i="6"/>
  <c r="J46" i="6"/>
  <c r="K46" i="6"/>
  <c r="L46" i="6"/>
  <c r="M46" i="6"/>
  <c r="N46" i="6"/>
  <c r="O46" i="6"/>
  <c r="P46" i="6"/>
  <c r="Q46" i="6"/>
  <c r="R46" i="6"/>
  <c r="E47" i="6"/>
  <c r="F47" i="6"/>
  <c r="G47" i="6"/>
  <c r="H47" i="6"/>
  <c r="I47" i="6"/>
  <c r="J47" i="6"/>
  <c r="K47" i="6"/>
  <c r="L47" i="6"/>
  <c r="M47" i="6"/>
  <c r="N47" i="6"/>
  <c r="O47" i="6"/>
  <c r="P47" i="6"/>
  <c r="Q47" i="6"/>
  <c r="R47" i="6"/>
  <c r="E48" i="6"/>
  <c r="F48" i="6"/>
  <c r="G48" i="6"/>
  <c r="H48" i="6"/>
  <c r="J48" i="6"/>
  <c r="K48" i="6"/>
  <c r="L48" i="6"/>
  <c r="M48" i="6"/>
  <c r="N48" i="6"/>
  <c r="O48" i="6"/>
  <c r="P48" i="6"/>
  <c r="Q48" i="6"/>
  <c r="R48" i="6"/>
  <c r="E49" i="6"/>
  <c r="F49" i="6"/>
  <c r="G49" i="6"/>
  <c r="H49" i="6"/>
  <c r="I49" i="6"/>
  <c r="J49" i="6"/>
  <c r="K49" i="6"/>
  <c r="L49" i="6"/>
  <c r="M49" i="6"/>
  <c r="N49" i="6"/>
  <c r="O49" i="6"/>
  <c r="P49" i="6"/>
  <c r="Q49" i="6"/>
  <c r="R49" i="6"/>
  <c r="E50" i="6"/>
  <c r="F50" i="6"/>
  <c r="G50" i="6"/>
  <c r="H50" i="6"/>
  <c r="I50" i="6"/>
  <c r="J50" i="6"/>
  <c r="K50" i="6"/>
  <c r="L50" i="6"/>
  <c r="M50" i="6"/>
  <c r="N50" i="6"/>
  <c r="O50" i="6"/>
  <c r="P50" i="6"/>
  <c r="Q50" i="6"/>
  <c r="R50" i="6"/>
  <c r="E51" i="6"/>
  <c r="F51" i="6"/>
  <c r="G51" i="6"/>
  <c r="H51" i="6"/>
  <c r="I51" i="6"/>
  <c r="J51" i="6"/>
  <c r="K51" i="6"/>
  <c r="L51" i="6"/>
  <c r="M51" i="6"/>
  <c r="N51" i="6"/>
  <c r="O51" i="6"/>
  <c r="P51" i="6"/>
  <c r="Q51" i="6"/>
  <c r="R51" i="6"/>
  <c r="E52" i="6"/>
  <c r="F52" i="6"/>
  <c r="G52" i="6"/>
  <c r="H52" i="6"/>
  <c r="I52" i="6"/>
  <c r="J52" i="6"/>
  <c r="K52" i="6"/>
  <c r="L52" i="6"/>
  <c r="M52" i="6"/>
  <c r="N52" i="6"/>
  <c r="O52" i="6"/>
  <c r="P52" i="6"/>
  <c r="Q52" i="6"/>
  <c r="R52" i="6"/>
  <c r="E53" i="6"/>
  <c r="F53" i="6"/>
  <c r="G53" i="6"/>
  <c r="H53" i="6"/>
  <c r="I53" i="6"/>
  <c r="J53" i="6"/>
  <c r="K53" i="6"/>
  <c r="L53" i="6"/>
  <c r="M53" i="6"/>
  <c r="N53" i="6"/>
  <c r="O53" i="6"/>
  <c r="P53" i="6"/>
  <c r="Q53" i="6"/>
  <c r="R53" i="6"/>
  <c r="E54" i="6"/>
  <c r="F54" i="6"/>
  <c r="G54" i="6"/>
  <c r="H54" i="6"/>
  <c r="I54" i="6"/>
  <c r="J54" i="6"/>
  <c r="K54" i="6"/>
  <c r="L54" i="6"/>
  <c r="M54" i="6"/>
  <c r="N54" i="6"/>
  <c r="O54" i="6"/>
  <c r="P54" i="6"/>
  <c r="Q54" i="6"/>
  <c r="R54" i="6"/>
  <c r="E55" i="6"/>
  <c r="F55" i="6"/>
  <c r="G55" i="6"/>
  <c r="H55" i="6"/>
  <c r="I55" i="6"/>
  <c r="J55" i="6"/>
  <c r="K55" i="6"/>
  <c r="L55" i="6"/>
  <c r="M55" i="6"/>
  <c r="N55" i="6"/>
  <c r="O55" i="6"/>
  <c r="P55" i="6"/>
  <c r="Q55" i="6"/>
  <c r="R55" i="6"/>
  <c r="E56" i="6"/>
  <c r="F56" i="6"/>
  <c r="G56" i="6"/>
  <c r="H56" i="6"/>
  <c r="I56" i="6"/>
  <c r="J56" i="6"/>
  <c r="K56" i="6"/>
  <c r="L56" i="6"/>
  <c r="M56" i="6"/>
  <c r="N56" i="6"/>
  <c r="O56" i="6"/>
  <c r="P56" i="6"/>
  <c r="Q56" i="6"/>
  <c r="R56" i="6"/>
  <c r="E57" i="6"/>
  <c r="F57" i="6"/>
  <c r="G57" i="6"/>
  <c r="H57" i="6"/>
  <c r="I57" i="6"/>
  <c r="J57" i="6"/>
  <c r="K57" i="6"/>
  <c r="L57" i="6"/>
  <c r="M57" i="6"/>
  <c r="N57" i="6"/>
  <c r="O57" i="6"/>
  <c r="P57" i="6"/>
  <c r="Q57" i="6"/>
  <c r="R57" i="6"/>
  <c r="E58" i="6"/>
  <c r="F58" i="6"/>
  <c r="G58" i="6"/>
  <c r="H58" i="6"/>
  <c r="I58" i="6"/>
  <c r="J58" i="6"/>
  <c r="K58" i="6"/>
  <c r="L58" i="6"/>
  <c r="M58" i="6"/>
  <c r="N58" i="6"/>
  <c r="O58" i="6"/>
  <c r="P58" i="6"/>
  <c r="Q58" i="6"/>
  <c r="R58" i="6"/>
  <c r="E59" i="6"/>
  <c r="F59" i="6"/>
  <c r="G59" i="6"/>
  <c r="H59" i="6"/>
  <c r="I59" i="6"/>
  <c r="J59" i="6"/>
  <c r="K59" i="6"/>
  <c r="L59" i="6"/>
  <c r="M59" i="6"/>
  <c r="N59" i="6"/>
  <c r="O59" i="6"/>
  <c r="P59" i="6"/>
  <c r="Q59" i="6"/>
  <c r="R59" i="6"/>
  <c r="E60" i="6"/>
  <c r="F60" i="6"/>
  <c r="G60" i="6"/>
  <c r="H60" i="6"/>
  <c r="I60" i="6"/>
  <c r="J60" i="6"/>
  <c r="K60" i="6"/>
  <c r="L60" i="6"/>
  <c r="M60" i="6"/>
  <c r="N60" i="6"/>
  <c r="O60" i="6"/>
  <c r="P60" i="6"/>
  <c r="Q60" i="6"/>
  <c r="R60" i="6"/>
  <c r="E61" i="6"/>
  <c r="F61" i="6"/>
  <c r="G61" i="6"/>
  <c r="H61" i="6"/>
  <c r="I61" i="6"/>
  <c r="J61" i="6"/>
  <c r="K61" i="6"/>
  <c r="L61" i="6"/>
  <c r="M61" i="6"/>
  <c r="N61" i="6"/>
  <c r="O61" i="6"/>
  <c r="P61" i="6"/>
  <c r="Q61" i="6"/>
  <c r="R61" i="6"/>
  <c r="E62" i="6"/>
  <c r="F62" i="6"/>
  <c r="G62" i="6"/>
  <c r="H62" i="6"/>
  <c r="I62" i="6"/>
  <c r="J62" i="6"/>
  <c r="K62" i="6"/>
  <c r="L62" i="6"/>
  <c r="M62" i="6"/>
  <c r="N62" i="6"/>
  <c r="O62" i="6"/>
  <c r="P62" i="6"/>
  <c r="Q62" i="6"/>
  <c r="R62" i="6"/>
  <c r="E63" i="6"/>
  <c r="F63" i="6"/>
  <c r="G63" i="6"/>
  <c r="H63" i="6"/>
  <c r="I63" i="6"/>
  <c r="J63" i="6"/>
  <c r="K63" i="6"/>
  <c r="L63" i="6"/>
  <c r="M63" i="6"/>
  <c r="N63" i="6"/>
  <c r="O63" i="6"/>
  <c r="P63" i="6"/>
  <c r="Q63" i="6"/>
  <c r="R63" i="6"/>
  <c r="E64" i="6"/>
  <c r="F64" i="6"/>
  <c r="G64" i="6"/>
  <c r="H64" i="6"/>
  <c r="I64" i="6"/>
  <c r="J64" i="6"/>
  <c r="K64" i="6"/>
  <c r="L64" i="6"/>
  <c r="M64" i="6"/>
  <c r="N64" i="6"/>
  <c r="O64" i="6"/>
  <c r="P64" i="6"/>
  <c r="Q64" i="6"/>
  <c r="R64" i="6"/>
  <c r="E65" i="6"/>
  <c r="F65" i="6"/>
  <c r="G65" i="6"/>
  <c r="H65" i="6"/>
  <c r="I65" i="6"/>
  <c r="J65" i="6"/>
  <c r="K65" i="6"/>
  <c r="L65" i="6"/>
  <c r="M65" i="6"/>
  <c r="N65" i="6"/>
  <c r="O65" i="6"/>
  <c r="P65" i="6"/>
  <c r="Q65" i="6"/>
  <c r="R65" i="6"/>
  <c r="E66" i="6"/>
  <c r="F66" i="6"/>
  <c r="G66" i="6"/>
  <c r="H66" i="6"/>
  <c r="I66" i="6"/>
  <c r="J66" i="6"/>
  <c r="K66" i="6"/>
  <c r="L66" i="6"/>
  <c r="M66" i="6"/>
  <c r="N66" i="6"/>
  <c r="O66" i="6"/>
  <c r="P66" i="6"/>
  <c r="Q66" i="6"/>
  <c r="R66" i="6"/>
  <c r="E67" i="6"/>
  <c r="F67" i="6"/>
  <c r="G67" i="6"/>
  <c r="H67" i="6"/>
  <c r="I67" i="6"/>
  <c r="J67" i="6"/>
  <c r="K67" i="6"/>
  <c r="L67" i="6"/>
  <c r="M67" i="6"/>
  <c r="N67" i="6"/>
  <c r="O67" i="6"/>
  <c r="P67" i="6"/>
  <c r="Q67" i="6"/>
  <c r="R67" i="6"/>
  <c r="E68" i="6"/>
  <c r="F68" i="6"/>
  <c r="G68" i="6"/>
  <c r="H68" i="6"/>
  <c r="I68" i="6"/>
  <c r="J68" i="6"/>
  <c r="K68" i="6"/>
  <c r="L68" i="6"/>
  <c r="M68" i="6"/>
  <c r="N68" i="6"/>
  <c r="O68" i="6"/>
  <c r="P68" i="6"/>
  <c r="Q68" i="6"/>
  <c r="R68" i="6"/>
  <c r="E69" i="6"/>
  <c r="F69" i="6"/>
  <c r="G69" i="6"/>
  <c r="H69" i="6"/>
  <c r="I69" i="6"/>
  <c r="J69" i="6"/>
  <c r="K69" i="6"/>
  <c r="L69" i="6"/>
  <c r="M69" i="6"/>
  <c r="N69" i="6"/>
  <c r="O69" i="6"/>
  <c r="P69" i="6"/>
  <c r="Q69" i="6"/>
  <c r="R69" i="6"/>
  <c r="E70" i="6"/>
  <c r="F70" i="6"/>
  <c r="G70" i="6"/>
  <c r="H70" i="6"/>
  <c r="I70" i="6"/>
  <c r="J70" i="6"/>
  <c r="K70" i="6"/>
  <c r="L70" i="6"/>
  <c r="M70" i="6"/>
  <c r="N70" i="6"/>
  <c r="O70" i="6"/>
  <c r="P70" i="6"/>
  <c r="Q70" i="6"/>
  <c r="R70" i="6"/>
  <c r="E71" i="6"/>
  <c r="F71" i="6"/>
  <c r="G71" i="6"/>
  <c r="H71" i="6"/>
  <c r="I71" i="6"/>
  <c r="J71" i="6"/>
  <c r="K71" i="6"/>
  <c r="L71" i="6"/>
  <c r="M71" i="6"/>
  <c r="N71" i="6"/>
  <c r="O71" i="6"/>
  <c r="P71" i="6"/>
  <c r="Q71" i="6"/>
  <c r="R71" i="6"/>
  <c r="E72" i="6"/>
  <c r="F72" i="6"/>
  <c r="G72" i="6"/>
  <c r="H72" i="6"/>
  <c r="I72" i="6"/>
  <c r="J72" i="6"/>
  <c r="K72" i="6"/>
  <c r="L72" i="6"/>
  <c r="M72" i="6"/>
  <c r="N72" i="6"/>
  <c r="O72" i="6"/>
  <c r="P72" i="6"/>
  <c r="Q72" i="6"/>
  <c r="R72" i="6"/>
  <c r="E73" i="6"/>
  <c r="F73" i="6"/>
  <c r="G73" i="6"/>
  <c r="H73" i="6"/>
  <c r="I73" i="6"/>
  <c r="J73" i="6"/>
  <c r="K73" i="6"/>
  <c r="L73" i="6"/>
  <c r="M73" i="6"/>
  <c r="N73" i="6"/>
  <c r="O73" i="6"/>
  <c r="P73" i="6"/>
  <c r="Q73" i="6"/>
  <c r="R73" i="6"/>
  <c r="E74" i="6"/>
  <c r="F74" i="6"/>
  <c r="G74" i="6"/>
  <c r="H74" i="6"/>
  <c r="I74" i="6"/>
  <c r="J74" i="6"/>
  <c r="K74" i="6"/>
  <c r="L74" i="6"/>
  <c r="M74" i="6"/>
  <c r="N74" i="6"/>
  <c r="O74" i="6"/>
  <c r="P74" i="6"/>
  <c r="Q74" i="6"/>
  <c r="R74" i="6"/>
  <c r="E75" i="6"/>
  <c r="F75" i="6"/>
  <c r="G75" i="6"/>
  <c r="H75" i="6"/>
  <c r="I75" i="6"/>
  <c r="J75" i="6"/>
  <c r="K75" i="6"/>
  <c r="L75" i="6"/>
  <c r="M75" i="6"/>
  <c r="N75" i="6"/>
  <c r="O75" i="6"/>
  <c r="P75" i="6"/>
  <c r="Q75" i="6"/>
  <c r="R75" i="6"/>
  <c r="E76" i="6"/>
  <c r="F76" i="6"/>
  <c r="G76" i="6"/>
  <c r="H76" i="6"/>
  <c r="I76" i="6"/>
  <c r="J76" i="6"/>
  <c r="K76" i="6"/>
  <c r="L76" i="6"/>
  <c r="M76" i="6"/>
  <c r="N76" i="6"/>
  <c r="O76" i="6"/>
  <c r="P76" i="6"/>
  <c r="Q76" i="6"/>
  <c r="R76" i="6"/>
  <c r="E77" i="6"/>
  <c r="F77" i="6"/>
  <c r="G77" i="6"/>
  <c r="H77" i="6"/>
  <c r="I77" i="6"/>
  <c r="J77" i="6"/>
  <c r="K77" i="6"/>
  <c r="L77" i="6"/>
  <c r="M77" i="6"/>
  <c r="N77" i="6"/>
  <c r="O77" i="6"/>
  <c r="P77" i="6"/>
  <c r="Q77" i="6"/>
  <c r="R77" i="6"/>
  <c r="E78" i="6"/>
  <c r="F78" i="6"/>
  <c r="G78" i="6"/>
  <c r="H78" i="6"/>
  <c r="I78" i="6"/>
  <c r="J78" i="6"/>
  <c r="K78" i="6"/>
  <c r="L78" i="6"/>
  <c r="M78" i="6"/>
  <c r="N78" i="6"/>
  <c r="O78" i="6"/>
  <c r="P78" i="6"/>
  <c r="Q78" i="6"/>
  <c r="R78" i="6"/>
  <c r="E79" i="6"/>
  <c r="F79" i="6"/>
  <c r="G79" i="6"/>
  <c r="H79" i="6"/>
  <c r="I79" i="6"/>
  <c r="J79" i="6"/>
  <c r="K79" i="6"/>
  <c r="L79" i="6"/>
  <c r="M79" i="6"/>
  <c r="N79" i="6"/>
  <c r="O79" i="6"/>
  <c r="P79" i="6"/>
  <c r="Q79" i="6"/>
  <c r="R79" i="6"/>
  <c r="E80" i="6"/>
  <c r="F80" i="6"/>
  <c r="G80" i="6"/>
  <c r="H80" i="6"/>
  <c r="I80" i="6"/>
  <c r="J80" i="6"/>
  <c r="K80" i="6"/>
  <c r="L80" i="6"/>
  <c r="M80" i="6"/>
  <c r="N80" i="6"/>
  <c r="O80" i="6"/>
  <c r="P80" i="6"/>
  <c r="Q80" i="6"/>
  <c r="R80" i="6"/>
  <c r="E81" i="6"/>
  <c r="F81" i="6"/>
  <c r="G81" i="6"/>
  <c r="H81" i="6"/>
  <c r="I81" i="6"/>
  <c r="J81" i="6"/>
  <c r="K81" i="6"/>
  <c r="L81" i="6"/>
  <c r="M81" i="6"/>
  <c r="N81" i="6"/>
  <c r="O81" i="6"/>
  <c r="P81" i="6"/>
  <c r="Q81" i="6"/>
  <c r="R81" i="6"/>
  <c r="E82" i="6"/>
  <c r="F82" i="6"/>
  <c r="G82" i="6"/>
  <c r="H82" i="6"/>
  <c r="I82" i="6"/>
  <c r="J82" i="6"/>
  <c r="K82" i="6"/>
  <c r="L82" i="6"/>
  <c r="M82" i="6"/>
  <c r="N82" i="6"/>
  <c r="O82" i="6"/>
  <c r="P82" i="6"/>
  <c r="Q82" i="6"/>
  <c r="R82" i="6"/>
  <c r="E83" i="6"/>
  <c r="F83" i="6"/>
  <c r="G83" i="6"/>
  <c r="H83" i="6"/>
  <c r="I83" i="6"/>
  <c r="J83" i="6"/>
  <c r="K83" i="6"/>
  <c r="L83" i="6"/>
  <c r="M83" i="6"/>
  <c r="N83" i="6"/>
  <c r="O83" i="6"/>
  <c r="P83" i="6"/>
  <c r="Q83" i="6"/>
  <c r="R83" i="6"/>
  <c r="E84" i="6"/>
  <c r="F84" i="6"/>
  <c r="G84" i="6"/>
  <c r="H84" i="6"/>
  <c r="I84" i="6"/>
  <c r="J84" i="6"/>
  <c r="K84" i="6"/>
  <c r="L84" i="6"/>
  <c r="M84" i="6"/>
  <c r="N84" i="6"/>
  <c r="O84" i="6"/>
  <c r="P84" i="6"/>
  <c r="Q84" i="6"/>
  <c r="R84" i="6"/>
  <c r="E85" i="6"/>
  <c r="F85" i="6"/>
  <c r="G85" i="6"/>
  <c r="H85" i="6"/>
  <c r="I85" i="6"/>
  <c r="J85" i="6"/>
  <c r="K85" i="6"/>
  <c r="L85" i="6"/>
  <c r="M85" i="6"/>
  <c r="N85" i="6"/>
  <c r="O85" i="6"/>
  <c r="P85" i="6"/>
  <c r="Q85" i="6"/>
  <c r="R85" i="6"/>
  <c r="E86" i="6"/>
  <c r="F86" i="6"/>
  <c r="G86" i="6"/>
  <c r="H86" i="6"/>
  <c r="I86" i="6"/>
  <c r="J86" i="6"/>
  <c r="K86" i="6"/>
  <c r="L86" i="6"/>
  <c r="M86" i="6"/>
  <c r="N86" i="6"/>
  <c r="O86" i="6"/>
  <c r="P86" i="6"/>
  <c r="Q86" i="6"/>
  <c r="R86" i="6"/>
  <c r="E87" i="6"/>
  <c r="F87" i="6"/>
  <c r="G87" i="6"/>
  <c r="H87" i="6"/>
  <c r="I87" i="6"/>
  <c r="J87" i="6"/>
  <c r="K87" i="6"/>
  <c r="L87" i="6"/>
  <c r="M87" i="6"/>
  <c r="N87" i="6"/>
  <c r="O87" i="6"/>
  <c r="P87" i="6"/>
  <c r="Q87" i="6"/>
  <c r="R87" i="6"/>
  <c r="E88" i="6"/>
  <c r="F88" i="6"/>
  <c r="G88" i="6"/>
  <c r="H88" i="6"/>
  <c r="I88" i="6"/>
  <c r="J88" i="6"/>
  <c r="K88" i="6"/>
  <c r="L88" i="6"/>
  <c r="M88" i="6"/>
  <c r="N88" i="6"/>
  <c r="O88" i="6"/>
  <c r="P88" i="6"/>
  <c r="Q88" i="6"/>
  <c r="R88" i="6"/>
  <c r="E89" i="6"/>
  <c r="F89" i="6"/>
  <c r="G89" i="6"/>
  <c r="H89" i="6"/>
  <c r="I89" i="6"/>
  <c r="J89" i="6"/>
  <c r="K89" i="6"/>
  <c r="L89" i="6"/>
  <c r="M89" i="6"/>
  <c r="N89" i="6"/>
  <c r="O89" i="6"/>
  <c r="P89" i="6"/>
  <c r="Q89" i="6"/>
  <c r="R89" i="6"/>
  <c r="E90" i="6"/>
  <c r="F90" i="6"/>
  <c r="G90" i="6"/>
  <c r="H90" i="6"/>
  <c r="I90" i="6"/>
  <c r="J90" i="6"/>
  <c r="K90" i="6"/>
  <c r="L90" i="6"/>
  <c r="M90" i="6"/>
  <c r="N90" i="6"/>
  <c r="O90" i="6"/>
  <c r="P90" i="6"/>
  <c r="Q90" i="6"/>
  <c r="R90" i="6"/>
  <c r="E91" i="6"/>
  <c r="F91" i="6"/>
  <c r="G91" i="6"/>
  <c r="H91" i="6"/>
  <c r="I91" i="6"/>
  <c r="J91" i="6"/>
  <c r="K91" i="6"/>
  <c r="L91" i="6"/>
  <c r="M91" i="6"/>
  <c r="N91" i="6"/>
  <c r="O91" i="6"/>
  <c r="P91" i="6"/>
  <c r="Q91" i="6"/>
  <c r="R91" i="6"/>
  <c r="E92" i="6"/>
  <c r="F92" i="6"/>
  <c r="G92" i="6"/>
  <c r="H92" i="6"/>
  <c r="I92" i="6"/>
  <c r="J92" i="6"/>
  <c r="K92" i="6"/>
  <c r="L92" i="6"/>
  <c r="M92" i="6"/>
  <c r="N92" i="6"/>
  <c r="O92" i="6"/>
  <c r="P92" i="6"/>
  <c r="Q92" i="6"/>
  <c r="R92" i="6"/>
  <c r="E93" i="6"/>
  <c r="F93" i="6"/>
  <c r="G93" i="6"/>
  <c r="H93" i="6"/>
  <c r="I93" i="6"/>
  <c r="J93" i="6"/>
  <c r="K93" i="6"/>
  <c r="L93" i="6"/>
  <c r="M93" i="6"/>
  <c r="N93" i="6"/>
  <c r="O93" i="6"/>
  <c r="P93" i="6"/>
  <c r="Q93" i="6"/>
  <c r="R93" i="6"/>
  <c r="E94" i="6"/>
  <c r="F94" i="6"/>
  <c r="G94" i="6"/>
  <c r="H94" i="6"/>
  <c r="I94" i="6"/>
  <c r="J94" i="6"/>
  <c r="K94" i="6"/>
  <c r="L94" i="6"/>
  <c r="M94" i="6"/>
  <c r="N94" i="6"/>
  <c r="O94" i="6"/>
  <c r="P94" i="6"/>
  <c r="Q94" i="6"/>
  <c r="R94" i="6"/>
  <c r="E95" i="6"/>
  <c r="F95" i="6"/>
  <c r="G95" i="6"/>
  <c r="H95" i="6"/>
  <c r="I95" i="6"/>
  <c r="J95" i="6"/>
  <c r="K95" i="6"/>
  <c r="L95" i="6"/>
  <c r="M95" i="6"/>
  <c r="N95" i="6"/>
  <c r="O95" i="6"/>
  <c r="P95" i="6"/>
  <c r="Q95" i="6"/>
  <c r="R95" i="6"/>
  <c r="E96" i="6"/>
  <c r="F96" i="6"/>
  <c r="G96" i="6"/>
  <c r="H96" i="6"/>
  <c r="I96" i="6"/>
  <c r="J96" i="6"/>
  <c r="K96" i="6"/>
  <c r="L96" i="6"/>
  <c r="M96" i="6"/>
  <c r="N96" i="6"/>
  <c r="O96" i="6"/>
  <c r="P96" i="6"/>
  <c r="Q96" i="6"/>
  <c r="R96" i="6"/>
  <c r="E97" i="6"/>
  <c r="F97" i="6"/>
  <c r="G97" i="6"/>
  <c r="H97" i="6"/>
  <c r="I97" i="6"/>
  <c r="J97" i="6"/>
  <c r="K97" i="6"/>
  <c r="L97" i="6"/>
  <c r="M97" i="6"/>
  <c r="N97" i="6"/>
  <c r="O97" i="6"/>
  <c r="P97" i="6"/>
  <c r="Q97" i="6"/>
  <c r="R97" i="6"/>
  <c r="E98" i="6"/>
  <c r="F98" i="6"/>
  <c r="G98" i="6"/>
  <c r="H98" i="6"/>
  <c r="I98" i="6"/>
  <c r="J98" i="6"/>
  <c r="K98" i="6"/>
  <c r="L98" i="6"/>
  <c r="M98" i="6"/>
  <c r="N98" i="6"/>
  <c r="O98" i="6"/>
  <c r="P98" i="6"/>
  <c r="Q98" i="6"/>
  <c r="R98" i="6"/>
  <c r="E99" i="6"/>
  <c r="F99" i="6"/>
  <c r="G99" i="6"/>
  <c r="H99" i="6"/>
  <c r="I99" i="6"/>
  <c r="J99" i="6"/>
  <c r="K99" i="6"/>
  <c r="L99" i="6"/>
  <c r="M99" i="6"/>
  <c r="N99" i="6"/>
  <c r="O99" i="6"/>
  <c r="P99" i="6"/>
  <c r="Q99" i="6"/>
  <c r="R99" i="6"/>
  <c r="E100" i="6"/>
  <c r="F100" i="6"/>
  <c r="G100" i="6"/>
  <c r="H100" i="6"/>
  <c r="I100" i="6"/>
  <c r="J100" i="6"/>
  <c r="K100" i="6"/>
  <c r="L100" i="6"/>
  <c r="M100" i="6"/>
  <c r="N100" i="6"/>
  <c r="O100" i="6"/>
  <c r="P100" i="6"/>
  <c r="Q100" i="6"/>
  <c r="R100" i="6"/>
  <c r="E101" i="6"/>
  <c r="F101" i="6"/>
  <c r="G101" i="6"/>
  <c r="H101" i="6"/>
  <c r="I101" i="6"/>
  <c r="J101" i="6"/>
  <c r="K101" i="6"/>
  <c r="L101" i="6"/>
  <c r="M101" i="6"/>
  <c r="N101" i="6"/>
  <c r="O101" i="6"/>
  <c r="P101" i="6"/>
  <c r="Q101" i="6"/>
  <c r="R101" i="6"/>
  <c r="E102" i="6"/>
  <c r="F102" i="6"/>
  <c r="G102" i="6"/>
  <c r="H102" i="6"/>
  <c r="I102" i="6"/>
  <c r="J102" i="6"/>
  <c r="K102" i="6"/>
  <c r="L102" i="6"/>
  <c r="M102" i="6"/>
  <c r="N102" i="6"/>
  <c r="O102" i="6"/>
  <c r="P102" i="6"/>
  <c r="Q102" i="6"/>
  <c r="R102" i="6"/>
  <c r="E103" i="6"/>
  <c r="F103" i="6"/>
  <c r="G103" i="6"/>
  <c r="H103" i="6"/>
  <c r="I103" i="6"/>
  <c r="J103" i="6"/>
  <c r="K103" i="6"/>
  <c r="L103" i="6"/>
  <c r="M103" i="6"/>
  <c r="N103" i="6"/>
  <c r="O103" i="6"/>
  <c r="P103" i="6"/>
  <c r="Q103" i="6"/>
  <c r="R103" i="6"/>
  <c r="E104" i="6"/>
  <c r="F104" i="6"/>
  <c r="G104" i="6"/>
  <c r="H104" i="6"/>
  <c r="I104" i="6"/>
  <c r="J104" i="6"/>
  <c r="K104" i="6"/>
  <c r="L104" i="6"/>
  <c r="M104" i="6"/>
  <c r="N104" i="6"/>
  <c r="O104" i="6"/>
  <c r="P104" i="6"/>
  <c r="Q104" i="6"/>
  <c r="R104" i="6"/>
  <c r="E105" i="6"/>
  <c r="F105" i="6"/>
  <c r="G105" i="6"/>
  <c r="H105" i="6"/>
  <c r="I105" i="6"/>
  <c r="J105" i="6"/>
  <c r="K105" i="6"/>
  <c r="L105" i="6"/>
  <c r="M105" i="6"/>
  <c r="N105" i="6"/>
  <c r="O105" i="6"/>
  <c r="P105" i="6"/>
  <c r="Q105" i="6"/>
  <c r="R105" i="6"/>
  <c r="E106" i="6"/>
  <c r="F106" i="6"/>
  <c r="G106" i="6"/>
  <c r="H106" i="6"/>
  <c r="I106" i="6"/>
  <c r="J106" i="6"/>
  <c r="K106" i="6"/>
  <c r="L106" i="6"/>
  <c r="M106" i="6"/>
  <c r="N106" i="6"/>
  <c r="O106" i="6"/>
  <c r="P106" i="6"/>
  <c r="Q106" i="6"/>
  <c r="R106" i="6"/>
  <c r="E107" i="6"/>
  <c r="F107" i="6"/>
  <c r="G107" i="6"/>
  <c r="H107" i="6"/>
  <c r="I107" i="6"/>
  <c r="J107" i="6"/>
  <c r="K107" i="6"/>
  <c r="L107" i="6"/>
  <c r="M107" i="6"/>
  <c r="N107" i="6"/>
  <c r="O107" i="6"/>
  <c r="P107" i="6"/>
  <c r="Q107" i="6"/>
  <c r="R107" i="6"/>
  <c r="E108" i="6"/>
  <c r="F108" i="6"/>
  <c r="G108" i="6"/>
  <c r="H108" i="6"/>
  <c r="I108" i="6"/>
  <c r="J108" i="6"/>
  <c r="K108" i="6"/>
  <c r="L108" i="6"/>
  <c r="M108" i="6"/>
  <c r="N108" i="6"/>
  <c r="O108" i="6"/>
  <c r="P108" i="6"/>
  <c r="Q108" i="6"/>
  <c r="R108" i="6"/>
  <c r="E109" i="6"/>
  <c r="F109" i="6"/>
  <c r="G109" i="6"/>
  <c r="H109" i="6"/>
  <c r="I109" i="6"/>
  <c r="J109" i="6"/>
  <c r="K109" i="6"/>
  <c r="L109" i="6"/>
  <c r="M109" i="6"/>
  <c r="N109" i="6"/>
  <c r="O109" i="6"/>
  <c r="P109" i="6"/>
  <c r="Q109" i="6"/>
  <c r="R109" i="6"/>
  <c r="E110" i="6"/>
  <c r="F110" i="6"/>
  <c r="G110" i="6"/>
  <c r="H110" i="6"/>
  <c r="I110" i="6"/>
  <c r="J110" i="6"/>
  <c r="K110" i="6"/>
  <c r="L110" i="6"/>
  <c r="M110" i="6"/>
  <c r="N110" i="6"/>
  <c r="O110" i="6"/>
  <c r="P110" i="6"/>
  <c r="Q110" i="6"/>
  <c r="R110" i="6"/>
  <c r="E111" i="6"/>
  <c r="F111" i="6"/>
  <c r="G111" i="6"/>
  <c r="H111" i="6"/>
  <c r="I111" i="6"/>
  <c r="J111" i="6"/>
  <c r="K111" i="6"/>
  <c r="L111" i="6"/>
  <c r="M111" i="6"/>
  <c r="N111" i="6"/>
  <c r="O111" i="6"/>
  <c r="P111" i="6"/>
  <c r="Q111" i="6"/>
  <c r="R111" i="6"/>
  <c r="E112" i="6"/>
  <c r="F112" i="6"/>
  <c r="G112" i="6"/>
  <c r="H112" i="6"/>
  <c r="I112" i="6"/>
  <c r="J112" i="6"/>
  <c r="K112" i="6"/>
  <c r="L112" i="6"/>
  <c r="M112" i="6"/>
  <c r="N112" i="6"/>
  <c r="O112" i="6"/>
  <c r="P112" i="6"/>
  <c r="Q112" i="6"/>
  <c r="R112" i="6"/>
  <c r="E113" i="6"/>
  <c r="F113" i="6"/>
  <c r="G113" i="6"/>
  <c r="H113" i="6"/>
  <c r="I113" i="6"/>
  <c r="J113" i="6"/>
  <c r="K113" i="6"/>
  <c r="L113" i="6"/>
  <c r="M113" i="6"/>
  <c r="N113" i="6"/>
  <c r="O113" i="6"/>
  <c r="P113" i="6"/>
  <c r="Q113" i="6"/>
  <c r="R113" i="6"/>
  <c r="E114" i="6"/>
  <c r="F114" i="6"/>
  <c r="G114" i="6"/>
  <c r="H114" i="6"/>
  <c r="I114" i="6"/>
  <c r="J114" i="6"/>
  <c r="K114" i="6"/>
  <c r="L114" i="6"/>
  <c r="M114" i="6"/>
  <c r="N114" i="6"/>
  <c r="O114" i="6"/>
  <c r="P114" i="6"/>
  <c r="Q114" i="6"/>
  <c r="R114" i="6"/>
  <c r="E115" i="6"/>
  <c r="F115" i="6"/>
  <c r="G115" i="6"/>
  <c r="H115" i="6"/>
  <c r="I115" i="6"/>
  <c r="J115" i="6"/>
  <c r="K115" i="6"/>
  <c r="L115" i="6"/>
  <c r="M115" i="6"/>
  <c r="N115" i="6"/>
  <c r="O115" i="6"/>
  <c r="P115" i="6"/>
  <c r="Q115" i="6"/>
  <c r="R115" i="6"/>
  <c r="E116" i="6"/>
  <c r="F116" i="6"/>
  <c r="G116" i="6"/>
  <c r="H116" i="6"/>
  <c r="I116" i="6"/>
  <c r="J116" i="6"/>
  <c r="K116" i="6"/>
  <c r="L116" i="6"/>
  <c r="M116" i="6"/>
  <c r="N116" i="6"/>
  <c r="O116" i="6"/>
  <c r="P116" i="6"/>
  <c r="Q116" i="6"/>
  <c r="R116" i="6"/>
  <c r="E117" i="6"/>
  <c r="F117" i="6"/>
  <c r="G117" i="6"/>
  <c r="H117" i="6"/>
  <c r="I117" i="6"/>
  <c r="J117" i="6"/>
  <c r="K117" i="6"/>
  <c r="L117" i="6"/>
  <c r="M117" i="6"/>
  <c r="N117" i="6"/>
  <c r="O117" i="6"/>
  <c r="P117" i="6"/>
  <c r="Q117" i="6"/>
  <c r="R117" i="6"/>
  <c r="E118" i="6"/>
  <c r="F118" i="6"/>
  <c r="G118" i="6"/>
  <c r="H118" i="6"/>
  <c r="I118" i="6"/>
  <c r="J118" i="6"/>
  <c r="K118" i="6"/>
  <c r="L118" i="6"/>
  <c r="M118" i="6"/>
  <c r="N118" i="6"/>
  <c r="O118" i="6"/>
  <c r="P118" i="6"/>
  <c r="Q118" i="6"/>
  <c r="R118" i="6"/>
  <c r="E119" i="6"/>
  <c r="F119" i="6"/>
  <c r="G119" i="6"/>
  <c r="H119" i="6"/>
  <c r="I119" i="6"/>
  <c r="J119" i="6"/>
  <c r="K119" i="6"/>
  <c r="L119" i="6"/>
  <c r="M119" i="6"/>
  <c r="N119" i="6"/>
  <c r="O119" i="6"/>
  <c r="P119" i="6"/>
  <c r="Q119" i="6"/>
  <c r="R119" i="6"/>
  <c r="E120" i="6"/>
  <c r="F120" i="6"/>
  <c r="G120" i="6"/>
  <c r="H120" i="6"/>
  <c r="I120" i="6"/>
  <c r="J120" i="6"/>
  <c r="K120" i="6"/>
  <c r="L120" i="6"/>
  <c r="M120" i="6"/>
  <c r="N120" i="6"/>
  <c r="O120" i="6"/>
  <c r="P120" i="6"/>
  <c r="Q120" i="6"/>
  <c r="R120" i="6"/>
  <c r="E121" i="6"/>
  <c r="F121" i="6"/>
  <c r="G121" i="6"/>
  <c r="H121" i="6"/>
  <c r="I121" i="6"/>
  <c r="J121" i="6"/>
  <c r="K121" i="6"/>
  <c r="L121" i="6"/>
  <c r="M121" i="6"/>
  <c r="N121" i="6"/>
  <c r="O121" i="6"/>
  <c r="P121" i="6"/>
  <c r="Q121" i="6"/>
  <c r="R121" i="6"/>
  <c r="E122" i="6"/>
  <c r="F122" i="6"/>
  <c r="G122" i="6"/>
  <c r="H122" i="6"/>
  <c r="I122" i="6"/>
  <c r="J122" i="6"/>
  <c r="K122" i="6"/>
  <c r="L122" i="6"/>
  <c r="M122" i="6"/>
  <c r="N122" i="6"/>
  <c r="O122" i="6"/>
  <c r="P122" i="6"/>
  <c r="Q122" i="6"/>
  <c r="R122" i="6"/>
  <c r="E123" i="6"/>
  <c r="F123" i="6"/>
  <c r="G123" i="6"/>
  <c r="H123" i="6"/>
  <c r="I123" i="6"/>
  <c r="J123" i="6"/>
  <c r="K123" i="6"/>
  <c r="L123" i="6"/>
  <c r="M123" i="6"/>
  <c r="N123" i="6"/>
  <c r="O123" i="6"/>
  <c r="P123" i="6"/>
  <c r="Q123" i="6"/>
  <c r="R123" i="6"/>
  <c r="E124" i="6"/>
  <c r="F124" i="6"/>
  <c r="G124" i="6"/>
  <c r="H124" i="6"/>
  <c r="I124" i="6"/>
  <c r="J124" i="6"/>
  <c r="K124" i="6"/>
  <c r="L124" i="6"/>
  <c r="M124" i="6"/>
  <c r="N124" i="6"/>
  <c r="O124" i="6"/>
  <c r="P124" i="6"/>
  <c r="Q124" i="6"/>
  <c r="R124" i="6"/>
  <c r="E125" i="6"/>
  <c r="F125" i="6"/>
  <c r="G125" i="6"/>
  <c r="H125" i="6"/>
  <c r="I125" i="6"/>
  <c r="J125" i="6"/>
  <c r="K125" i="6"/>
  <c r="AM125" i="6" s="1"/>
  <c r="L125" i="6"/>
  <c r="AN125" i="6" s="1"/>
  <c r="M125" i="6"/>
  <c r="N125" i="6"/>
  <c r="O125" i="6"/>
  <c r="AQ125" i="6" s="1"/>
  <c r="P125" i="6"/>
  <c r="AR125" i="6" s="1"/>
  <c r="Q125" i="6"/>
  <c r="R125" i="6"/>
  <c r="F35" i="6"/>
  <c r="G35" i="6"/>
  <c r="H35" i="6"/>
  <c r="I35" i="6"/>
  <c r="J35" i="6"/>
  <c r="K35" i="6"/>
  <c r="L35" i="6"/>
  <c r="M35" i="6"/>
  <c r="N35" i="6"/>
  <c r="O35" i="6"/>
  <c r="P35" i="6"/>
  <c r="Q35" i="6"/>
  <c r="R35" i="6"/>
  <c r="E35" i="6"/>
  <c r="AG35" i="6" s="1"/>
  <c r="D31" i="6"/>
  <c r="L32" i="8" l="1"/>
  <c r="K32" i="8"/>
  <c r="L33" i="8"/>
  <c r="K33" i="8"/>
  <c r="L26" i="8"/>
  <c r="M26" i="8" s="1"/>
  <c r="K34" i="8"/>
  <c r="L34" i="8"/>
  <c r="M34" i="8" s="1"/>
  <c r="L27" i="8"/>
  <c r="M27" i="8" s="1"/>
  <c r="K35" i="8"/>
  <c r="L35" i="8"/>
  <c r="AT125" i="6"/>
  <c r="AP125" i="6"/>
  <c r="I35" i="7"/>
  <c r="I32" i="7"/>
  <c r="I40" i="7"/>
  <c r="L28" i="8"/>
  <c r="M28" i="8" s="1"/>
  <c r="L36" i="8"/>
  <c r="M36" i="8" s="1"/>
  <c r="L29" i="8"/>
  <c r="K29" i="8"/>
  <c r="L37" i="8"/>
  <c r="M37" i="8" s="1"/>
  <c r="AS125" i="6"/>
  <c r="AO125" i="6"/>
  <c r="I37" i="7"/>
  <c r="I34" i="7"/>
  <c r="K30" i="8"/>
  <c r="L30" i="8"/>
  <c r="L38" i="8"/>
  <c r="M38" i="8" s="1"/>
  <c r="L31" i="8"/>
  <c r="M31" i="8" s="1"/>
  <c r="L39" i="8"/>
  <c r="M39" i="8" s="1"/>
  <c r="AT35" i="6"/>
  <c r="AR35" i="6"/>
  <c r="AP35" i="6"/>
  <c r="AN35" i="6"/>
  <c r="AL35" i="6"/>
  <c r="AJ35" i="6"/>
  <c r="AH35" i="6"/>
  <c r="AK125" i="6"/>
  <c r="AI125" i="6"/>
  <c r="AG125" i="6"/>
  <c r="AS124" i="6"/>
  <c r="AQ124" i="6"/>
  <c r="AO124" i="6"/>
  <c r="AM124" i="6"/>
  <c r="AK124" i="6"/>
  <c r="AI124" i="6"/>
  <c r="AG124" i="6"/>
  <c r="AS123" i="6"/>
  <c r="AQ123" i="6"/>
  <c r="AO123" i="6"/>
  <c r="AM123" i="6"/>
  <c r="AK123" i="6"/>
  <c r="AI123" i="6"/>
  <c r="AG123" i="6"/>
  <c r="AS122" i="6"/>
  <c r="AQ122" i="6"/>
  <c r="AO122" i="6"/>
  <c r="AM122" i="6"/>
  <c r="AK122" i="6"/>
  <c r="AI122" i="6"/>
  <c r="AG122" i="6"/>
  <c r="AS121" i="6"/>
  <c r="AQ121" i="6"/>
  <c r="AO121" i="6"/>
  <c r="AM121" i="6"/>
  <c r="AK121" i="6"/>
  <c r="AI121" i="6"/>
  <c r="AG121" i="6"/>
  <c r="AS120" i="6"/>
  <c r="AQ120" i="6"/>
  <c r="AO120" i="6"/>
  <c r="AM120" i="6"/>
  <c r="AK120" i="6"/>
  <c r="AI120" i="6"/>
  <c r="AG120" i="6"/>
  <c r="AS119" i="6"/>
  <c r="AQ119" i="6"/>
  <c r="AO119" i="6"/>
  <c r="AM119" i="6"/>
  <c r="AK119" i="6"/>
  <c r="AI119" i="6"/>
  <c r="AG119" i="6"/>
  <c r="AS118" i="6"/>
  <c r="AQ118" i="6"/>
  <c r="AO118" i="6"/>
  <c r="AM118" i="6"/>
  <c r="AK118" i="6"/>
  <c r="AI118" i="6"/>
  <c r="AG118" i="6"/>
  <c r="AS117" i="6"/>
  <c r="AQ117" i="6"/>
  <c r="AO117" i="6"/>
  <c r="AM117" i="6"/>
  <c r="AK117" i="6"/>
  <c r="AI117" i="6"/>
  <c r="AG117" i="6"/>
  <c r="AS116" i="6"/>
  <c r="AQ116" i="6"/>
  <c r="AO116" i="6"/>
  <c r="AM116" i="6"/>
  <c r="AK116" i="6"/>
  <c r="AI116" i="6"/>
  <c r="AG116" i="6"/>
  <c r="AS115" i="6"/>
  <c r="AQ115" i="6"/>
  <c r="AO115" i="6"/>
  <c r="AM115" i="6"/>
  <c r="AK115" i="6"/>
  <c r="AI115" i="6"/>
  <c r="AG115" i="6"/>
  <c r="AS114" i="6"/>
  <c r="AQ114" i="6"/>
  <c r="AO114" i="6"/>
  <c r="AM114" i="6"/>
  <c r="AK114" i="6"/>
  <c r="AI114" i="6"/>
  <c r="AG114" i="6"/>
  <c r="AS113" i="6"/>
  <c r="AQ113" i="6"/>
  <c r="AO113" i="6"/>
  <c r="AM113" i="6"/>
  <c r="AK113" i="6"/>
  <c r="AI113" i="6"/>
  <c r="AG113" i="6"/>
  <c r="AS112" i="6"/>
  <c r="AQ112" i="6"/>
  <c r="AO112" i="6"/>
  <c r="AM112" i="6"/>
  <c r="AK112" i="6"/>
  <c r="AI112" i="6"/>
  <c r="AG112" i="6"/>
  <c r="AS111" i="6"/>
  <c r="AQ111" i="6"/>
  <c r="AO111" i="6"/>
  <c r="AM111" i="6"/>
  <c r="AK111" i="6"/>
  <c r="AI111" i="6"/>
  <c r="AG111" i="6"/>
  <c r="AS110" i="6"/>
  <c r="AQ110" i="6"/>
  <c r="AO110" i="6"/>
  <c r="AM110" i="6"/>
  <c r="AK110" i="6"/>
  <c r="AI110" i="6"/>
  <c r="AG110" i="6"/>
  <c r="AS109" i="6"/>
  <c r="AQ109" i="6"/>
  <c r="AO109" i="6"/>
  <c r="AM109" i="6"/>
  <c r="AK109" i="6"/>
  <c r="AI109" i="6"/>
  <c r="AG109" i="6"/>
  <c r="AS108" i="6"/>
  <c r="AQ108" i="6"/>
  <c r="AO108" i="6"/>
  <c r="AM108" i="6"/>
  <c r="AK108" i="6"/>
  <c r="AI108" i="6"/>
  <c r="AG108" i="6"/>
  <c r="AS35" i="6"/>
  <c r="AQ35" i="6"/>
  <c r="AO35" i="6"/>
  <c r="AM35" i="6"/>
  <c r="AK35" i="6"/>
  <c r="AI35" i="6"/>
  <c r="AL125" i="6"/>
  <c r="AJ125" i="6"/>
  <c r="AH125" i="6"/>
  <c r="AT124" i="6"/>
  <c r="AR124" i="6"/>
  <c r="AP124" i="6"/>
  <c r="AN124" i="6"/>
  <c r="AL124" i="6"/>
  <c r="AJ124" i="6"/>
  <c r="AH124" i="6"/>
  <c r="AT123" i="6"/>
  <c r="AR123" i="6"/>
  <c r="AP123" i="6"/>
  <c r="AN123" i="6"/>
  <c r="AL123" i="6"/>
  <c r="AJ123" i="6"/>
  <c r="AH123" i="6"/>
  <c r="AT122" i="6"/>
  <c r="AR122" i="6"/>
  <c r="AP122" i="6"/>
  <c r="AN122" i="6"/>
  <c r="AL122" i="6"/>
  <c r="AJ122" i="6"/>
  <c r="AH122" i="6"/>
  <c r="AT121" i="6"/>
  <c r="AR121" i="6"/>
  <c r="AP121" i="6"/>
  <c r="AN121" i="6"/>
  <c r="AL121" i="6"/>
  <c r="AJ121" i="6"/>
  <c r="AH121" i="6"/>
  <c r="AT120" i="6"/>
  <c r="AR120" i="6"/>
  <c r="AP120" i="6"/>
  <c r="AN120" i="6"/>
  <c r="AL120" i="6"/>
  <c r="AJ120" i="6"/>
  <c r="AH120" i="6"/>
  <c r="AT119" i="6"/>
  <c r="AR119" i="6"/>
  <c r="AP119" i="6"/>
  <c r="AN119" i="6"/>
  <c r="AL119" i="6"/>
  <c r="AJ119" i="6"/>
  <c r="AH119" i="6"/>
  <c r="AT118" i="6"/>
  <c r="AR118" i="6"/>
  <c r="AP118" i="6"/>
  <c r="AN118" i="6"/>
  <c r="AL118" i="6"/>
  <c r="AJ118" i="6"/>
  <c r="AH118" i="6"/>
  <c r="AT117" i="6"/>
  <c r="AR117" i="6"/>
  <c r="AP117" i="6"/>
  <c r="AN117" i="6"/>
  <c r="AL117" i="6"/>
  <c r="AJ117" i="6"/>
  <c r="AH117" i="6"/>
  <c r="AT116" i="6"/>
  <c r="AR116" i="6"/>
  <c r="AP116" i="6"/>
  <c r="AN116" i="6"/>
  <c r="AL116" i="6"/>
  <c r="AJ116" i="6"/>
  <c r="AH116" i="6"/>
  <c r="AT115" i="6"/>
  <c r="AR115" i="6"/>
  <c r="AP115" i="6"/>
  <c r="AN115" i="6"/>
  <c r="AL115" i="6"/>
  <c r="AJ115" i="6"/>
  <c r="AH115" i="6"/>
  <c r="AT114" i="6"/>
  <c r="AR114" i="6"/>
  <c r="AP114" i="6"/>
  <c r="AN114" i="6"/>
  <c r="AL114" i="6"/>
  <c r="AJ114" i="6"/>
  <c r="AH114" i="6"/>
  <c r="AT113" i="6"/>
  <c r="AR113" i="6"/>
  <c r="AP113" i="6"/>
  <c r="AN113" i="6"/>
  <c r="AL113" i="6"/>
  <c r="AJ113" i="6"/>
  <c r="AH113" i="6"/>
  <c r="AT112" i="6"/>
  <c r="AR112" i="6"/>
  <c r="AP112" i="6"/>
  <c r="AN112" i="6"/>
  <c r="AL112" i="6"/>
  <c r="AJ112" i="6"/>
  <c r="AH112" i="6"/>
  <c r="AT111" i="6"/>
  <c r="AR111" i="6"/>
  <c r="AP111" i="6"/>
  <c r="AN111" i="6"/>
  <c r="AL111" i="6"/>
  <c r="AJ111" i="6"/>
  <c r="AH111" i="6"/>
  <c r="AT110" i="6"/>
  <c r="AR110" i="6"/>
  <c r="AP110" i="6"/>
  <c r="AN110" i="6"/>
  <c r="AL110" i="6"/>
  <c r="AJ110" i="6"/>
  <c r="AH110" i="6"/>
  <c r="AT109" i="6"/>
  <c r="AR109" i="6"/>
  <c r="AP109" i="6"/>
  <c r="AN109" i="6"/>
  <c r="AL109" i="6"/>
  <c r="AJ109" i="6"/>
  <c r="AH109" i="6"/>
  <c r="AT108" i="6"/>
  <c r="AR108" i="6"/>
  <c r="AP108" i="6"/>
  <c r="AN108" i="6"/>
  <c r="AL108" i="6"/>
  <c r="AJ108" i="6"/>
  <c r="AH108" i="6"/>
  <c r="AT107" i="6"/>
  <c r="AS107" i="6"/>
  <c r="AQ107" i="6"/>
  <c r="AO107" i="6"/>
  <c r="AM107" i="6"/>
  <c r="AK107" i="6"/>
  <c r="AI107" i="6"/>
  <c r="AG107" i="6"/>
  <c r="AS106" i="6"/>
  <c r="AQ106" i="6"/>
  <c r="AO106" i="6"/>
  <c r="AM106" i="6"/>
  <c r="AK106" i="6"/>
  <c r="AI106" i="6"/>
  <c r="AG106" i="6"/>
  <c r="AS105" i="6"/>
  <c r="AQ105" i="6"/>
  <c r="AO105" i="6"/>
  <c r="AM105" i="6"/>
  <c r="AK105" i="6"/>
  <c r="AI105" i="6"/>
  <c r="AG105" i="6"/>
  <c r="AS104" i="6"/>
  <c r="AQ104" i="6"/>
  <c r="AO104" i="6"/>
  <c r="AM104" i="6"/>
  <c r="AK104" i="6"/>
  <c r="AI104" i="6"/>
  <c r="AG104" i="6"/>
  <c r="AS103" i="6"/>
  <c r="AQ103" i="6"/>
  <c r="AO103" i="6"/>
  <c r="AM103" i="6"/>
  <c r="AK103" i="6"/>
  <c r="AI103" i="6"/>
  <c r="AG103" i="6"/>
  <c r="AS102" i="6"/>
  <c r="AQ102" i="6"/>
  <c r="AO102" i="6"/>
  <c r="AM102" i="6"/>
  <c r="AK102" i="6"/>
  <c r="AI102" i="6"/>
  <c r="AG102" i="6"/>
  <c r="AS101" i="6"/>
  <c r="AQ101" i="6"/>
  <c r="AO101" i="6"/>
  <c r="AM101" i="6"/>
  <c r="AK101" i="6"/>
  <c r="AI101" i="6"/>
  <c r="AG101" i="6"/>
  <c r="AS100" i="6"/>
  <c r="AQ100" i="6"/>
  <c r="AO100" i="6"/>
  <c r="AM100" i="6"/>
  <c r="AK100" i="6"/>
  <c r="AI100" i="6"/>
  <c r="AG100" i="6"/>
  <c r="AS99" i="6"/>
  <c r="AQ99" i="6"/>
  <c r="AO99" i="6"/>
  <c r="AM99" i="6"/>
  <c r="AK99" i="6"/>
  <c r="AI99" i="6"/>
  <c r="AG99" i="6"/>
  <c r="AS98" i="6"/>
  <c r="AQ98" i="6"/>
  <c r="AO98" i="6"/>
  <c r="AM98" i="6"/>
  <c r="AK98" i="6"/>
  <c r="AI98" i="6"/>
  <c r="AG98" i="6"/>
  <c r="AS97" i="6"/>
  <c r="AQ97" i="6"/>
  <c r="AO97" i="6"/>
  <c r="AM97" i="6"/>
  <c r="AK97" i="6"/>
  <c r="AI97" i="6"/>
  <c r="AG97" i="6"/>
  <c r="AS96" i="6"/>
  <c r="AQ96" i="6"/>
  <c r="AO96" i="6"/>
  <c r="AM96" i="6"/>
  <c r="AK96" i="6"/>
  <c r="AI96" i="6"/>
  <c r="AG96" i="6"/>
  <c r="AS95" i="6"/>
  <c r="AQ95" i="6"/>
  <c r="AO95" i="6"/>
  <c r="AM95" i="6"/>
  <c r="AK95" i="6"/>
  <c r="AI95" i="6"/>
  <c r="AG95" i="6"/>
  <c r="AS94" i="6"/>
  <c r="AQ94" i="6"/>
  <c r="AO94" i="6"/>
  <c r="AM94" i="6"/>
  <c r="AK94" i="6"/>
  <c r="AI94" i="6"/>
  <c r="AG94" i="6"/>
  <c r="AS93" i="6"/>
  <c r="AQ93" i="6"/>
  <c r="AO93" i="6"/>
  <c r="AM93" i="6"/>
  <c r="AK93" i="6"/>
  <c r="AI93" i="6"/>
  <c r="AG93" i="6"/>
  <c r="AS92" i="6"/>
  <c r="AQ92" i="6"/>
  <c r="AO92" i="6"/>
  <c r="AM92" i="6"/>
  <c r="AK92" i="6"/>
  <c r="AI92" i="6"/>
  <c r="AG92" i="6"/>
  <c r="AS91" i="6"/>
  <c r="AQ91" i="6"/>
  <c r="AO91" i="6"/>
  <c r="AM91" i="6"/>
  <c r="AK91" i="6"/>
  <c r="AI91" i="6"/>
  <c r="AG91" i="6"/>
  <c r="AS90" i="6"/>
  <c r="AQ90" i="6"/>
  <c r="AO90" i="6"/>
  <c r="AM90" i="6"/>
  <c r="AK90" i="6"/>
  <c r="AI90" i="6"/>
  <c r="AG90" i="6"/>
  <c r="AS89" i="6"/>
  <c r="AQ89" i="6"/>
  <c r="AO89" i="6"/>
  <c r="AM89" i="6"/>
  <c r="AK89" i="6"/>
  <c r="AI89" i="6"/>
  <c r="AG89" i="6"/>
  <c r="AS88" i="6"/>
  <c r="AQ88" i="6"/>
  <c r="AO88" i="6"/>
  <c r="AM88" i="6"/>
  <c r="AK88" i="6"/>
  <c r="AI88" i="6"/>
  <c r="AG88" i="6"/>
  <c r="AS87" i="6"/>
  <c r="AQ87" i="6"/>
  <c r="AO87" i="6"/>
  <c r="AM87" i="6"/>
  <c r="AK87" i="6"/>
  <c r="AI87" i="6"/>
  <c r="AG87" i="6"/>
  <c r="AS86" i="6"/>
  <c r="AQ86" i="6"/>
  <c r="AO86" i="6"/>
  <c r="AM86" i="6"/>
  <c r="AK86" i="6"/>
  <c r="AI86" i="6"/>
  <c r="AG86" i="6"/>
  <c r="AS85" i="6"/>
  <c r="AQ85" i="6"/>
  <c r="AO85" i="6"/>
  <c r="AM85" i="6"/>
  <c r="AK85" i="6"/>
  <c r="AI85" i="6"/>
  <c r="AG85" i="6"/>
  <c r="AS84" i="6"/>
  <c r="AQ84" i="6"/>
  <c r="AO84" i="6"/>
  <c r="AM84" i="6"/>
  <c r="AK84" i="6"/>
  <c r="AI84" i="6"/>
  <c r="AG84" i="6"/>
  <c r="AS83" i="6"/>
  <c r="AQ83" i="6"/>
  <c r="AR107" i="6"/>
  <c r="AP107" i="6"/>
  <c r="AN107" i="6"/>
  <c r="AL107" i="6"/>
  <c r="AJ107" i="6"/>
  <c r="AH107" i="6"/>
  <c r="AT106" i="6"/>
  <c r="AR106" i="6"/>
  <c r="AP106" i="6"/>
  <c r="AN106" i="6"/>
  <c r="AL106" i="6"/>
  <c r="AJ106" i="6"/>
  <c r="AH106" i="6"/>
  <c r="AT105" i="6"/>
  <c r="AR105" i="6"/>
  <c r="AP105" i="6"/>
  <c r="AN105" i="6"/>
  <c r="AL105" i="6"/>
  <c r="AJ105" i="6"/>
  <c r="AH105" i="6"/>
  <c r="AT104" i="6"/>
  <c r="AR104" i="6"/>
  <c r="AP104" i="6"/>
  <c r="AN104" i="6"/>
  <c r="AL104" i="6"/>
  <c r="AJ104" i="6"/>
  <c r="AH104" i="6"/>
  <c r="AT103" i="6"/>
  <c r="AR103" i="6"/>
  <c r="AP103" i="6"/>
  <c r="AN103" i="6"/>
  <c r="AL103" i="6"/>
  <c r="AJ103" i="6"/>
  <c r="AH103" i="6"/>
  <c r="AU103" i="6" s="1"/>
  <c r="AT102" i="6"/>
  <c r="AR102" i="6"/>
  <c r="AP102" i="6"/>
  <c r="AN102" i="6"/>
  <c r="AL102" i="6"/>
  <c r="AJ102" i="6"/>
  <c r="AH102" i="6"/>
  <c r="AT101" i="6"/>
  <c r="AR101" i="6"/>
  <c r="AP101" i="6"/>
  <c r="AN101" i="6"/>
  <c r="AL101" i="6"/>
  <c r="AJ101" i="6"/>
  <c r="AH101" i="6"/>
  <c r="AT100" i="6"/>
  <c r="AR100" i="6"/>
  <c r="AP100" i="6"/>
  <c r="AN100" i="6"/>
  <c r="AL100" i="6"/>
  <c r="AJ100" i="6"/>
  <c r="AH100" i="6"/>
  <c r="AT99" i="6"/>
  <c r="AR99" i="6"/>
  <c r="AP99" i="6"/>
  <c r="AN99" i="6"/>
  <c r="AL99" i="6"/>
  <c r="AJ99" i="6"/>
  <c r="AH99" i="6"/>
  <c r="AT98" i="6"/>
  <c r="AR98" i="6"/>
  <c r="AP98" i="6"/>
  <c r="AN98" i="6"/>
  <c r="AL98" i="6"/>
  <c r="AJ98" i="6"/>
  <c r="AH98" i="6"/>
  <c r="AT97" i="6"/>
  <c r="AR97" i="6"/>
  <c r="AP97" i="6"/>
  <c r="AN97" i="6"/>
  <c r="AL97" i="6"/>
  <c r="AJ97" i="6"/>
  <c r="AH97" i="6"/>
  <c r="AT96" i="6"/>
  <c r="AR96" i="6"/>
  <c r="AP96" i="6"/>
  <c r="AN96" i="6"/>
  <c r="AL96" i="6"/>
  <c r="AJ96" i="6"/>
  <c r="AH96" i="6"/>
  <c r="AT95" i="6"/>
  <c r="AR95" i="6"/>
  <c r="AP95" i="6"/>
  <c r="AN95" i="6"/>
  <c r="AL95" i="6"/>
  <c r="AJ95" i="6"/>
  <c r="AH95" i="6"/>
  <c r="AU95" i="6" s="1"/>
  <c r="AT94" i="6"/>
  <c r="AR94" i="6"/>
  <c r="AP94" i="6"/>
  <c r="AN94" i="6"/>
  <c r="AL94" i="6"/>
  <c r="AJ94" i="6"/>
  <c r="AH94" i="6"/>
  <c r="AT93" i="6"/>
  <c r="AR93" i="6"/>
  <c r="AP93" i="6"/>
  <c r="AN93" i="6"/>
  <c r="AL93" i="6"/>
  <c r="AJ93" i="6"/>
  <c r="AH93" i="6"/>
  <c r="AT92" i="6"/>
  <c r="AR92" i="6"/>
  <c r="AP92" i="6"/>
  <c r="AN92" i="6"/>
  <c r="AL92" i="6"/>
  <c r="AJ92" i="6"/>
  <c r="AH92" i="6"/>
  <c r="AT91" i="6"/>
  <c r="AR91" i="6"/>
  <c r="AP91" i="6"/>
  <c r="AN91" i="6"/>
  <c r="AL91" i="6"/>
  <c r="AJ91" i="6"/>
  <c r="AH91" i="6"/>
  <c r="AT90" i="6"/>
  <c r="AR90" i="6"/>
  <c r="AP90" i="6"/>
  <c r="AN90" i="6"/>
  <c r="AL90" i="6"/>
  <c r="AJ90" i="6"/>
  <c r="AH90" i="6"/>
  <c r="AT89" i="6"/>
  <c r="AR89" i="6"/>
  <c r="AP89" i="6"/>
  <c r="AN89" i="6"/>
  <c r="AL89" i="6"/>
  <c r="AJ89" i="6"/>
  <c r="AH89" i="6"/>
  <c r="AT88" i="6"/>
  <c r="AR88" i="6"/>
  <c r="AP88" i="6"/>
  <c r="AN88" i="6"/>
  <c r="AL88" i="6"/>
  <c r="AJ88" i="6"/>
  <c r="AH88" i="6"/>
  <c r="AT87" i="6"/>
  <c r="AR87" i="6"/>
  <c r="AP87" i="6"/>
  <c r="AN87" i="6"/>
  <c r="AL87" i="6"/>
  <c r="AJ87" i="6"/>
  <c r="AH87" i="6"/>
  <c r="AU87" i="6" s="1"/>
  <c r="AT86" i="6"/>
  <c r="AR86" i="6"/>
  <c r="AP86" i="6"/>
  <c r="AN86" i="6"/>
  <c r="AL86" i="6"/>
  <c r="AJ86" i="6"/>
  <c r="AH86" i="6"/>
  <c r="AT85" i="6"/>
  <c r="AR85" i="6"/>
  <c r="AP85" i="6"/>
  <c r="AN85" i="6"/>
  <c r="AL85" i="6"/>
  <c r="AJ85" i="6"/>
  <c r="AH85" i="6"/>
  <c r="AT84" i="6"/>
  <c r="AR84" i="6"/>
  <c r="AP84" i="6"/>
  <c r="AN84" i="6"/>
  <c r="AL84" i="6"/>
  <c r="AJ84" i="6"/>
  <c r="AH84" i="6"/>
  <c r="AT83" i="6"/>
  <c r="AR83" i="6"/>
  <c r="AO83" i="6"/>
  <c r="AM83" i="6"/>
  <c r="AK83" i="6"/>
  <c r="AI83" i="6"/>
  <c r="AG83" i="6"/>
  <c r="AS82" i="6"/>
  <c r="AQ82" i="6"/>
  <c r="AO82" i="6"/>
  <c r="AM82" i="6"/>
  <c r="AK82" i="6"/>
  <c r="AI82" i="6"/>
  <c r="AG82" i="6"/>
  <c r="AS81" i="6"/>
  <c r="AQ81" i="6"/>
  <c r="AO81" i="6"/>
  <c r="AM81" i="6"/>
  <c r="AK81" i="6"/>
  <c r="AI81" i="6"/>
  <c r="AG81" i="6"/>
  <c r="AS80" i="6"/>
  <c r="AQ80" i="6"/>
  <c r="AO80" i="6"/>
  <c r="AM80" i="6"/>
  <c r="AK80" i="6"/>
  <c r="AI80" i="6"/>
  <c r="AG80" i="6"/>
  <c r="AS79" i="6"/>
  <c r="AQ79" i="6"/>
  <c r="AO79" i="6"/>
  <c r="AM79" i="6"/>
  <c r="AK79" i="6"/>
  <c r="AI79" i="6"/>
  <c r="AG79" i="6"/>
  <c r="AS78" i="6"/>
  <c r="AQ78" i="6"/>
  <c r="AO78" i="6"/>
  <c r="AM78" i="6"/>
  <c r="AK78" i="6"/>
  <c r="AI78" i="6"/>
  <c r="AG78" i="6"/>
  <c r="AS77" i="6"/>
  <c r="AQ77" i="6"/>
  <c r="AO77" i="6"/>
  <c r="AM77" i="6"/>
  <c r="AK77" i="6"/>
  <c r="AI77" i="6"/>
  <c r="AG77" i="6"/>
  <c r="AS76" i="6"/>
  <c r="AQ76" i="6"/>
  <c r="AO76" i="6"/>
  <c r="AM76" i="6"/>
  <c r="AK76" i="6"/>
  <c r="AI76" i="6"/>
  <c r="AG76" i="6"/>
  <c r="AS75" i="6"/>
  <c r="AQ75" i="6"/>
  <c r="AO75" i="6"/>
  <c r="AM75" i="6"/>
  <c r="AK75" i="6"/>
  <c r="AI75" i="6"/>
  <c r="AG75" i="6"/>
  <c r="AS74" i="6"/>
  <c r="AQ74" i="6"/>
  <c r="AO74" i="6"/>
  <c r="AM74" i="6"/>
  <c r="AK74" i="6"/>
  <c r="AI74" i="6"/>
  <c r="AG74" i="6"/>
  <c r="AS73" i="6"/>
  <c r="AQ73" i="6"/>
  <c r="AO73" i="6"/>
  <c r="AM73" i="6"/>
  <c r="AK73" i="6"/>
  <c r="AI73" i="6"/>
  <c r="AG73" i="6"/>
  <c r="AS72" i="6"/>
  <c r="AQ72" i="6"/>
  <c r="AO72" i="6"/>
  <c r="AM72" i="6"/>
  <c r="AK72" i="6"/>
  <c r="AI72" i="6"/>
  <c r="AG72" i="6"/>
  <c r="AS71" i="6"/>
  <c r="AQ71" i="6"/>
  <c r="AO71" i="6"/>
  <c r="AM71" i="6"/>
  <c r="AK71" i="6"/>
  <c r="AI71" i="6"/>
  <c r="AG71" i="6"/>
  <c r="AS70" i="6"/>
  <c r="AQ70" i="6"/>
  <c r="AO70" i="6"/>
  <c r="AM70" i="6"/>
  <c r="AK70" i="6"/>
  <c r="AI70" i="6"/>
  <c r="AG70" i="6"/>
  <c r="AS69" i="6"/>
  <c r="AQ69" i="6"/>
  <c r="AO69" i="6"/>
  <c r="AM69" i="6"/>
  <c r="AK69" i="6"/>
  <c r="AI69" i="6"/>
  <c r="AG69" i="6"/>
  <c r="AS68" i="6"/>
  <c r="AQ68" i="6"/>
  <c r="AO68" i="6"/>
  <c r="AM68" i="6"/>
  <c r="AK68" i="6"/>
  <c r="AI68" i="6"/>
  <c r="AG68" i="6"/>
  <c r="AS67" i="6"/>
  <c r="AQ67" i="6"/>
  <c r="AO67" i="6"/>
  <c r="AM67" i="6"/>
  <c r="AK67" i="6"/>
  <c r="AI67" i="6"/>
  <c r="AG67" i="6"/>
  <c r="AS66" i="6"/>
  <c r="AQ66" i="6"/>
  <c r="AO66" i="6"/>
  <c r="AM66" i="6"/>
  <c r="AK66" i="6"/>
  <c r="AI66" i="6"/>
  <c r="AG66" i="6"/>
  <c r="AS65" i="6"/>
  <c r="AQ65" i="6"/>
  <c r="AO65" i="6"/>
  <c r="AM65" i="6"/>
  <c r="AK65" i="6"/>
  <c r="AI65" i="6"/>
  <c r="AG65" i="6"/>
  <c r="AS64" i="6"/>
  <c r="AQ64" i="6"/>
  <c r="AO64" i="6"/>
  <c r="AM64" i="6"/>
  <c r="AK64" i="6"/>
  <c r="AI64" i="6"/>
  <c r="AG64" i="6"/>
  <c r="AS63" i="6"/>
  <c r="AQ63" i="6"/>
  <c r="AO63" i="6"/>
  <c r="AM63" i="6"/>
  <c r="AK63" i="6"/>
  <c r="AI63" i="6"/>
  <c r="AG63" i="6"/>
  <c r="AS62" i="6"/>
  <c r="AQ62" i="6"/>
  <c r="AO62" i="6"/>
  <c r="AM62" i="6"/>
  <c r="AK62" i="6"/>
  <c r="AI62" i="6"/>
  <c r="AG62" i="6"/>
  <c r="AS61" i="6"/>
  <c r="AQ61" i="6"/>
  <c r="AO61" i="6"/>
  <c r="AM61" i="6"/>
  <c r="AK61" i="6"/>
  <c r="AI61" i="6"/>
  <c r="AG61" i="6"/>
  <c r="AS60" i="6"/>
  <c r="AQ60" i="6"/>
  <c r="AO60" i="6"/>
  <c r="AM60" i="6"/>
  <c r="AK60" i="6"/>
  <c r="AI60" i="6"/>
  <c r="AG60" i="6"/>
  <c r="AS59" i="6"/>
  <c r="AQ59" i="6"/>
  <c r="AP83" i="6"/>
  <c r="AN83" i="6"/>
  <c r="AL83" i="6"/>
  <c r="AJ83" i="6"/>
  <c r="AH83" i="6"/>
  <c r="AT82" i="6"/>
  <c r="AR82" i="6"/>
  <c r="AP82" i="6"/>
  <c r="AN82" i="6"/>
  <c r="AL82" i="6"/>
  <c r="AJ82" i="6"/>
  <c r="AH82" i="6"/>
  <c r="AT81" i="6"/>
  <c r="AR81" i="6"/>
  <c r="AP81" i="6"/>
  <c r="AN81" i="6"/>
  <c r="AL81" i="6"/>
  <c r="AJ81" i="6"/>
  <c r="AH81" i="6"/>
  <c r="AT80" i="6"/>
  <c r="AR80" i="6"/>
  <c r="AP80" i="6"/>
  <c r="AN80" i="6"/>
  <c r="AL80" i="6"/>
  <c r="AJ80" i="6"/>
  <c r="AH80" i="6"/>
  <c r="AT79" i="6"/>
  <c r="AR79" i="6"/>
  <c r="AP79" i="6"/>
  <c r="AN79" i="6"/>
  <c r="AL79" i="6"/>
  <c r="AJ79" i="6"/>
  <c r="AH79" i="6"/>
  <c r="AT78" i="6"/>
  <c r="AR78" i="6"/>
  <c r="AP78" i="6"/>
  <c r="AN78" i="6"/>
  <c r="AL78" i="6"/>
  <c r="AJ78" i="6"/>
  <c r="AH78" i="6"/>
  <c r="AT77" i="6"/>
  <c r="AR77" i="6"/>
  <c r="AP77" i="6"/>
  <c r="AN77" i="6"/>
  <c r="AL77" i="6"/>
  <c r="AJ77" i="6"/>
  <c r="AH77" i="6"/>
  <c r="AT76" i="6"/>
  <c r="AR76" i="6"/>
  <c r="AP76" i="6"/>
  <c r="AN76" i="6"/>
  <c r="AL76" i="6"/>
  <c r="AJ76" i="6"/>
  <c r="AH76" i="6"/>
  <c r="AT75" i="6"/>
  <c r="AR75" i="6"/>
  <c r="AP75" i="6"/>
  <c r="AN75" i="6"/>
  <c r="AL75" i="6"/>
  <c r="AJ75" i="6"/>
  <c r="AH75" i="6"/>
  <c r="AT74" i="6"/>
  <c r="AR74" i="6"/>
  <c r="AP74" i="6"/>
  <c r="AN74" i="6"/>
  <c r="AL74" i="6"/>
  <c r="AJ74" i="6"/>
  <c r="AH74" i="6"/>
  <c r="AT73" i="6"/>
  <c r="AR73" i="6"/>
  <c r="AP73" i="6"/>
  <c r="AN73" i="6"/>
  <c r="AL73" i="6"/>
  <c r="AJ73" i="6"/>
  <c r="AH73" i="6"/>
  <c r="AT72" i="6"/>
  <c r="AR72" i="6"/>
  <c r="AP72" i="6"/>
  <c r="AN72" i="6"/>
  <c r="AL72" i="6"/>
  <c r="AJ72" i="6"/>
  <c r="AH72" i="6"/>
  <c r="AT71" i="6"/>
  <c r="AR71" i="6"/>
  <c r="AP71" i="6"/>
  <c r="AN71" i="6"/>
  <c r="AL71" i="6"/>
  <c r="AJ71" i="6"/>
  <c r="AH71" i="6"/>
  <c r="AT70" i="6"/>
  <c r="AR70" i="6"/>
  <c r="AP70" i="6"/>
  <c r="AN70" i="6"/>
  <c r="AL70" i="6"/>
  <c r="AJ70" i="6"/>
  <c r="AH70" i="6"/>
  <c r="AT69" i="6"/>
  <c r="AR69" i="6"/>
  <c r="AP69" i="6"/>
  <c r="AN69" i="6"/>
  <c r="AL69" i="6"/>
  <c r="AJ69" i="6"/>
  <c r="AH69" i="6"/>
  <c r="AT68" i="6"/>
  <c r="AR68" i="6"/>
  <c r="AP68" i="6"/>
  <c r="AN68" i="6"/>
  <c r="AL68" i="6"/>
  <c r="AJ68" i="6"/>
  <c r="AH68" i="6"/>
  <c r="AT67" i="6"/>
  <c r="AR67" i="6"/>
  <c r="AP67" i="6"/>
  <c r="AN67" i="6"/>
  <c r="AL67" i="6"/>
  <c r="AJ67" i="6"/>
  <c r="AH67" i="6"/>
  <c r="AT66" i="6"/>
  <c r="AR66" i="6"/>
  <c r="AP66" i="6"/>
  <c r="AN66" i="6"/>
  <c r="AL66" i="6"/>
  <c r="AJ66" i="6"/>
  <c r="AH66" i="6"/>
  <c r="AT65" i="6"/>
  <c r="AR65" i="6"/>
  <c r="AP65" i="6"/>
  <c r="AN65" i="6"/>
  <c r="AL65" i="6"/>
  <c r="AJ65" i="6"/>
  <c r="AH65" i="6"/>
  <c r="AT64" i="6"/>
  <c r="AR64" i="6"/>
  <c r="AP64" i="6"/>
  <c r="AN64" i="6"/>
  <c r="AL64" i="6"/>
  <c r="AJ64" i="6"/>
  <c r="AH64" i="6"/>
  <c r="AT63" i="6"/>
  <c r="AR63" i="6"/>
  <c r="AP63" i="6"/>
  <c r="AN63" i="6"/>
  <c r="AL63" i="6"/>
  <c r="AJ63" i="6"/>
  <c r="AH63" i="6"/>
  <c r="AT62" i="6"/>
  <c r="AR62" i="6"/>
  <c r="AP62" i="6"/>
  <c r="AN62" i="6"/>
  <c r="AL62" i="6"/>
  <c r="AJ62" i="6"/>
  <c r="AH62" i="6"/>
  <c r="AT61" i="6"/>
  <c r="AR61" i="6"/>
  <c r="AP61" i="6"/>
  <c r="AN61" i="6"/>
  <c r="AL61" i="6"/>
  <c r="AJ61" i="6"/>
  <c r="AH61" i="6"/>
  <c r="AT60" i="6"/>
  <c r="AR60" i="6"/>
  <c r="AP60" i="6"/>
  <c r="AN60" i="6"/>
  <c r="AL60" i="6"/>
  <c r="AJ60" i="6"/>
  <c r="AH60" i="6"/>
  <c r="AT59" i="6"/>
  <c r="AR59" i="6"/>
  <c r="AP59" i="6"/>
  <c r="AN59" i="6"/>
  <c r="AO59" i="6"/>
  <c r="AM59" i="6"/>
  <c r="AK59" i="6"/>
  <c r="AI59" i="6"/>
  <c r="AG59" i="6"/>
  <c r="AS58" i="6"/>
  <c r="AQ58" i="6"/>
  <c r="AO58" i="6"/>
  <c r="AM58" i="6"/>
  <c r="AK58" i="6"/>
  <c r="AI58" i="6"/>
  <c r="AG58" i="6"/>
  <c r="AS57" i="6"/>
  <c r="AQ57" i="6"/>
  <c r="AO57" i="6"/>
  <c r="AM57" i="6"/>
  <c r="AK57" i="6"/>
  <c r="AI57" i="6"/>
  <c r="AG57" i="6"/>
  <c r="AS56" i="6"/>
  <c r="AQ56" i="6"/>
  <c r="AO56" i="6"/>
  <c r="AM56" i="6"/>
  <c r="AK56" i="6"/>
  <c r="AI56" i="6"/>
  <c r="AG56" i="6"/>
  <c r="AS55" i="6"/>
  <c r="AQ55" i="6"/>
  <c r="AO55" i="6"/>
  <c r="AM55" i="6"/>
  <c r="AK55" i="6"/>
  <c r="AI55" i="6"/>
  <c r="AG55" i="6"/>
  <c r="AS54" i="6"/>
  <c r="AQ54" i="6"/>
  <c r="AO54" i="6"/>
  <c r="AM54" i="6"/>
  <c r="AK54" i="6"/>
  <c r="AI54" i="6"/>
  <c r="AG54" i="6"/>
  <c r="AS53" i="6"/>
  <c r="AQ53" i="6"/>
  <c r="AO53" i="6"/>
  <c r="AM53" i="6"/>
  <c r="AK53" i="6"/>
  <c r="AI53" i="6"/>
  <c r="AG53" i="6"/>
  <c r="AS52" i="6"/>
  <c r="AQ52" i="6"/>
  <c r="AO52" i="6"/>
  <c r="AM52" i="6"/>
  <c r="AK52" i="6"/>
  <c r="AI52" i="6"/>
  <c r="AG52" i="6"/>
  <c r="AS51" i="6"/>
  <c r="AQ51" i="6"/>
  <c r="AO51" i="6"/>
  <c r="AM51" i="6"/>
  <c r="AK51" i="6"/>
  <c r="AI51" i="6"/>
  <c r="AG51" i="6"/>
  <c r="AS50" i="6"/>
  <c r="AQ50" i="6"/>
  <c r="AO50" i="6"/>
  <c r="AM50" i="6"/>
  <c r="AK50" i="6"/>
  <c r="AI50" i="6"/>
  <c r="AG50" i="6"/>
  <c r="AS49" i="6"/>
  <c r="AQ49" i="6"/>
  <c r="AO49" i="6"/>
  <c r="AM49" i="6"/>
  <c r="AK49" i="6"/>
  <c r="AI49" i="6"/>
  <c r="AG49" i="6"/>
  <c r="AS48" i="6"/>
  <c r="AQ48" i="6"/>
  <c r="AO48" i="6"/>
  <c r="AM48" i="6"/>
  <c r="AK48" i="6"/>
  <c r="AI48" i="6"/>
  <c r="AG48" i="6"/>
  <c r="AS47" i="6"/>
  <c r="AQ47" i="6"/>
  <c r="AO47" i="6"/>
  <c r="AL59" i="6"/>
  <c r="AJ59" i="6"/>
  <c r="AU59" i="6" s="1"/>
  <c r="AH59" i="6"/>
  <c r="AT58" i="6"/>
  <c r="AR58" i="6"/>
  <c r="AP58" i="6"/>
  <c r="AN58" i="6"/>
  <c r="AL58" i="6"/>
  <c r="AJ58" i="6"/>
  <c r="AH58" i="6"/>
  <c r="AU58" i="6" s="1"/>
  <c r="AT57" i="6"/>
  <c r="AR57" i="6"/>
  <c r="AP57" i="6"/>
  <c r="AN57" i="6"/>
  <c r="AL57" i="6"/>
  <c r="AJ57" i="6"/>
  <c r="AH57" i="6"/>
  <c r="AT56" i="6"/>
  <c r="AR56" i="6"/>
  <c r="AP56" i="6"/>
  <c r="AN56" i="6"/>
  <c r="AL56" i="6"/>
  <c r="AJ56" i="6"/>
  <c r="AH56" i="6"/>
  <c r="AT55" i="6"/>
  <c r="AR55" i="6"/>
  <c r="AP55" i="6"/>
  <c r="AN55" i="6"/>
  <c r="AL55" i="6"/>
  <c r="AJ55" i="6"/>
  <c r="AH55" i="6"/>
  <c r="AT54" i="6"/>
  <c r="AR54" i="6"/>
  <c r="AP54" i="6"/>
  <c r="AN54" i="6"/>
  <c r="AL54" i="6"/>
  <c r="AJ54" i="6"/>
  <c r="AH54" i="6"/>
  <c r="AT53" i="6"/>
  <c r="AR53" i="6"/>
  <c r="AP53" i="6"/>
  <c r="AN53" i="6"/>
  <c r="AL53" i="6"/>
  <c r="AJ53" i="6"/>
  <c r="AH53" i="6"/>
  <c r="AT52" i="6"/>
  <c r="AR52" i="6"/>
  <c r="AP52" i="6"/>
  <c r="AN52" i="6"/>
  <c r="AL52" i="6"/>
  <c r="AU52" i="6" s="1"/>
  <c r="AJ52" i="6"/>
  <c r="AH52" i="6"/>
  <c r="AT51" i="6"/>
  <c r="AR51" i="6"/>
  <c r="AP51" i="6"/>
  <c r="AN51" i="6"/>
  <c r="AL51" i="6"/>
  <c r="AJ51" i="6"/>
  <c r="AU51" i="6" s="1"/>
  <c r="AH51" i="6"/>
  <c r="AT50" i="6"/>
  <c r="AR50" i="6"/>
  <c r="AP50" i="6"/>
  <c r="AN50" i="6"/>
  <c r="AL50" i="6"/>
  <c r="AJ50" i="6"/>
  <c r="AH50" i="6"/>
  <c r="AU50" i="6" s="1"/>
  <c r="AT49" i="6"/>
  <c r="AR49" i="6"/>
  <c r="AP49" i="6"/>
  <c r="AN49" i="6"/>
  <c r="AL49" i="6"/>
  <c r="AJ49" i="6"/>
  <c r="AH49" i="6"/>
  <c r="AT48" i="6"/>
  <c r="AR48" i="6"/>
  <c r="AP48" i="6"/>
  <c r="AN48" i="6"/>
  <c r="AL48" i="6"/>
  <c r="AJ48" i="6"/>
  <c r="AH48" i="6"/>
  <c r="AT47" i="6"/>
  <c r="AR47" i="6"/>
  <c r="AP47" i="6"/>
  <c r="AN47" i="6"/>
  <c r="AL47" i="6"/>
  <c r="AJ47" i="6"/>
  <c r="AH47" i="6"/>
  <c r="AT46" i="6"/>
  <c r="AR46" i="6"/>
  <c r="AP46" i="6"/>
  <c r="AN46" i="6"/>
  <c r="AL46" i="6"/>
  <c r="AJ46" i="6"/>
  <c r="AH46" i="6"/>
  <c r="AT45" i="6"/>
  <c r="AR45" i="6"/>
  <c r="AP45" i="6"/>
  <c r="AN45" i="6"/>
  <c r="AL45" i="6"/>
  <c r="AJ45" i="6"/>
  <c r="AH45" i="6"/>
  <c r="AT44" i="6"/>
  <c r="AR44" i="6"/>
  <c r="AP44" i="6"/>
  <c r="AN44" i="6"/>
  <c r="AL44" i="6"/>
  <c r="AJ44" i="6"/>
  <c r="AH44" i="6"/>
  <c r="AT43" i="6"/>
  <c r="AR43" i="6"/>
  <c r="AP43" i="6"/>
  <c r="AN43" i="6"/>
  <c r="AL43" i="6"/>
  <c r="AJ43" i="6"/>
  <c r="AH43" i="6"/>
  <c r="AT42" i="6"/>
  <c r="AR42" i="6"/>
  <c r="AP42" i="6"/>
  <c r="AN42" i="6"/>
  <c r="AL42" i="6"/>
  <c r="AJ42" i="6"/>
  <c r="AH42" i="6"/>
  <c r="AT41" i="6"/>
  <c r="AR41" i="6"/>
  <c r="AP41" i="6"/>
  <c r="AN41" i="6"/>
  <c r="AL41" i="6"/>
  <c r="AJ41" i="6"/>
  <c r="AH41" i="6"/>
  <c r="AT40" i="6"/>
  <c r="AR40" i="6"/>
  <c r="AP40" i="6"/>
  <c r="AN40" i="6"/>
  <c r="AL40" i="6"/>
  <c r="AJ40" i="6"/>
  <c r="AH40" i="6"/>
  <c r="AT39" i="6"/>
  <c r="AR39" i="6"/>
  <c r="AP39" i="6"/>
  <c r="AN39" i="6"/>
  <c r="AL39" i="6"/>
  <c r="AJ39" i="6"/>
  <c r="AH39" i="6"/>
  <c r="AT38" i="6"/>
  <c r="AR38" i="6"/>
  <c r="AP38" i="6"/>
  <c r="AN38" i="6"/>
  <c r="AL38" i="6"/>
  <c r="AJ38" i="6"/>
  <c r="AH38" i="6"/>
  <c r="AT37" i="6"/>
  <c r="AR37" i="6"/>
  <c r="AP37" i="6"/>
  <c r="AN37" i="6"/>
  <c r="AL37" i="6"/>
  <c r="AJ37" i="6"/>
  <c r="AH37" i="6"/>
  <c r="AT36" i="6"/>
  <c r="AR36" i="6"/>
  <c r="AP36" i="6"/>
  <c r="AN36" i="6"/>
  <c r="AL36" i="6"/>
  <c r="AJ36" i="6"/>
  <c r="AH36" i="6"/>
  <c r="AM47" i="6"/>
  <c r="AK47" i="6"/>
  <c r="AI47" i="6"/>
  <c r="AG47" i="6"/>
  <c r="AS46" i="6"/>
  <c r="AQ46" i="6"/>
  <c r="AO46" i="6"/>
  <c r="AM46" i="6"/>
  <c r="AK46" i="6"/>
  <c r="AI46" i="6"/>
  <c r="AG46" i="6"/>
  <c r="AS45" i="6"/>
  <c r="AQ45" i="6"/>
  <c r="AO45" i="6"/>
  <c r="AM45" i="6"/>
  <c r="AK45" i="6"/>
  <c r="AI45" i="6"/>
  <c r="AG45" i="6"/>
  <c r="AS44" i="6"/>
  <c r="AQ44" i="6"/>
  <c r="AO44" i="6"/>
  <c r="AM44" i="6"/>
  <c r="AK44" i="6"/>
  <c r="AI44" i="6"/>
  <c r="AG44" i="6"/>
  <c r="AS43" i="6"/>
  <c r="AQ43" i="6"/>
  <c r="AO43" i="6"/>
  <c r="AM43" i="6"/>
  <c r="AK43" i="6"/>
  <c r="AI43" i="6"/>
  <c r="AG43" i="6"/>
  <c r="AS42" i="6"/>
  <c r="AQ42" i="6"/>
  <c r="AO42" i="6"/>
  <c r="AM42" i="6"/>
  <c r="AK42" i="6"/>
  <c r="AI42" i="6"/>
  <c r="AG42" i="6"/>
  <c r="AS41" i="6"/>
  <c r="AQ41" i="6"/>
  <c r="AO41" i="6"/>
  <c r="AM41" i="6"/>
  <c r="AK41" i="6"/>
  <c r="AI41" i="6"/>
  <c r="AG41" i="6"/>
  <c r="AU41" i="6" s="1"/>
  <c r="AS40" i="6"/>
  <c r="AQ40" i="6"/>
  <c r="AO40" i="6"/>
  <c r="AM40" i="6"/>
  <c r="AK40" i="6"/>
  <c r="AI40" i="6"/>
  <c r="AG40" i="6"/>
  <c r="AS39" i="6"/>
  <c r="AQ39" i="6"/>
  <c r="AO39" i="6"/>
  <c r="AM39" i="6"/>
  <c r="AK39" i="6"/>
  <c r="AI39" i="6"/>
  <c r="AG39" i="6"/>
  <c r="AS38" i="6"/>
  <c r="AQ38" i="6"/>
  <c r="AO38" i="6"/>
  <c r="AM38" i="6"/>
  <c r="AK38" i="6"/>
  <c r="AI38" i="6"/>
  <c r="AG38" i="6"/>
  <c r="AS37" i="6"/>
  <c r="AQ37" i="6"/>
  <c r="AO37" i="6"/>
  <c r="AM37" i="6"/>
  <c r="AK37" i="6"/>
  <c r="AI37" i="6"/>
  <c r="AG37" i="6"/>
  <c r="AU37" i="6" s="1"/>
  <c r="AS36" i="6"/>
  <c r="AQ36" i="6"/>
  <c r="AO36" i="6"/>
  <c r="AM36" i="6"/>
  <c r="AK36" i="6"/>
  <c r="AI36" i="6"/>
  <c r="AG36" i="6"/>
  <c r="AU35" i="6"/>
  <c r="AU122" i="6"/>
  <c r="AU117" i="6"/>
  <c r="AU113" i="6"/>
  <c r="AU109" i="6"/>
  <c r="AU105" i="6"/>
  <c r="AU101" i="6"/>
  <c r="AU97" i="6"/>
  <c r="AU93" i="6"/>
  <c r="AU89" i="6"/>
  <c r="AU85" i="6"/>
  <c r="AU81" i="6"/>
  <c r="AU77" i="6"/>
  <c r="AU73" i="6"/>
  <c r="AU69" i="6"/>
  <c r="AU65" i="6"/>
  <c r="AU61" i="6"/>
  <c r="AU57" i="6"/>
  <c r="AU53" i="6"/>
  <c r="AU49" i="6"/>
  <c r="AU45" i="6"/>
  <c r="E46" i="4"/>
  <c r="F46" i="4"/>
  <c r="F69" i="4" s="1"/>
  <c r="G46" i="4"/>
  <c r="G69" i="4" s="1"/>
  <c r="E47" i="4"/>
  <c r="E70" i="4" s="1"/>
  <c r="F47" i="4"/>
  <c r="F70" i="4" s="1"/>
  <c r="G47" i="4"/>
  <c r="G70" i="4" s="1"/>
  <c r="E48" i="4"/>
  <c r="E71" i="4" s="1"/>
  <c r="F48" i="4"/>
  <c r="F71" i="4" s="1"/>
  <c r="G48" i="4"/>
  <c r="G71" i="4" s="1"/>
  <c r="E49" i="4"/>
  <c r="E72" i="4" s="1"/>
  <c r="F49" i="4"/>
  <c r="F72" i="4" s="1"/>
  <c r="G49" i="4"/>
  <c r="G72" i="4" s="1"/>
  <c r="E50" i="4"/>
  <c r="E73" i="4" s="1"/>
  <c r="F50" i="4"/>
  <c r="F73" i="4" s="1"/>
  <c r="G50" i="4"/>
  <c r="G73" i="4" s="1"/>
  <c r="E51" i="4"/>
  <c r="E74" i="4" s="1"/>
  <c r="F51" i="4"/>
  <c r="F74" i="4" s="1"/>
  <c r="G51" i="4"/>
  <c r="G74" i="4" s="1"/>
  <c r="E52" i="4"/>
  <c r="E75" i="4" s="1"/>
  <c r="F52" i="4"/>
  <c r="F75" i="4" s="1"/>
  <c r="G52" i="4"/>
  <c r="G75" i="4" s="1"/>
  <c r="E53" i="4"/>
  <c r="E76" i="4" s="1"/>
  <c r="F53" i="4"/>
  <c r="F76" i="4" s="1"/>
  <c r="G53" i="4"/>
  <c r="G76" i="4" s="1"/>
  <c r="E54" i="4"/>
  <c r="E77" i="4" s="1"/>
  <c r="F54" i="4"/>
  <c r="F77" i="4" s="1"/>
  <c r="G54" i="4"/>
  <c r="G77" i="4" s="1"/>
  <c r="E55" i="4"/>
  <c r="E78" i="4" s="1"/>
  <c r="F55" i="4"/>
  <c r="F78" i="4" s="1"/>
  <c r="G55" i="4"/>
  <c r="G78" i="4" s="1"/>
  <c r="E56" i="4"/>
  <c r="E79" i="4" s="1"/>
  <c r="F56" i="4"/>
  <c r="F79" i="4" s="1"/>
  <c r="G56" i="4"/>
  <c r="G79" i="4" s="1"/>
  <c r="E57" i="4"/>
  <c r="E80" i="4" s="1"/>
  <c r="F57" i="4"/>
  <c r="F80" i="4" s="1"/>
  <c r="G57" i="4"/>
  <c r="G80" i="4" s="1"/>
  <c r="E58" i="4"/>
  <c r="F58" i="4"/>
  <c r="F81" i="4" s="1"/>
  <c r="G58" i="4"/>
  <c r="G81" i="4" s="1"/>
  <c r="G45" i="4"/>
  <c r="G68" i="4" s="1"/>
  <c r="F45" i="4"/>
  <c r="F68" i="4" s="1"/>
  <c r="E45" i="4"/>
  <c r="E68" i="4" s="1"/>
  <c r="J76" i="4"/>
  <c r="E81" i="4"/>
  <c r="D81" i="4"/>
  <c r="C81" i="4"/>
  <c r="J81" i="4" s="1"/>
  <c r="B81" i="4"/>
  <c r="D80" i="4"/>
  <c r="C80" i="4"/>
  <c r="J80" i="4" s="1"/>
  <c r="B80" i="4"/>
  <c r="D79" i="4"/>
  <c r="C79" i="4"/>
  <c r="J79" i="4" s="1"/>
  <c r="B79" i="4"/>
  <c r="D78" i="4"/>
  <c r="C78" i="4"/>
  <c r="J78" i="4" s="1"/>
  <c r="B78" i="4"/>
  <c r="D77" i="4"/>
  <c r="C77" i="4"/>
  <c r="J77" i="4" s="1"/>
  <c r="B77" i="4"/>
  <c r="D76" i="4"/>
  <c r="C76" i="4"/>
  <c r="B76" i="4"/>
  <c r="D75" i="4"/>
  <c r="C75" i="4"/>
  <c r="J75" i="4" s="1"/>
  <c r="B75" i="4"/>
  <c r="D74" i="4"/>
  <c r="C74" i="4"/>
  <c r="J74" i="4" s="1"/>
  <c r="B74" i="4"/>
  <c r="D73" i="4"/>
  <c r="C73" i="4"/>
  <c r="J73" i="4" s="1"/>
  <c r="B73" i="4"/>
  <c r="D72" i="4"/>
  <c r="C72" i="4"/>
  <c r="J72" i="4" s="1"/>
  <c r="B72" i="4"/>
  <c r="D71" i="4"/>
  <c r="C71" i="4"/>
  <c r="J71" i="4" s="1"/>
  <c r="B71" i="4"/>
  <c r="D70" i="4"/>
  <c r="C70" i="4"/>
  <c r="J70" i="4" s="1"/>
  <c r="B70" i="4"/>
  <c r="E69" i="4"/>
  <c r="D69" i="4"/>
  <c r="C69" i="4"/>
  <c r="J69" i="4" s="1"/>
  <c r="B69" i="4"/>
  <c r="D68" i="4"/>
  <c r="C68" i="4"/>
  <c r="J68" i="4" s="1"/>
  <c r="B68" i="4"/>
  <c r="I67" i="4"/>
  <c r="H67" i="4"/>
  <c r="G67" i="4"/>
  <c r="F67" i="4"/>
  <c r="E67" i="4"/>
  <c r="D67" i="4"/>
  <c r="C67" i="4"/>
  <c r="B67" i="4"/>
  <c r="AU38" i="6" l="1"/>
  <c r="AU39" i="6"/>
  <c r="AU40" i="6"/>
  <c r="AU46" i="6"/>
  <c r="AU47" i="6"/>
  <c r="AU48" i="6"/>
  <c r="AU54" i="6"/>
  <c r="AU55" i="6"/>
  <c r="AU56" i="6"/>
  <c r="AU60" i="6"/>
  <c r="AU62" i="6"/>
  <c r="AU67" i="6"/>
  <c r="AU68" i="6"/>
  <c r="AU70" i="6"/>
  <c r="AU75" i="6"/>
  <c r="AU76" i="6"/>
  <c r="AU78" i="6"/>
  <c r="AU83" i="6"/>
  <c r="AU91" i="6"/>
  <c r="AU99" i="6"/>
  <c r="AU107" i="6"/>
  <c r="AU84" i="6"/>
  <c r="AU86" i="6"/>
  <c r="AU92" i="6"/>
  <c r="AU94" i="6"/>
  <c r="AU100" i="6"/>
  <c r="AU102" i="6"/>
  <c r="AU110" i="6"/>
  <c r="AU111" i="6"/>
  <c r="AU112" i="6"/>
  <c r="AU118" i="6"/>
  <c r="AU119" i="6"/>
  <c r="AU125" i="6"/>
  <c r="AU36" i="6"/>
  <c r="AU42" i="6"/>
  <c r="AU43" i="6"/>
  <c r="AU44" i="6"/>
  <c r="AU63" i="6"/>
  <c r="AU64" i="6"/>
  <c r="AU66" i="6"/>
  <c r="AU71" i="6"/>
  <c r="AU72" i="6"/>
  <c r="AU74" i="6"/>
  <c r="AU79" i="6"/>
  <c r="AU80" i="6"/>
  <c r="AU82" i="6"/>
  <c r="AU88" i="6"/>
  <c r="AU90" i="6"/>
  <c r="AU96" i="6"/>
  <c r="AU98" i="6"/>
  <c r="AU104" i="6"/>
  <c r="AU106" i="6"/>
  <c r="AU108" i="6"/>
  <c r="AU114" i="6"/>
  <c r="AU115" i="6"/>
  <c r="AU116" i="6"/>
  <c r="AU121" i="6"/>
  <c r="AU123" i="6"/>
  <c r="AU124" i="6"/>
  <c r="M30" i="8"/>
  <c r="M35" i="8"/>
  <c r="M32" i="8"/>
  <c r="M29" i="8"/>
  <c r="M41" i="8" s="1"/>
  <c r="M33" i="8"/>
  <c r="AU120" i="6"/>
  <c r="H57" i="4"/>
  <c r="I57" i="4" s="1"/>
  <c r="H55" i="4"/>
  <c r="I55" i="4" s="1"/>
  <c r="H53" i="4"/>
  <c r="I53" i="4" s="1"/>
  <c r="H51" i="4"/>
  <c r="I51" i="4" s="1"/>
  <c r="H49" i="4"/>
  <c r="I49" i="4" s="1"/>
  <c r="I72" i="4" s="1"/>
  <c r="H47" i="4"/>
  <c r="I47" i="4" s="1"/>
  <c r="H58" i="4"/>
  <c r="I58" i="4" s="1"/>
  <c r="H56" i="4"/>
  <c r="I56" i="4" s="1"/>
  <c r="H54" i="4"/>
  <c r="I54" i="4" s="1"/>
  <c r="H52" i="4"/>
  <c r="I52" i="4" s="1"/>
  <c r="H50" i="4"/>
  <c r="I50" i="4" s="1"/>
  <c r="H48" i="4"/>
  <c r="I48" i="4" s="1"/>
  <c r="H46" i="4"/>
  <c r="I46" i="4" s="1"/>
  <c r="H45" i="4"/>
  <c r="C128" i="6" l="1"/>
  <c r="C129" i="6" s="1"/>
  <c r="H68" i="4"/>
  <c r="I45" i="4"/>
  <c r="I68" i="4" s="1"/>
  <c r="L68" i="4" s="1"/>
  <c r="I69" i="4"/>
  <c r="H69" i="4"/>
  <c r="I73" i="4"/>
  <c r="H73" i="4"/>
  <c r="I77" i="4"/>
  <c r="H77" i="4"/>
  <c r="I81" i="4"/>
  <c r="H81" i="4"/>
  <c r="H72" i="4"/>
  <c r="I76" i="4"/>
  <c r="H76" i="4"/>
  <c r="I80" i="4"/>
  <c r="H80" i="4"/>
  <c r="I71" i="4"/>
  <c r="H71" i="4"/>
  <c r="I75" i="4"/>
  <c r="H75" i="4"/>
  <c r="I79" i="4"/>
  <c r="H79" i="4"/>
  <c r="I70" i="4"/>
  <c r="H70" i="4"/>
  <c r="I74" i="4"/>
  <c r="H74" i="4"/>
  <c r="I78" i="4"/>
  <c r="H78" i="4"/>
  <c r="O50" i="4"/>
  <c r="K68" i="4" l="1"/>
  <c r="M68" i="4"/>
  <c r="K78" i="4"/>
  <c r="M78" i="4"/>
  <c r="L78" i="4"/>
  <c r="K74" i="4"/>
  <c r="M74" i="4"/>
  <c r="L74" i="4"/>
  <c r="K70" i="4"/>
  <c r="M70" i="4"/>
  <c r="L70" i="4"/>
  <c r="L79" i="4"/>
  <c r="K79" i="4"/>
  <c r="M79" i="4"/>
  <c r="L75" i="4"/>
  <c r="K75" i="4"/>
  <c r="M75" i="4"/>
  <c r="L71" i="4"/>
  <c r="K71" i="4"/>
  <c r="M71" i="4"/>
  <c r="K80" i="4"/>
  <c r="M80" i="4"/>
  <c r="L80" i="4"/>
  <c r="K76" i="4"/>
  <c r="M76" i="4"/>
  <c r="L76" i="4"/>
  <c r="K72" i="4"/>
  <c r="M72" i="4"/>
  <c r="L72" i="4"/>
  <c r="L81" i="4"/>
  <c r="K81" i="4"/>
  <c r="M81" i="4"/>
  <c r="L77" i="4"/>
  <c r="K77" i="4"/>
  <c r="M77" i="4"/>
  <c r="L73" i="4"/>
  <c r="K73" i="4"/>
  <c r="M73" i="4"/>
  <c r="L69" i="4"/>
  <c r="K69" i="4"/>
  <c r="M69" i="4"/>
</calcChain>
</file>

<file path=xl/sharedStrings.xml><?xml version="1.0" encoding="utf-8"?>
<sst xmlns="http://schemas.openxmlformats.org/spreadsheetml/2006/main" count="981" uniqueCount="840">
  <si>
    <t>x</t>
  </si>
  <si>
    <t>y</t>
  </si>
  <si>
    <t>cluster center 1</t>
  </si>
  <si>
    <t>cluster center 2</t>
  </si>
  <si>
    <t>cluster center 3</t>
  </si>
  <si>
    <t>min. Dist</t>
  </si>
  <si>
    <t>cluster 1</t>
  </si>
  <si>
    <t>cluster 2</t>
  </si>
  <si>
    <t>cluster 3</t>
  </si>
  <si>
    <t>Przykład</t>
  </si>
  <si>
    <t>Lp</t>
  </si>
  <si>
    <t>ROA</t>
  </si>
  <si>
    <t>1101506000</t>
  </si>
  <si>
    <t>Powiat łódzki wschodni *</t>
  </si>
  <si>
    <t>1101508000</t>
  </si>
  <si>
    <t>Powiat pabianicki</t>
  </si>
  <si>
    <t>1101520000</t>
  </si>
  <si>
    <t>Powiat zgierski</t>
  </si>
  <si>
    <t>1101521000</t>
  </si>
  <si>
    <t>Powiat brzeziński *</t>
  </si>
  <si>
    <t>1101661000</t>
  </si>
  <si>
    <t>Powiat m.Łódź</t>
  </si>
  <si>
    <t>1101701000</t>
  </si>
  <si>
    <t>Powiat bełchatowski</t>
  </si>
  <si>
    <t>1101707000</t>
  </si>
  <si>
    <t>Powiat opoczyński</t>
  </si>
  <si>
    <t>1101710000</t>
  </si>
  <si>
    <t>Powiat piotrkowski</t>
  </si>
  <si>
    <t>1101712000</t>
  </si>
  <si>
    <t>Powiat radomszczański</t>
  </si>
  <si>
    <t>1101716000</t>
  </si>
  <si>
    <t>Powiat tomaszowski</t>
  </si>
  <si>
    <t>1101762000</t>
  </si>
  <si>
    <t>Powiat m.Piotrków Trybunalski</t>
  </si>
  <si>
    <t>1101803000</t>
  </si>
  <si>
    <t>Powiat łaski</t>
  </si>
  <si>
    <t>1101809000</t>
  </si>
  <si>
    <t>Powiat pajęczański</t>
  </si>
  <si>
    <t>1101811000</t>
  </si>
  <si>
    <t>Powiat poddębicki</t>
  </si>
  <si>
    <t>1101814000</t>
  </si>
  <si>
    <t>Powiat sieradzki</t>
  </si>
  <si>
    <t>1101817000</t>
  </si>
  <si>
    <t>Powiat wieluński</t>
  </si>
  <si>
    <t>1101818000</t>
  </si>
  <si>
    <t>Powiat wieruszowski</t>
  </si>
  <si>
    <t>1101819000</t>
  </si>
  <si>
    <t>Powiat zduńskowolski</t>
  </si>
  <si>
    <t>1101902000</t>
  </si>
  <si>
    <t>Powiat kutnowski</t>
  </si>
  <si>
    <t>1101904000</t>
  </si>
  <si>
    <t>Powiat łęczycki</t>
  </si>
  <si>
    <t>1101905000</t>
  </si>
  <si>
    <t>Powiat łowicki</t>
  </si>
  <si>
    <t>1101913000</t>
  </si>
  <si>
    <t>Powiat rawski</t>
  </si>
  <si>
    <t>1101915000</t>
  </si>
  <si>
    <t>Powiat skierniewicki</t>
  </si>
  <si>
    <t>1101963000</t>
  </si>
  <si>
    <t>Powiat m.Skierniewice</t>
  </si>
  <si>
    <t>1142502000</t>
  </si>
  <si>
    <t>Powiat ciechanowski</t>
  </si>
  <si>
    <t>1142504000</t>
  </si>
  <si>
    <t>Powiat gostyniński</t>
  </si>
  <si>
    <t>1142513000</t>
  </si>
  <si>
    <t>Powiat mławski</t>
  </si>
  <si>
    <t>1142519000</t>
  </si>
  <si>
    <t>Powiat płocki</t>
  </si>
  <si>
    <t>1142520000</t>
  </si>
  <si>
    <t>Powiat płoński</t>
  </si>
  <si>
    <t>1142527000</t>
  </si>
  <si>
    <t>Powiat sierpecki</t>
  </si>
  <si>
    <t>1142537000</t>
  </si>
  <si>
    <t>Powiat żuromiński</t>
  </si>
  <si>
    <t>1142562000</t>
  </si>
  <si>
    <t>Powiat m.Płock</t>
  </si>
  <si>
    <t>1142610000</t>
  </si>
  <si>
    <t>Powiat łosicki</t>
  </si>
  <si>
    <t>1142611000</t>
  </si>
  <si>
    <t>Powiat makowski</t>
  </si>
  <si>
    <t>1142615000</t>
  </si>
  <si>
    <t>Powiat ostrołęcki</t>
  </si>
  <si>
    <t>1142616000</t>
  </si>
  <si>
    <t>Powiat ostrowski</t>
  </si>
  <si>
    <t>1142622000</t>
  </si>
  <si>
    <t>Powiat przasnyski</t>
  </si>
  <si>
    <t>1142624000</t>
  </si>
  <si>
    <t>Powiat pułtuski</t>
  </si>
  <si>
    <t>1142626000</t>
  </si>
  <si>
    <t>Powiat siedlecki</t>
  </si>
  <si>
    <t>1142629000</t>
  </si>
  <si>
    <t>Powiat sokołowski</t>
  </si>
  <si>
    <t>1142633000</t>
  </si>
  <si>
    <t>Powiat węgrowski</t>
  </si>
  <si>
    <t>1142635000</t>
  </si>
  <si>
    <t>Powiat wyszkowski</t>
  </si>
  <si>
    <t>1142661000</t>
  </si>
  <si>
    <t>Powiat m.Ostrołęka</t>
  </si>
  <si>
    <t>1142664000</t>
  </si>
  <si>
    <t>Powiat m.Siedlce</t>
  </si>
  <si>
    <t>1142701000</t>
  </si>
  <si>
    <t>Powiat białobrzeski</t>
  </si>
  <si>
    <t>1142707000</t>
  </si>
  <si>
    <t>Powiat kozienicki</t>
  </si>
  <si>
    <t>1142709000</t>
  </si>
  <si>
    <t>Powiat lipski</t>
  </si>
  <si>
    <t>1142723000</t>
  </si>
  <si>
    <t>Powiat przysuski</t>
  </si>
  <si>
    <t>1142725000</t>
  </si>
  <si>
    <t>Powiat radomski</t>
  </si>
  <si>
    <t>1142730000</t>
  </si>
  <si>
    <t>Powiat szydłowiecki</t>
  </si>
  <si>
    <t>1142736000</t>
  </si>
  <si>
    <t>Powiat zwoleński</t>
  </si>
  <si>
    <t>1142763000</t>
  </si>
  <si>
    <t>Powiat m.Radom</t>
  </si>
  <si>
    <t>1142865000</t>
  </si>
  <si>
    <t>Powiat m. st. Warszawa *</t>
  </si>
  <si>
    <t>1142903000</t>
  </si>
  <si>
    <t>Powiat garwoliński</t>
  </si>
  <si>
    <t>1142908000</t>
  </si>
  <si>
    <t>Powiat legionowski</t>
  </si>
  <si>
    <t>1142912000</t>
  </si>
  <si>
    <t>Powiat miński *</t>
  </si>
  <si>
    <t>1142914000</t>
  </si>
  <si>
    <t>Powiat nowodworski</t>
  </si>
  <si>
    <t>1142917000</t>
  </si>
  <si>
    <t>Powiat otwocki</t>
  </si>
  <si>
    <t>1142934000</t>
  </si>
  <si>
    <t>Powiat wołomiński</t>
  </si>
  <si>
    <t>1143005000</t>
  </si>
  <si>
    <t>Powiat grodziski</t>
  </si>
  <si>
    <t>1143006000</t>
  </si>
  <si>
    <t>Powiat grójecki *</t>
  </si>
  <si>
    <t>1143018000</t>
  </si>
  <si>
    <t>Powiat piaseczyński *</t>
  </si>
  <si>
    <t>1143021000</t>
  </si>
  <si>
    <t>Powiat pruszkowski</t>
  </si>
  <si>
    <t>1143028000</t>
  </si>
  <si>
    <t>Powiat sochaczewski</t>
  </si>
  <si>
    <t>1143032000</t>
  </si>
  <si>
    <t>Powiat warszawski zachodni</t>
  </si>
  <si>
    <t>1143038000</t>
  </si>
  <si>
    <t>Powiat żyrardowski</t>
  </si>
  <si>
    <t>2122001000</t>
  </si>
  <si>
    <t>Powiat bocheński</t>
  </si>
  <si>
    <t>2122006000</t>
  </si>
  <si>
    <t>Powiat krakowski</t>
  </si>
  <si>
    <t>2122008000</t>
  </si>
  <si>
    <t>Powiat miechowski</t>
  </si>
  <si>
    <t>2122009000</t>
  </si>
  <si>
    <t>Powiat myślenicki</t>
  </si>
  <si>
    <t>2122014000</t>
  </si>
  <si>
    <t>Powiat proszowicki</t>
  </si>
  <si>
    <t>2122019000</t>
  </si>
  <si>
    <t>Powiat wielicki</t>
  </si>
  <si>
    <t>2122161000</t>
  </si>
  <si>
    <t>Powiat m.Kraków</t>
  </si>
  <si>
    <t>2122205000</t>
  </si>
  <si>
    <t>Powiat gorlicki</t>
  </si>
  <si>
    <t>2122207000</t>
  </si>
  <si>
    <t>Powiat limanowski</t>
  </si>
  <si>
    <t>2122210000</t>
  </si>
  <si>
    <t>Powiat nowosądecki</t>
  </si>
  <si>
    <t>2122211000</t>
  </si>
  <si>
    <t>Powiat nowotarski</t>
  </si>
  <si>
    <t>2122217000</t>
  </si>
  <si>
    <t>Powiat tatrzański</t>
  </si>
  <si>
    <t>2122262000</t>
  </si>
  <si>
    <t>Powiat m.Nowy Sącz</t>
  </si>
  <si>
    <t>2122303000</t>
  </si>
  <si>
    <t>Powiat chrzanowski</t>
  </si>
  <si>
    <t>2122312000</t>
  </si>
  <si>
    <t>Powiat olkuski *</t>
  </si>
  <si>
    <t>2122313000</t>
  </si>
  <si>
    <t>Powiat oświęcimski</t>
  </si>
  <si>
    <t>2122315000</t>
  </si>
  <si>
    <t>Powiat suski</t>
  </si>
  <si>
    <t>2122318000</t>
  </si>
  <si>
    <t>Powiat wadowicki</t>
  </si>
  <si>
    <t>2122402000</t>
  </si>
  <si>
    <t>Powiat brzeski</t>
  </si>
  <si>
    <t>2122404000</t>
  </si>
  <si>
    <t>Powiat dąbrowski</t>
  </si>
  <si>
    <t>2122416000</t>
  </si>
  <si>
    <t>Powiat tarnowski *</t>
  </si>
  <si>
    <t>2122463000</t>
  </si>
  <si>
    <t>Powiat m.Tarnów</t>
  </si>
  <si>
    <t>2244402000</t>
  </si>
  <si>
    <t>Powiat bielski</t>
  </si>
  <si>
    <t>2244403000</t>
  </si>
  <si>
    <t>Powiat cieszyński</t>
  </si>
  <si>
    <t>2244417000</t>
  </si>
  <si>
    <t>Powiat żywiecki</t>
  </si>
  <si>
    <t>2244461000</t>
  </si>
  <si>
    <t>Powiat m.Bielsko-Biała</t>
  </si>
  <si>
    <t>2244507000</t>
  </si>
  <si>
    <t>Powiat lubliniecki</t>
  </si>
  <si>
    <t>2244513000</t>
  </si>
  <si>
    <t>Powiat tarnogórski</t>
  </si>
  <si>
    <t>2244562000</t>
  </si>
  <si>
    <t>Powiat m.Bytom</t>
  </si>
  <si>
    <t>2244571000</t>
  </si>
  <si>
    <t>Powiat m.Piekary Śląskie</t>
  </si>
  <si>
    <t>2244604000</t>
  </si>
  <si>
    <t>Powiat częstochowski</t>
  </si>
  <si>
    <t>2244606000</t>
  </si>
  <si>
    <t>Powiat kłobucki</t>
  </si>
  <si>
    <t>2244609000</t>
  </si>
  <si>
    <t>Powiat myszkowski</t>
  </si>
  <si>
    <t>2244664000</t>
  </si>
  <si>
    <t>Powiat m.Częstochowa</t>
  </si>
  <si>
    <t>2244705000</t>
  </si>
  <si>
    <t>Powiat gliwicki</t>
  </si>
  <si>
    <t>2244766000</t>
  </si>
  <si>
    <t>Powiat m.Gliwice</t>
  </si>
  <si>
    <t>2244778000</t>
  </si>
  <si>
    <t>Powiat m.Zabrze</t>
  </si>
  <si>
    <t>2244863000</t>
  </si>
  <si>
    <t>Powiat m.Chorzów</t>
  </si>
  <si>
    <t>2244869000</t>
  </si>
  <si>
    <t>Powiat m.Katowice</t>
  </si>
  <si>
    <t>2244870000</t>
  </si>
  <si>
    <t>Powiat m.Mysłowice</t>
  </si>
  <si>
    <t>2244872000</t>
  </si>
  <si>
    <t>Powiat m.Ruda Śląska</t>
  </si>
  <si>
    <t>2244874000</t>
  </si>
  <si>
    <t>Powiat m.Siemianowice Śląskie</t>
  </si>
  <si>
    <t>2244876000</t>
  </si>
  <si>
    <t>Powiat m.Świętochłowice</t>
  </si>
  <si>
    <t>2244911000</t>
  </si>
  <si>
    <t>Powiat raciborski</t>
  </si>
  <si>
    <t>2244912000</t>
  </si>
  <si>
    <t>Powiat rybnicki</t>
  </si>
  <si>
    <t>2244915000</t>
  </si>
  <si>
    <t>Powiat wodzisławski</t>
  </si>
  <si>
    <t>2244967000</t>
  </si>
  <si>
    <t>Powiat m.Jastrzębie-Zdrój</t>
  </si>
  <si>
    <t>2244973000</t>
  </si>
  <si>
    <t>Powiat m.Rybnik</t>
  </si>
  <si>
    <t>2244979000</t>
  </si>
  <si>
    <t>Powiat m.Żory</t>
  </si>
  <si>
    <t>2245001000</t>
  </si>
  <si>
    <t>Powiat będziński *</t>
  </si>
  <si>
    <t>2245016000</t>
  </si>
  <si>
    <t>Powiat zawierciański</t>
  </si>
  <si>
    <t>2245065000</t>
  </si>
  <si>
    <t>Powiat m.Dąbrowa Górnicza</t>
  </si>
  <si>
    <t>2245068000</t>
  </si>
  <si>
    <t>Powiat m.Jaworzno</t>
  </si>
  <si>
    <t>2245075000</t>
  </si>
  <si>
    <t>Powiat m.Sosnowiec</t>
  </si>
  <si>
    <t>2245108000</t>
  </si>
  <si>
    <t>Powiat mikołowski</t>
  </si>
  <si>
    <t>2245110000</t>
  </si>
  <si>
    <t>Powiat pszczyński</t>
  </si>
  <si>
    <t>2245114000</t>
  </si>
  <si>
    <t>Powiat bieruńsko-lędziński *</t>
  </si>
  <si>
    <t>2245177000</t>
  </si>
  <si>
    <t>Powiat m.Tychy</t>
  </si>
  <si>
    <t>3060901000</t>
  </si>
  <si>
    <t>Powiat bialski</t>
  </si>
  <si>
    <t>3060913000</t>
  </si>
  <si>
    <t>Powiat parczewski</t>
  </si>
  <si>
    <t>3060915000</t>
  </si>
  <si>
    <t>Powiat radzyński</t>
  </si>
  <si>
    <t>3060919000</t>
  </si>
  <si>
    <t>Powiat włodawski</t>
  </si>
  <si>
    <t>3060961000</t>
  </si>
  <si>
    <t>Powiat m.Biała Podlaska</t>
  </si>
  <si>
    <t>3061002000</t>
  </si>
  <si>
    <t>Powiat biłgorajski</t>
  </si>
  <si>
    <t>3061003000</t>
  </si>
  <si>
    <t>Powiat chełmski *</t>
  </si>
  <si>
    <t>3061004000</t>
  </si>
  <si>
    <t>Powiat hrubieszowski</t>
  </si>
  <si>
    <t>3061006000</t>
  </si>
  <si>
    <t>Powiat krasnostawski *</t>
  </si>
  <si>
    <t>3061018000</t>
  </si>
  <si>
    <t>3061020000</t>
  </si>
  <si>
    <t>Powiat zamojski</t>
  </si>
  <si>
    <t>3061062000</t>
  </si>
  <si>
    <t>Powiat m.Chełm</t>
  </si>
  <si>
    <t>3061064000</t>
  </si>
  <si>
    <t>Powiat m.Zamość</t>
  </si>
  <si>
    <t>3061108000</t>
  </si>
  <si>
    <t>Powiat lubartowski</t>
  </si>
  <si>
    <t>3061109000</t>
  </si>
  <si>
    <t>Powiat lubelski</t>
  </si>
  <si>
    <t>3061110000</t>
  </si>
  <si>
    <t>Powiat łęczyński</t>
  </si>
  <si>
    <t>3061117000</t>
  </si>
  <si>
    <t>Powiat świdnicki</t>
  </si>
  <si>
    <t>3061163000</t>
  </si>
  <si>
    <t>Powiat m.Lublin</t>
  </si>
  <si>
    <t>3061205000</t>
  </si>
  <si>
    <t>Powiat janowski</t>
  </si>
  <si>
    <t>3061207000</t>
  </si>
  <si>
    <t>Powiat kraśnicki</t>
  </si>
  <si>
    <t>3061211000</t>
  </si>
  <si>
    <t>Powiat łukowski</t>
  </si>
  <si>
    <t>3061212000</t>
  </si>
  <si>
    <t>Powiat opolski</t>
  </si>
  <si>
    <t>3061214000</t>
  </si>
  <si>
    <t>Powiat puławski</t>
  </si>
  <si>
    <t>3061216000</t>
  </si>
  <si>
    <t>Powiat rycki</t>
  </si>
  <si>
    <t>3183301000</t>
  </si>
  <si>
    <t>Powiat bieszczadzki *</t>
  </si>
  <si>
    <t>3183302000</t>
  </si>
  <si>
    <t>Powiat brzozowski</t>
  </si>
  <si>
    <t>3183305000</t>
  </si>
  <si>
    <t>Powiat jasielski *</t>
  </si>
  <si>
    <t>3183307000</t>
  </si>
  <si>
    <t>Powiat krośnieński</t>
  </si>
  <si>
    <t>3183317000</t>
  </si>
  <si>
    <t>Powiat sanocki</t>
  </si>
  <si>
    <t>3183321000</t>
  </si>
  <si>
    <t>Powiat leski *</t>
  </si>
  <si>
    <t>3183361000</t>
  </si>
  <si>
    <t>Powiat m.Krosno</t>
  </si>
  <si>
    <t>3183404000</t>
  </si>
  <si>
    <t>Powiat jarosławski</t>
  </si>
  <si>
    <t>3183409000</t>
  </si>
  <si>
    <t>Powiat lubaczowski</t>
  </si>
  <si>
    <t>3183413000</t>
  </si>
  <si>
    <t>Powiat przemyski</t>
  </si>
  <si>
    <t>3183414000</t>
  </si>
  <si>
    <t>Powiat przeworski</t>
  </si>
  <si>
    <t>3183462000</t>
  </si>
  <si>
    <t>Powiat m.Przemyśl</t>
  </si>
  <si>
    <t>3183506000</t>
  </si>
  <si>
    <t>Powiat kolbuszowski</t>
  </si>
  <si>
    <t>3183510000</t>
  </si>
  <si>
    <t>Powiat łańcucki</t>
  </si>
  <si>
    <t>3183515000</t>
  </si>
  <si>
    <t>Powiat ropczycko-sędziszowski</t>
  </si>
  <si>
    <t>3183516000</t>
  </si>
  <si>
    <t>Powiat rzeszowski</t>
  </si>
  <si>
    <t>3183519000</t>
  </si>
  <si>
    <t>Powiat strzyżowski</t>
  </si>
  <si>
    <t>3183563000</t>
  </si>
  <si>
    <t>Powiat m.Rzeszów</t>
  </si>
  <si>
    <t>3183603000</t>
  </si>
  <si>
    <t>Powiat dębicki</t>
  </si>
  <si>
    <t>3183608000</t>
  </si>
  <si>
    <t>Powiat leżajski</t>
  </si>
  <si>
    <t>3183611000</t>
  </si>
  <si>
    <t>Powiat mielecki</t>
  </si>
  <si>
    <t>3183612000</t>
  </si>
  <si>
    <t>Powiat niżański</t>
  </si>
  <si>
    <t>3183618000</t>
  </si>
  <si>
    <t>Powiat stalowowolski</t>
  </si>
  <si>
    <t>3183620000</t>
  </si>
  <si>
    <t>Powiat tarnobrzeski</t>
  </si>
  <si>
    <t>3183664000</t>
  </si>
  <si>
    <t>Powiat m.Tarnobrzeg</t>
  </si>
  <si>
    <t>3203702000</t>
  </si>
  <si>
    <t>Powiat białostocki</t>
  </si>
  <si>
    <t>3203711000</t>
  </si>
  <si>
    <t>Powiat sokólski</t>
  </si>
  <si>
    <t>3203761000</t>
  </si>
  <si>
    <t>Powiat m.Białystok</t>
  </si>
  <si>
    <t>3203803000</t>
  </si>
  <si>
    <t>3203805000</t>
  </si>
  <si>
    <t>Powiat hajnowski</t>
  </si>
  <si>
    <t>3203806000</t>
  </si>
  <si>
    <t>Powiat kolneński</t>
  </si>
  <si>
    <t>3203807000</t>
  </si>
  <si>
    <t>Powiat łomżyński</t>
  </si>
  <si>
    <t>3203810000</t>
  </si>
  <si>
    <t>Powiat siemiatycki</t>
  </si>
  <si>
    <t>3203813000</t>
  </si>
  <si>
    <t>Powiat wysokomazowiecki</t>
  </si>
  <si>
    <t>3203814000</t>
  </si>
  <si>
    <t>Powiat zambrowski</t>
  </si>
  <si>
    <t>3203862000</t>
  </si>
  <si>
    <t>Powiat m.Łomża</t>
  </si>
  <si>
    <t>3203901000</t>
  </si>
  <si>
    <t>Powiat augustowski</t>
  </si>
  <si>
    <t>3203904000</t>
  </si>
  <si>
    <t>Powiat grajewski</t>
  </si>
  <si>
    <t>3203908000</t>
  </si>
  <si>
    <t>Powiat moniecki</t>
  </si>
  <si>
    <t>3203909000</t>
  </si>
  <si>
    <t>Powiat sejneński</t>
  </si>
  <si>
    <t>3203912000</t>
  </si>
  <si>
    <t>Powiat suwalski</t>
  </si>
  <si>
    <t>3203963000</t>
  </si>
  <si>
    <t>Powiat m.Suwałki</t>
  </si>
  <si>
    <t>3265204000</t>
  </si>
  <si>
    <t>Powiat kielecki</t>
  </si>
  <si>
    <t>3265205000</t>
  </si>
  <si>
    <t>Powiat konecki</t>
  </si>
  <si>
    <t>3265207000</t>
  </si>
  <si>
    <t>Powiat ostrowiecki</t>
  </si>
  <si>
    <t>3265210000</t>
  </si>
  <si>
    <t>Powiat skarżyski</t>
  </si>
  <si>
    <t>3265211000</t>
  </si>
  <si>
    <t>Powiat starachowicki</t>
  </si>
  <si>
    <t>3265261000</t>
  </si>
  <si>
    <t>Powiat m.Kielce</t>
  </si>
  <si>
    <t>3265301000</t>
  </si>
  <si>
    <t>Powiat buski</t>
  </si>
  <si>
    <t>3265302000</t>
  </si>
  <si>
    <t>Powiat jędrzejowski</t>
  </si>
  <si>
    <t>3265303000</t>
  </si>
  <si>
    <t>Powiat kazimierski</t>
  </si>
  <si>
    <t>3265306000</t>
  </si>
  <si>
    <t>Powiat opatowski</t>
  </si>
  <si>
    <t>3265308000</t>
  </si>
  <si>
    <t>Powiat pińczowski</t>
  </si>
  <si>
    <t>3265309000</t>
  </si>
  <si>
    <t>Powiat sandomierski</t>
  </si>
  <si>
    <t>3265312000</t>
  </si>
  <si>
    <t>Powiat staszowski</t>
  </si>
  <si>
    <t>3265313000</t>
  </si>
  <si>
    <t>Powiat włoszczowski</t>
  </si>
  <si>
    <t>4081301000</t>
  </si>
  <si>
    <t>Powiat gorzowski</t>
  </si>
  <si>
    <t>4081303000</t>
  </si>
  <si>
    <t>Powiat międzyrzecki</t>
  </si>
  <si>
    <t>4081305000</t>
  </si>
  <si>
    <t>Powiat słubicki</t>
  </si>
  <si>
    <t>4081306000</t>
  </si>
  <si>
    <t>Powiat strzelecko-drezdenecki</t>
  </si>
  <si>
    <t>4081307000</t>
  </si>
  <si>
    <t>Powiat sulęciński</t>
  </si>
  <si>
    <t>4081361000</t>
  </si>
  <si>
    <t>Powiat m.Gorzów Wielkopolski</t>
  </si>
  <si>
    <t>4081402000</t>
  </si>
  <si>
    <t>4081404000</t>
  </si>
  <si>
    <t>Powiat nowosolski *</t>
  </si>
  <si>
    <t>4081408000</t>
  </si>
  <si>
    <t>Powiat świebodziński</t>
  </si>
  <si>
    <t>4081409000</t>
  </si>
  <si>
    <t>Powiat zielonogórski</t>
  </si>
  <si>
    <t>4081410000</t>
  </si>
  <si>
    <t>Powiat żagański</t>
  </si>
  <si>
    <t>4081411000</t>
  </si>
  <si>
    <t>Powiat żarski</t>
  </si>
  <si>
    <t>4081412000</t>
  </si>
  <si>
    <t>Powiat wschowski *</t>
  </si>
  <si>
    <t>4081462000</t>
  </si>
  <si>
    <t>Powiat m.Zielona Góra</t>
  </si>
  <si>
    <t>4305706000</t>
  </si>
  <si>
    <t>Powiat jarociński</t>
  </si>
  <si>
    <t>4305707000</t>
  </si>
  <si>
    <t>Powiat kaliski</t>
  </si>
  <si>
    <t>4305708000</t>
  </si>
  <si>
    <t>Powiat kępiński</t>
  </si>
  <si>
    <t>4305712000</t>
  </si>
  <si>
    <t>Powiat krotoszyński</t>
  </si>
  <si>
    <t>4305717000</t>
  </si>
  <si>
    <t>4305718000</t>
  </si>
  <si>
    <t>Powiat ostrzeszowski</t>
  </si>
  <si>
    <t>4305720000</t>
  </si>
  <si>
    <t>Powiat pleszewski</t>
  </si>
  <si>
    <t>4305761000</t>
  </si>
  <si>
    <t>Powiat m.Kalisz</t>
  </si>
  <si>
    <t>4305803000</t>
  </si>
  <si>
    <t>Powiat gnieźnieński</t>
  </si>
  <si>
    <t>4305809000</t>
  </si>
  <si>
    <t>Powiat kolski</t>
  </si>
  <si>
    <t>4305810000</t>
  </si>
  <si>
    <t>Powiat koniński</t>
  </si>
  <si>
    <t>4305823000</t>
  </si>
  <si>
    <t>Powiat słupecki</t>
  </si>
  <si>
    <t>4305827000</t>
  </si>
  <si>
    <t>Powiat turecki</t>
  </si>
  <si>
    <t>4305830000</t>
  </si>
  <si>
    <t>Powiat wrzesiński</t>
  </si>
  <si>
    <t>4305862000</t>
  </si>
  <si>
    <t>Powiat m.Konin</t>
  </si>
  <si>
    <t>4305904000</t>
  </si>
  <si>
    <t>Powiat gostyński</t>
  </si>
  <si>
    <t>4305905000</t>
  </si>
  <si>
    <t>4305911000</t>
  </si>
  <si>
    <t>Powiat kościański</t>
  </si>
  <si>
    <t>4305913000</t>
  </si>
  <si>
    <t>Powiat leszczyński</t>
  </si>
  <si>
    <t>4305914000</t>
  </si>
  <si>
    <t>Powiat międzychodzki</t>
  </si>
  <si>
    <t>4305915000</t>
  </si>
  <si>
    <t>Powiat nowotomyski</t>
  </si>
  <si>
    <t>4305922000</t>
  </si>
  <si>
    <t>Powiat rawicki</t>
  </si>
  <si>
    <t>4305929000</t>
  </si>
  <si>
    <t>Powiat wolsztyński</t>
  </si>
  <si>
    <t>4305963000</t>
  </si>
  <si>
    <t>Powiat m.Leszno</t>
  </si>
  <si>
    <t>4306001000</t>
  </si>
  <si>
    <t>Powiat chodzieski</t>
  </si>
  <si>
    <t>4306002000</t>
  </si>
  <si>
    <t>Powiat czarnkowsko-trzcianecki</t>
  </si>
  <si>
    <t>4306019000</t>
  </si>
  <si>
    <t>Powiat pilski</t>
  </si>
  <si>
    <t>4306028000</t>
  </si>
  <si>
    <t>Powiat wągrowiecki</t>
  </si>
  <si>
    <t>4306031000</t>
  </si>
  <si>
    <t>Powiat złotowski</t>
  </si>
  <si>
    <t>4306116000</t>
  </si>
  <si>
    <t>Powiat obornicki</t>
  </si>
  <si>
    <t>4306121000</t>
  </si>
  <si>
    <t>Powiat poznański</t>
  </si>
  <si>
    <t>4306124000</t>
  </si>
  <si>
    <t>Powiat szamotulski</t>
  </si>
  <si>
    <t>4306125000</t>
  </si>
  <si>
    <t>Powiat średzki</t>
  </si>
  <si>
    <t>4306126000</t>
  </si>
  <si>
    <t>Powiat śremski</t>
  </si>
  <si>
    <t>4306264000</t>
  </si>
  <si>
    <t>Powiat m.Poznań</t>
  </si>
  <si>
    <t>4326301000</t>
  </si>
  <si>
    <t>Powiat białogardzki</t>
  </si>
  <si>
    <t>4326303000</t>
  </si>
  <si>
    <t>Powiat drawski</t>
  </si>
  <si>
    <t>4326308000</t>
  </si>
  <si>
    <t>Powiat kołobrzeski</t>
  </si>
  <si>
    <t>4326309000</t>
  </si>
  <si>
    <t>Powiat koszaliński</t>
  </si>
  <si>
    <t>4326313000</t>
  </si>
  <si>
    <t>Powiat sławieński</t>
  </si>
  <si>
    <t>4326315000</t>
  </si>
  <si>
    <t>Powiat szczecinecki</t>
  </si>
  <si>
    <t>4326316000</t>
  </si>
  <si>
    <t>Powiat świdwiński</t>
  </si>
  <si>
    <t>4326317000</t>
  </si>
  <si>
    <t>Powiat wałecki</t>
  </si>
  <si>
    <t>4326361000</t>
  </si>
  <si>
    <t>Powiat m.Koszalin</t>
  </si>
  <si>
    <t>4326402000</t>
  </si>
  <si>
    <t>Powiat choszczeński</t>
  </si>
  <si>
    <t>4326405000</t>
  </si>
  <si>
    <t>Powiat gryficki *</t>
  </si>
  <si>
    <t>4326410000</t>
  </si>
  <si>
    <t>Powiat myśliborski</t>
  </si>
  <si>
    <t>4326412000</t>
  </si>
  <si>
    <t>Powiat pyrzycki</t>
  </si>
  <si>
    <t>4326414000</t>
  </si>
  <si>
    <t>Powiat stargardzki *</t>
  </si>
  <si>
    <t>4326418000</t>
  </si>
  <si>
    <t>Powiat łobeski *</t>
  </si>
  <si>
    <t>4326562000</t>
  </si>
  <si>
    <t>Powiat m.Szczecin</t>
  </si>
  <si>
    <t>4326604000</t>
  </si>
  <si>
    <t>Powiat goleniowski *</t>
  </si>
  <si>
    <t>4326606000</t>
  </si>
  <si>
    <t>Powiat gryfiński</t>
  </si>
  <si>
    <t>4326607000</t>
  </si>
  <si>
    <t>Powiat kamieński</t>
  </si>
  <si>
    <t>4326611000</t>
  </si>
  <si>
    <t>Powiat policki</t>
  </si>
  <si>
    <t>4326663000</t>
  </si>
  <si>
    <t>Powiat m.Świnoujście</t>
  </si>
  <si>
    <t>5020101000</t>
  </si>
  <si>
    <t>Powiat bolesławiecki</t>
  </si>
  <si>
    <t>5020105000</t>
  </si>
  <si>
    <t>Powiat jaworski</t>
  </si>
  <si>
    <t>5020106000</t>
  </si>
  <si>
    <t>Powiat jeleniogórski</t>
  </si>
  <si>
    <t>5020107000</t>
  </si>
  <si>
    <t>Powiat kamiennogórski</t>
  </si>
  <si>
    <t>5020110000</t>
  </si>
  <si>
    <t>Powiat lubański</t>
  </si>
  <si>
    <t>5020112000</t>
  </si>
  <si>
    <t>Powiat lwówecki</t>
  </si>
  <si>
    <t>5020125000</t>
  </si>
  <si>
    <t>Powiat zgorzelecki</t>
  </si>
  <si>
    <t>5020126000</t>
  </si>
  <si>
    <t>Powiat złotoryjski</t>
  </si>
  <si>
    <t>5020161000</t>
  </si>
  <si>
    <t>Powiat m.Jelenia Góra</t>
  </si>
  <si>
    <t>5020203000</t>
  </si>
  <si>
    <t>Powiat głogowski</t>
  </si>
  <si>
    <t>5020204000</t>
  </si>
  <si>
    <t>Powiat górowski</t>
  </si>
  <si>
    <t>5020209000</t>
  </si>
  <si>
    <t>Powiat legnicki</t>
  </si>
  <si>
    <t>5020211000</t>
  </si>
  <si>
    <t>Powiat lubiński</t>
  </si>
  <si>
    <t>5020216000</t>
  </si>
  <si>
    <t>Powiat polkowicki</t>
  </si>
  <si>
    <t>5020262000</t>
  </si>
  <si>
    <t>Powiat m.Legnica</t>
  </si>
  <si>
    <t>5020302000</t>
  </si>
  <si>
    <t>Powiat dzierżoniowski</t>
  </si>
  <si>
    <t>5020308000</t>
  </si>
  <si>
    <t>Powiat kłodzki</t>
  </si>
  <si>
    <t>5020319000</t>
  </si>
  <si>
    <t>5020321000</t>
  </si>
  <si>
    <t>Powiat wałbrzyski *</t>
  </si>
  <si>
    <t>5020324000</t>
  </si>
  <si>
    <t>Powiat ząbkowicki</t>
  </si>
  <si>
    <t>5020365000</t>
  </si>
  <si>
    <t>Powiat m.Wałbrzych *</t>
  </si>
  <si>
    <t>5020413000</t>
  </si>
  <si>
    <t>Powiat milicki</t>
  </si>
  <si>
    <t>5020414000</t>
  </si>
  <si>
    <t>Powiat oleśnicki</t>
  </si>
  <si>
    <t>5020415000</t>
  </si>
  <si>
    <t>Powiat oławski</t>
  </si>
  <si>
    <t>5020417000</t>
  </si>
  <si>
    <t>Powiat strzeliński</t>
  </si>
  <si>
    <t>5020418000</t>
  </si>
  <si>
    <t>5020420000</t>
  </si>
  <si>
    <t>Powiat trzebnicki</t>
  </si>
  <si>
    <t>5020422000</t>
  </si>
  <si>
    <t>Powiat wołowski</t>
  </si>
  <si>
    <t>5020423000</t>
  </si>
  <si>
    <t>Powiat wrocławski</t>
  </si>
  <si>
    <t>5020564000</t>
  </si>
  <si>
    <t>Powiat m.Wrocław</t>
  </si>
  <si>
    <t>5163101000</t>
  </si>
  <si>
    <t>5163104000</t>
  </si>
  <si>
    <t>Powiat kluczborski</t>
  </si>
  <si>
    <t>5163106000</t>
  </si>
  <si>
    <t>Powiat namysłowski</t>
  </si>
  <si>
    <t>5163107000</t>
  </si>
  <si>
    <t>Powiat nyski</t>
  </si>
  <si>
    <t>5163110000</t>
  </si>
  <si>
    <t>Powiat prudnicki</t>
  </si>
  <si>
    <t>5163202000</t>
  </si>
  <si>
    <t>Powiat głubczycki</t>
  </si>
  <si>
    <t>5163203000</t>
  </si>
  <si>
    <t>Powiat kędzierzyńsko-kozielski</t>
  </si>
  <si>
    <t>5163205000</t>
  </si>
  <si>
    <t>Powiat krapkowicki</t>
  </si>
  <si>
    <t>5163208000</t>
  </si>
  <si>
    <t>Powiat oleski</t>
  </si>
  <si>
    <t>5163209000</t>
  </si>
  <si>
    <t>5163211000</t>
  </si>
  <si>
    <t>Powiat strzelecki</t>
  </si>
  <si>
    <t>5163261000</t>
  </si>
  <si>
    <t>Powiat m.Opole</t>
  </si>
  <si>
    <t>6040603000</t>
  </si>
  <si>
    <t>Powiat bydgoski</t>
  </si>
  <si>
    <t>6040615000</t>
  </si>
  <si>
    <t>Powiat toruński</t>
  </si>
  <si>
    <t>6040661000</t>
  </si>
  <si>
    <t>Powiat m.Bydgoszcz</t>
  </si>
  <si>
    <t>6040663000</t>
  </si>
  <si>
    <t>Powiat m.Toruń</t>
  </si>
  <si>
    <t>6040702000</t>
  </si>
  <si>
    <t>Powiat brodnicki</t>
  </si>
  <si>
    <t>6040704000</t>
  </si>
  <si>
    <t>Powiat chełmiński</t>
  </si>
  <si>
    <t>6040705000</t>
  </si>
  <si>
    <t>Powiat golubsko-dobrzyński</t>
  </si>
  <si>
    <t>6040706000</t>
  </si>
  <si>
    <t>Powiat grudziądzki</t>
  </si>
  <si>
    <t>6040713000</t>
  </si>
  <si>
    <t>Powiat sępoleński</t>
  </si>
  <si>
    <t>6040714000</t>
  </si>
  <si>
    <t>Powiat świecki</t>
  </si>
  <si>
    <t>6040716000</t>
  </si>
  <si>
    <t>Powiat tucholski</t>
  </si>
  <si>
    <t>6040717000</t>
  </si>
  <si>
    <t>Powiat wąbrzeski</t>
  </si>
  <si>
    <t>6040762000</t>
  </si>
  <si>
    <t>Powiat m.Grudziądz</t>
  </si>
  <si>
    <t>6040801000</t>
  </si>
  <si>
    <t>Powiat aleksandrowski</t>
  </si>
  <si>
    <t>6040807000</t>
  </si>
  <si>
    <t>Powiat inowrocławski</t>
  </si>
  <si>
    <t>6040808000</t>
  </si>
  <si>
    <t>Powiat lipnowski</t>
  </si>
  <si>
    <t>6040809000</t>
  </si>
  <si>
    <t>Powiat mogileński</t>
  </si>
  <si>
    <t>6040810000</t>
  </si>
  <si>
    <t>Powiat nakielski</t>
  </si>
  <si>
    <t>6040811000</t>
  </si>
  <si>
    <t>Powiat radziejowski</t>
  </si>
  <si>
    <t>6040812000</t>
  </si>
  <si>
    <t>Powiat rypiński</t>
  </si>
  <si>
    <t>6040818000</t>
  </si>
  <si>
    <t>Powiat włocławski</t>
  </si>
  <si>
    <t>6040819000</t>
  </si>
  <si>
    <t>Powiat żniński</t>
  </si>
  <si>
    <t>6040864000</t>
  </si>
  <si>
    <t>Powiat m.Włocławek</t>
  </si>
  <si>
    <t>6224004000</t>
  </si>
  <si>
    <t>Powiat gdański</t>
  </si>
  <si>
    <t>6224005000</t>
  </si>
  <si>
    <t>Powiat kartuski</t>
  </si>
  <si>
    <t>6224010000</t>
  </si>
  <si>
    <t>6224011000</t>
  </si>
  <si>
    <t>Powiat pucki</t>
  </si>
  <si>
    <t>6224015000</t>
  </si>
  <si>
    <t>Powiat wejherowski</t>
  </si>
  <si>
    <t>6224101000</t>
  </si>
  <si>
    <t>Powiat bytowski</t>
  </si>
  <si>
    <t>6224102000</t>
  </si>
  <si>
    <t>Powiat chojnicki</t>
  </si>
  <si>
    <t>6224103000</t>
  </si>
  <si>
    <t>Powiat człuchowski</t>
  </si>
  <si>
    <t>6224108000</t>
  </si>
  <si>
    <t>Powiat lęborski</t>
  </si>
  <si>
    <t>6224112000</t>
  </si>
  <si>
    <t>Powiat słupski</t>
  </si>
  <si>
    <t>6224163000</t>
  </si>
  <si>
    <t>Powiat m.Słupsk</t>
  </si>
  <si>
    <t>6224206000</t>
  </si>
  <si>
    <t>Powiat kościerski</t>
  </si>
  <si>
    <t>6224207000</t>
  </si>
  <si>
    <t>Powiat kwidzyński</t>
  </si>
  <si>
    <t>6224209000</t>
  </si>
  <si>
    <t>Powiat malborski *</t>
  </si>
  <si>
    <t>6224213000</t>
  </si>
  <si>
    <t>Powiat starogardzki</t>
  </si>
  <si>
    <t>6224214000</t>
  </si>
  <si>
    <t>Powiat tczewski</t>
  </si>
  <si>
    <t>6224216000</t>
  </si>
  <si>
    <t>Powiat sztumski *</t>
  </si>
  <si>
    <t>6224361000</t>
  </si>
  <si>
    <t>Powiat m.Gdańsk</t>
  </si>
  <si>
    <t>6224362000</t>
  </si>
  <si>
    <t>Powiat m.Gdynia</t>
  </si>
  <si>
    <t>6224364000</t>
  </si>
  <si>
    <t>Powiat m.Sopot</t>
  </si>
  <si>
    <t>6285402000</t>
  </si>
  <si>
    <t>Powiat braniewski</t>
  </si>
  <si>
    <t>6285403000</t>
  </si>
  <si>
    <t>Powiat działdowski</t>
  </si>
  <si>
    <t>6285404000</t>
  </si>
  <si>
    <t>Powiat elbląski</t>
  </si>
  <si>
    <t>6285407000</t>
  </si>
  <si>
    <t>Powiat iławski</t>
  </si>
  <si>
    <t>6285412000</t>
  </si>
  <si>
    <t>Powiat nowomiejski</t>
  </si>
  <si>
    <t>6285415000</t>
  </si>
  <si>
    <t>Powiat ostródzki</t>
  </si>
  <si>
    <t>6285461000</t>
  </si>
  <si>
    <t>Powiat m.Elbląg</t>
  </si>
  <si>
    <t>6285505000</t>
  </si>
  <si>
    <t>Powiat ełcki</t>
  </si>
  <si>
    <t>6285506000</t>
  </si>
  <si>
    <t>Powiat giżycki *</t>
  </si>
  <si>
    <t>6285513000</t>
  </si>
  <si>
    <t>Powiat olecki *</t>
  </si>
  <si>
    <t>6285516000</t>
  </si>
  <si>
    <t>Powiat piski</t>
  </si>
  <si>
    <t>6285518000</t>
  </si>
  <si>
    <t>Powiat gołdapski *</t>
  </si>
  <si>
    <t>6285519000</t>
  </si>
  <si>
    <t>Powiat węgorzewski *</t>
  </si>
  <si>
    <t>6285601000</t>
  </si>
  <si>
    <t>Powiat bartoszycki</t>
  </si>
  <si>
    <t>6285608000</t>
  </si>
  <si>
    <t>Powiat kętrzyński</t>
  </si>
  <si>
    <t>6285609000</t>
  </si>
  <si>
    <t>Powiat lidzbarski</t>
  </si>
  <si>
    <t>6285610000</t>
  </si>
  <si>
    <t>Powiat mrągowski</t>
  </si>
  <si>
    <t>6285611000</t>
  </si>
  <si>
    <t>Powiat nidzicki</t>
  </si>
  <si>
    <t>6285614000</t>
  </si>
  <si>
    <t>Powiat olsztyński</t>
  </si>
  <si>
    <t>6285617000</t>
  </si>
  <si>
    <t>Powiat szczycieński</t>
  </si>
  <si>
    <t>6285662000</t>
  </si>
  <si>
    <t>Powiat m.Olsztyn</t>
  </si>
  <si>
    <t>M1</t>
  </si>
  <si>
    <t>M2</t>
  </si>
  <si>
    <t>cost</t>
  </si>
  <si>
    <t>min(cost)</t>
  </si>
  <si>
    <t>ID</t>
  </si>
  <si>
    <t>ID(min(cost))</t>
  </si>
  <si>
    <t>distM1</t>
  </si>
  <si>
    <t>distM2</t>
  </si>
  <si>
    <t>minDist</t>
  </si>
  <si>
    <t>y(clust1)</t>
  </si>
  <si>
    <t>y(clust2)</t>
  </si>
  <si>
    <t>min</t>
  </si>
  <si>
    <t>max</t>
  </si>
  <si>
    <t>mean</t>
  </si>
  <si>
    <t>sd</t>
  </si>
  <si>
    <t>freq</t>
  </si>
  <si>
    <t>Euclidean distance</t>
  </si>
  <si>
    <t>Manhattan distance</t>
  </si>
  <si>
    <t>Minkowski distance</t>
  </si>
  <si>
    <t>p=</t>
  </si>
  <si>
    <t>p=1</t>
  </si>
  <si>
    <t>p=2</t>
  </si>
  <si>
    <t xml:space="preserve">distance between two points: </t>
  </si>
  <si>
    <t xml:space="preserve"> </t>
  </si>
  <si>
    <t>Canberra distance</t>
  </si>
  <si>
    <t>cluster</t>
  </si>
  <si>
    <t>id</t>
  </si>
  <si>
    <t>xi</t>
  </si>
  <si>
    <t>yi</t>
  </si>
  <si>
    <t>distance to cluster 1</t>
  </si>
  <si>
    <t>distance to cluster 2</t>
  </si>
  <si>
    <t>distance to cluster 3</t>
  </si>
  <si>
    <t>distance to my cluster (ai)</t>
  </si>
  <si>
    <t>distance to next closest cluster (bi)</t>
  </si>
  <si>
    <t>shilhouette</t>
  </si>
  <si>
    <t>About a method: A commonly used method of grouping objects to isolate groups of similar entities</t>
  </si>
  <si>
    <t>Advantages: simple grouping method</t>
  </si>
  <si>
    <t>Disadvantages: Excel works best in two-dimensional (x, y) layout (two comparative criteria).</t>
  </si>
  <si>
    <t>Philosophy: A priori number of clusters is assumed. We are looking for such coordinates of these clusters so that the distance of individual units from these points is as small as possible. By minimizing the distance of the units from the cluster points one can determine the membership of the cluster.</t>
  </si>
  <si>
    <t>K-means clustering and Partitioning Around Medoids</t>
  </si>
  <si>
    <t>Example</t>
  </si>
  <si>
    <t>Let's assume we want to cluster the data as below</t>
  </si>
  <si>
    <t xml:space="preserve">Stage 1 </t>
  </si>
  <si>
    <t>We plot a scatterplot to "optically" assess the clusters.</t>
  </si>
  <si>
    <t>Stage 2</t>
  </si>
  <si>
    <t>We assume number of clusters and initial coordinates of clusters</t>
  </si>
  <si>
    <t xml:space="preserve">We add assumed clusters to the scatterpolot. </t>
  </si>
  <si>
    <t>Stage 3</t>
  </si>
  <si>
    <t xml:space="preserve">We calculate Euclidean distance from each point to each cluster point. </t>
  </si>
  <si>
    <t xml:space="preserve">We find a cluster, to which the distance from the point is the smallest. </t>
  </si>
  <si>
    <t>Id</t>
  </si>
  <si>
    <t>which cluster</t>
  </si>
  <si>
    <t>Stage 4</t>
  </si>
  <si>
    <t>We want to minimize the total distance by optimizing the location of the focus points. We use Solver for optimization.</t>
  </si>
  <si>
    <t>Total distance</t>
  </si>
  <si>
    <t xml:space="preserve">this is a goal </t>
  </si>
  <si>
    <t>The cells changed are the coordinates of the focus points</t>
  </si>
  <si>
    <t xml:space="preserve">There are no conditions. </t>
  </si>
  <si>
    <t>Stage 5</t>
  </si>
  <si>
    <t>To draw multicolored dots, use the trick: keep x as it is and set three (because of three clusters) columns y - for each cluser separately.</t>
  </si>
  <si>
    <t>x for plotting</t>
  </si>
  <si>
    <t>We print all combinations of pairs of medoids and we count the cost function.</t>
  </si>
  <si>
    <t xml:space="preserve">Cost function is the total (or average) of Manhattan distance from points to medoids. </t>
  </si>
  <si>
    <t>Manhattan distance is calculated as |x1-x2|+|y1-y2| for points (x1, y1) i (x2, y2)</t>
  </si>
  <si>
    <t>numer of combinations</t>
  </si>
  <si>
    <t>distance between M1 and Observation</t>
  </si>
  <si>
    <t>distance between M2 and Observation</t>
  </si>
  <si>
    <t>minumum distance</t>
  </si>
  <si>
    <t xml:space="preserve">For simplification let's assume two clusters. </t>
  </si>
  <si>
    <t xml:space="preserve">Run k-means analysis for data below. Assume 4 clusters. </t>
  </si>
  <si>
    <t xml:space="preserve">Describe the "typical" parameters of firms in those groups. </t>
  </si>
  <si>
    <t>numer of workers</t>
  </si>
  <si>
    <t>Firm ID</t>
  </si>
  <si>
    <t>task</t>
  </si>
  <si>
    <t>TERYT ID</t>
  </si>
  <si>
    <t>Subregion name</t>
  </si>
  <si>
    <t>unemployment rate</t>
  </si>
  <si>
    <t>average salary (indexed to average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</si>
</sst>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charset val="238"/>
      <scheme val="minor"/>
    </font>
    <font>
      <b/>
      <sz val="11"/>
      <color theme="1"/>
      <name val="Calibri"/>
      <family val="2"/>
      <charset val="238"/>
      <scheme val="minor"/>
    </font>
    <font>
      <i/>
      <sz val="11"/>
      <color theme="1"/>
      <name val="Calibri"/>
      <family val="2"/>
      <charset val="238"/>
      <scheme val="minor"/>
    </font>
    <font>
      <b/>
      <sz val="11"/>
      <name val="Calibri"/>
      <family val="2"/>
      <charset val="238"/>
      <scheme val="minor"/>
    </font>
    <font>
      <sz val="11"/>
      <color theme="1"/>
      <name val="Calibri"/>
      <family val="2"/>
      <charset val="238"/>
      <scheme val="minor"/>
    </font>
    <font>
      <b/>
      <sz val="18"/>
      <color theme="3"/>
      <name val="Cambria"/>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sz val="11"/>
      <color theme="0"/>
      <name val="Calibri"/>
      <family val="2"/>
      <charset val="238"/>
      <scheme val="minor"/>
    </font>
    <font>
      <sz val="10"/>
      <name val="Arial"/>
      <family val="2"/>
      <charset val="238"/>
    </font>
    <font>
      <b/>
      <u/>
      <sz val="11"/>
      <color theme="1"/>
      <name val="Calibri"/>
      <family val="2"/>
      <charset val="238"/>
      <scheme val="minor"/>
    </font>
  </fonts>
  <fills count="46">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5" fillId="0" borderId="0" applyNumberFormat="0" applyFill="0" applyBorder="0" applyAlignment="0" applyProtection="0"/>
    <xf numFmtId="0" fontId="6" fillId="0" borderId="4" applyNumberFormat="0" applyFill="0" applyAlignment="0" applyProtection="0"/>
    <xf numFmtId="0" fontId="7" fillId="0" borderId="5" applyNumberFormat="0" applyFill="0" applyAlignment="0" applyProtection="0"/>
    <xf numFmtId="0" fontId="8" fillId="0" borderId="6" applyNumberFormat="0" applyFill="0" applyAlignment="0" applyProtection="0"/>
    <xf numFmtId="0" fontId="8" fillId="0" borderId="0" applyNumberFormat="0" applyFill="0" applyBorder="0" applyAlignment="0" applyProtection="0"/>
    <xf numFmtId="0" fontId="9" fillId="11" borderId="0" applyNumberFormat="0" applyBorder="0" applyAlignment="0" applyProtection="0"/>
    <xf numFmtId="0" fontId="10" fillId="12" borderId="0" applyNumberFormat="0" applyBorder="0" applyAlignment="0" applyProtection="0"/>
    <xf numFmtId="0" fontId="11" fillId="13" borderId="0" applyNumberFormat="0" applyBorder="0" applyAlignment="0" applyProtection="0"/>
    <xf numFmtId="0" fontId="12" fillId="14" borderId="7" applyNumberFormat="0" applyAlignment="0" applyProtection="0"/>
    <xf numFmtId="0" fontId="13" fillId="15" borderId="8" applyNumberFormat="0" applyAlignment="0" applyProtection="0"/>
    <xf numFmtId="0" fontId="14" fillId="15" borderId="7" applyNumberFormat="0" applyAlignment="0" applyProtection="0"/>
    <xf numFmtId="0" fontId="15" fillId="0" borderId="9" applyNumberFormat="0" applyFill="0" applyAlignment="0" applyProtection="0"/>
    <xf numFmtId="0" fontId="16" fillId="16" borderId="10" applyNumberFormat="0" applyAlignment="0" applyProtection="0"/>
    <xf numFmtId="0" fontId="17" fillId="0" borderId="0" applyNumberFormat="0" applyFill="0" applyBorder="0" applyAlignment="0" applyProtection="0"/>
    <xf numFmtId="0" fontId="4" fillId="17" borderId="11" applyNumberFormat="0" applyFont="0" applyAlignment="0" applyProtection="0"/>
    <xf numFmtId="0" fontId="18" fillId="0" borderId="0" applyNumberFormat="0" applyFill="0" applyBorder="0" applyAlignment="0" applyProtection="0"/>
    <xf numFmtId="0" fontId="1" fillId="0" borderId="12" applyNumberFormat="0" applyFill="0" applyAlignment="0" applyProtection="0"/>
    <xf numFmtId="0" fontId="19"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9" fillId="33" borderId="0" applyNumberFormat="0" applyBorder="0" applyAlignment="0" applyProtection="0"/>
    <xf numFmtId="0" fontId="19"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9" fillId="37" borderId="0" applyNumberFormat="0" applyBorder="0" applyAlignment="0" applyProtection="0"/>
    <xf numFmtId="0" fontId="19"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9" fillId="41" borderId="0" applyNumberFormat="0" applyBorder="0" applyAlignment="0" applyProtection="0"/>
    <xf numFmtId="0" fontId="20" fillId="0" borderId="0"/>
  </cellStyleXfs>
  <cellXfs count="64">
    <xf numFmtId="0" fontId="0" fillId="0" borderId="0" xfId="0"/>
    <xf numFmtId="0" fontId="0" fillId="0" borderId="1" xfId="0" applyBorder="1" applyAlignment="1">
      <alignment horizontal="center"/>
    </xf>
    <xf numFmtId="0" fontId="0" fillId="2" borderId="1" xfId="0" applyFill="1" applyBorder="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1" fillId="6" borderId="0" xfId="0" applyFont="1" applyFill="1"/>
    <xf numFmtId="0" fontId="0" fillId="6" borderId="0" xfId="0" applyFill="1" applyAlignment="1">
      <alignment wrapText="1"/>
    </xf>
    <xf numFmtId="0" fontId="3" fillId="9" borderId="1" xfId="0" applyFont="1" applyFill="1" applyBorder="1" applyAlignment="1">
      <alignment horizontal="center"/>
    </xf>
    <xf numFmtId="0" fontId="1" fillId="10" borderId="1" xfId="0" applyFont="1" applyFill="1" applyBorder="1" applyAlignment="1">
      <alignment horizontal="center"/>
    </xf>
    <xf numFmtId="0" fontId="1" fillId="9" borderId="1" xfId="0" applyFont="1" applyFill="1" applyBorder="1" applyAlignment="1">
      <alignment horizontal="center" wrapText="1"/>
    </xf>
    <xf numFmtId="0" fontId="0" fillId="7" borderId="1" xfId="0" applyFill="1" applyBorder="1" applyAlignment="1">
      <alignment horizontal="center"/>
    </xf>
    <xf numFmtId="0" fontId="0" fillId="10" borderId="1" xfId="0" applyFill="1" applyBorder="1" applyAlignment="1">
      <alignment horizontal="center"/>
    </xf>
    <xf numFmtId="0" fontId="0" fillId="8" borderId="1" xfId="0" applyFill="1" applyBorder="1" applyAlignment="1">
      <alignment horizontal="center"/>
    </xf>
    <xf numFmtId="0" fontId="2" fillId="6" borderId="0" xfId="0" applyFont="1" applyFill="1"/>
    <xf numFmtId="0" fontId="0" fillId="6" borderId="1" xfId="0" applyFill="1" applyBorder="1" applyAlignment="1">
      <alignment wrapText="1"/>
    </xf>
    <xf numFmtId="0" fontId="0" fillId="6" borderId="1" xfId="0" applyFill="1" applyBorder="1"/>
    <xf numFmtId="0" fontId="0" fillId="6" borderId="1" xfId="0" applyFill="1" applyBorder="1" applyAlignment="1">
      <alignment horizontal="center" wrapText="1"/>
    </xf>
    <xf numFmtId="0" fontId="1" fillId="6" borderId="13" xfId="0" applyFont="1" applyFill="1" applyBorder="1"/>
    <xf numFmtId="0" fontId="0" fillId="6" borderId="13" xfId="0" applyFill="1" applyBorder="1"/>
    <xf numFmtId="0" fontId="1" fillId="6" borderId="13" xfId="0" applyFont="1" applyFill="1" applyBorder="1" applyAlignment="1">
      <alignment horizontal="center"/>
    </xf>
    <xf numFmtId="0" fontId="0" fillId="6" borderId="13" xfId="0" applyFill="1" applyBorder="1" applyAlignment="1">
      <alignment horizontal="center"/>
    </xf>
    <xf numFmtId="0" fontId="0" fillId="6" borderId="13" xfId="0" applyFont="1" applyFill="1" applyBorder="1" applyAlignment="1">
      <alignment horizontal="center"/>
    </xf>
    <xf numFmtId="0" fontId="0" fillId="42" borderId="13" xfId="0" applyFill="1" applyBorder="1"/>
    <xf numFmtId="0" fontId="0" fillId="43" borderId="13" xfId="0" applyFill="1" applyBorder="1"/>
    <xf numFmtId="0" fontId="1" fillId="42" borderId="13" xfId="0" applyFont="1" applyFill="1" applyBorder="1"/>
    <xf numFmtId="0" fontId="1" fillId="43" borderId="13" xfId="0" applyFont="1" applyFill="1" applyBorder="1"/>
    <xf numFmtId="0" fontId="1" fillId="44" borderId="13" xfId="0" applyFont="1" applyFill="1" applyBorder="1"/>
    <xf numFmtId="0" fontId="0" fillId="44" borderId="13" xfId="0" applyFill="1" applyBorder="1"/>
    <xf numFmtId="0" fontId="0" fillId="6" borderId="0" xfId="0" applyFill="1" applyBorder="1"/>
    <xf numFmtId="0" fontId="3" fillId="6" borderId="0" xfId="0" applyFont="1" applyFill="1" applyBorder="1" applyAlignment="1">
      <alignment horizontal="center"/>
    </xf>
    <xf numFmtId="0" fontId="1" fillId="6" borderId="0" xfId="0" applyFont="1" applyFill="1" applyBorder="1" applyAlignment="1">
      <alignment horizontal="center"/>
    </xf>
    <xf numFmtId="0" fontId="0" fillId="6" borderId="0" xfId="0" applyFill="1" applyBorder="1" applyAlignment="1">
      <alignment horizontal="center"/>
    </xf>
    <xf numFmtId="0" fontId="1" fillId="45" borderId="13" xfId="0" applyFont="1" applyFill="1" applyBorder="1"/>
    <xf numFmtId="0" fontId="1" fillId="42" borderId="13" xfId="0" applyFont="1" applyFill="1" applyBorder="1" applyAlignment="1">
      <alignment horizontal="center"/>
    </xf>
    <xf numFmtId="0" fontId="1" fillId="43" borderId="13" xfId="0" applyFont="1" applyFill="1" applyBorder="1" applyAlignment="1">
      <alignment horizontal="center"/>
    </xf>
    <xf numFmtId="0" fontId="1" fillId="44" borderId="13" xfId="0" applyFont="1" applyFill="1" applyBorder="1" applyAlignment="1">
      <alignment horizontal="center"/>
    </xf>
    <xf numFmtId="0" fontId="1" fillId="45" borderId="13" xfId="0" applyFont="1" applyFill="1" applyBorder="1" applyAlignment="1">
      <alignment horizontal="center"/>
    </xf>
    <xf numFmtId="0" fontId="0" fillId="45" borderId="1" xfId="0" applyFill="1" applyBorder="1" applyAlignment="1">
      <alignment horizontal="center"/>
    </xf>
    <xf numFmtId="0" fontId="0" fillId="6" borderId="1" xfId="0" applyFill="1" applyBorder="1" applyAlignment="1">
      <alignment horizontal="center"/>
    </xf>
    <xf numFmtId="0" fontId="0" fillId="45" borderId="0" xfId="0" applyFill="1"/>
    <xf numFmtId="0" fontId="3" fillId="8" borderId="1" xfId="0" applyFont="1" applyFill="1" applyBorder="1" applyAlignment="1">
      <alignment horizontal="center"/>
    </xf>
    <xf numFmtId="0" fontId="1" fillId="8" borderId="1" xfId="0" applyFont="1" applyFill="1" applyBorder="1" applyAlignment="1">
      <alignment horizontal="center"/>
    </xf>
    <xf numFmtId="0" fontId="0" fillId="6" borderId="14" xfId="0" quotePrefix="1" applyFill="1" applyBorder="1"/>
    <xf numFmtId="0" fontId="0" fillId="10" borderId="15" xfId="0" applyFill="1" applyBorder="1"/>
    <xf numFmtId="0" fontId="0" fillId="6" borderId="0" xfId="0" quotePrefix="1" applyFill="1" applyBorder="1"/>
    <xf numFmtId="0" fontId="0" fillId="3" borderId="1" xfId="0" applyFill="1" applyBorder="1" applyAlignment="1">
      <alignment horizontal="center"/>
    </xf>
    <xf numFmtId="0" fontId="0" fillId="3" borderId="1" xfId="0" applyFill="1" applyBorder="1" applyAlignment="1">
      <alignment horizontal="center" wrapText="1"/>
    </xf>
    <xf numFmtId="0" fontId="1" fillId="8" borderId="1" xfId="0" applyFont="1" applyFill="1" applyBorder="1" applyAlignment="1">
      <alignment horizontal="center" wrapText="1"/>
    </xf>
    <xf numFmtId="0" fontId="0" fillId="10" borderId="1" xfId="0" applyFill="1" applyBorder="1" applyAlignment="1">
      <alignment horizontal="center" wrapText="1"/>
    </xf>
    <xf numFmtId="0" fontId="1" fillId="6" borderId="0" xfId="0" applyFont="1" applyFill="1" applyAlignment="1">
      <alignment wrapText="1"/>
    </xf>
    <xf numFmtId="0" fontId="21" fillId="6" borderId="0" xfId="0" applyFont="1" applyFill="1" applyAlignment="1">
      <alignment wrapText="1"/>
    </xf>
    <xf numFmtId="0" fontId="0" fillId="0" borderId="1" xfId="0" applyFill="1" applyBorder="1" applyAlignment="1">
      <alignment horizontal="center"/>
    </xf>
    <xf numFmtId="0" fontId="20" fillId="6" borderId="13" xfId="42" applyFill="1" applyBorder="1" applyAlignment="1">
      <alignment horizontal="left" vertical="center"/>
    </xf>
    <xf numFmtId="0" fontId="20" fillId="6" borderId="13" xfId="42" applyFill="1" applyBorder="1" applyAlignment="1">
      <alignment horizontal="left" vertical="center" wrapText="1"/>
    </xf>
    <xf numFmtId="164" fontId="20" fillId="6" borderId="13" xfId="42" applyNumberFormat="1" applyFill="1" applyBorder="1"/>
    <xf numFmtId="0" fontId="1" fillId="6" borderId="13" xfId="0" applyFont="1" applyFill="1" applyBorder="1" applyAlignment="1">
      <alignment wrapText="1"/>
    </xf>
    <xf numFmtId="0" fontId="0" fillId="6" borderId="0" xfId="0" applyFill="1" applyAlignment="1">
      <alignment horizontal="left" wrapText="1"/>
    </xf>
    <xf numFmtId="0" fontId="0" fillId="0" borderId="2" xfId="0" applyBorder="1" applyAlignment="1">
      <alignment horizontal="center"/>
    </xf>
    <xf numFmtId="0" fontId="0" fillId="0" borderId="3" xfId="0" applyBorder="1" applyAlignment="1">
      <alignment horizontal="center"/>
    </xf>
    <xf numFmtId="0" fontId="0" fillId="44" borderId="13" xfId="0" applyFill="1" applyBorder="1" applyAlignment="1">
      <alignment horizontal="center"/>
    </xf>
    <xf numFmtId="0" fontId="0" fillId="42" borderId="13" xfId="0" applyFill="1" applyBorder="1" applyAlignment="1">
      <alignment horizontal="center"/>
    </xf>
    <xf numFmtId="0" fontId="0" fillId="43" borderId="13" xfId="0" applyFill="1" applyBorder="1" applyAlignment="1">
      <alignment horizontal="center"/>
    </xf>
  </cellXfs>
  <cellStyles count="43">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Normalny 2" xfId="42" xr:uid="{00000000-0005-0000-0000-00002300000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24">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
      <font>
        <color rgb="FF006100"/>
      </font>
      <fill>
        <patternFill>
          <bgColor rgb="FFC6EFCE"/>
        </patternFill>
      </fill>
    </dxf>
    <dxf>
      <fill>
        <patternFill>
          <bgColor theme="4"/>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'K-means'!$C$8:$C$21</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'K-means'!$D$8:$D$21</c:f>
              <c:numCache>
                <c:formatCode>General</c:formatCode>
                <c:ptCount val="14"/>
                <c:pt idx="0">
                  <c:v>12</c:v>
                </c:pt>
                <c:pt idx="1">
                  <c:v>10</c:v>
                </c:pt>
                <c:pt idx="2">
                  <c:v>7</c:v>
                </c:pt>
                <c:pt idx="3">
                  <c:v>3</c:v>
                </c:pt>
                <c:pt idx="4">
                  <c:v>4</c:v>
                </c:pt>
                <c:pt idx="5">
                  <c:v>11</c:v>
                </c:pt>
                <c:pt idx="6">
                  <c:v>4</c:v>
                </c:pt>
                <c:pt idx="7">
                  <c:v>8</c:v>
                </c:pt>
                <c:pt idx="8">
                  <c:v>2</c:v>
                </c:pt>
                <c:pt idx="9">
                  <c:v>4</c:v>
                </c:pt>
                <c:pt idx="10">
                  <c:v>8</c:v>
                </c:pt>
                <c:pt idx="11">
                  <c:v>9</c:v>
                </c:pt>
                <c:pt idx="12">
                  <c:v>9</c:v>
                </c:pt>
                <c:pt idx="13">
                  <c:v>12</c:v>
                </c:pt>
              </c:numCache>
            </c:numRef>
          </c:yVal>
          <c:smooth val="0"/>
          <c:extLst>
            <c:ext xmlns:c16="http://schemas.microsoft.com/office/drawing/2014/chart" uri="{C3380CC4-5D6E-409C-BE32-E72D297353CC}">
              <c16:uniqueId val="{00000000-EEF7-40AB-8364-91D6A53C5EEA}"/>
            </c:ext>
          </c:extLst>
        </c:ser>
        <c:dLbls>
          <c:showLegendKey val="0"/>
          <c:showVal val="0"/>
          <c:showCatName val="0"/>
          <c:showSerName val="0"/>
          <c:showPercent val="0"/>
          <c:showBubbleSize val="0"/>
        </c:dLbls>
        <c:axId val="133826816"/>
        <c:axId val="133541888"/>
      </c:scatterChart>
      <c:valAx>
        <c:axId val="133826816"/>
        <c:scaling>
          <c:orientation val="minMax"/>
        </c:scaling>
        <c:delete val="0"/>
        <c:axPos val="b"/>
        <c:numFmt formatCode="General" sourceLinked="1"/>
        <c:majorTickMark val="out"/>
        <c:minorTickMark val="none"/>
        <c:tickLblPos val="nextTo"/>
        <c:crossAx val="133541888"/>
        <c:crosses val="autoZero"/>
        <c:crossBetween val="midCat"/>
      </c:valAx>
      <c:valAx>
        <c:axId val="133541888"/>
        <c:scaling>
          <c:orientation val="minMax"/>
        </c:scaling>
        <c:delete val="0"/>
        <c:axPos val="l"/>
        <c:majorGridlines/>
        <c:numFmt formatCode="General" sourceLinked="1"/>
        <c:majorTickMark val="out"/>
        <c:minorTickMark val="none"/>
        <c:tickLblPos val="nextTo"/>
        <c:crossAx val="133826816"/>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'K-means'!$C$8:$C$21</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'K-means'!$D$8:$D$21</c:f>
              <c:numCache>
                <c:formatCode>General</c:formatCode>
                <c:ptCount val="14"/>
                <c:pt idx="0">
                  <c:v>12</c:v>
                </c:pt>
                <c:pt idx="1">
                  <c:v>10</c:v>
                </c:pt>
                <c:pt idx="2">
                  <c:v>7</c:v>
                </c:pt>
                <c:pt idx="3">
                  <c:v>3</c:v>
                </c:pt>
                <c:pt idx="4">
                  <c:v>4</c:v>
                </c:pt>
                <c:pt idx="5">
                  <c:v>11</c:v>
                </c:pt>
                <c:pt idx="6">
                  <c:v>4</c:v>
                </c:pt>
                <c:pt idx="7">
                  <c:v>8</c:v>
                </c:pt>
                <c:pt idx="8">
                  <c:v>2</c:v>
                </c:pt>
                <c:pt idx="9">
                  <c:v>4</c:v>
                </c:pt>
                <c:pt idx="10">
                  <c:v>8</c:v>
                </c:pt>
                <c:pt idx="11">
                  <c:v>9</c:v>
                </c:pt>
                <c:pt idx="12">
                  <c:v>9</c:v>
                </c:pt>
                <c:pt idx="13">
                  <c:v>12</c:v>
                </c:pt>
              </c:numCache>
            </c:numRef>
          </c:yVal>
          <c:smooth val="0"/>
          <c:extLst>
            <c:ext xmlns:c16="http://schemas.microsoft.com/office/drawing/2014/chart" uri="{C3380CC4-5D6E-409C-BE32-E72D297353CC}">
              <c16:uniqueId val="{00000000-C120-45FF-9596-5D35944EE5AF}"/>
            </c:ext>
          </c:extLst>
        </c:ser>
        <c:ser>
          <c:idx val="1"/>
          <c:order val="1"/>
          <c:spPr>
            <a:ln w="28575">
              <a:noFill/>
            </a:ln>
          </c:spPr>
          <c:xVal>
            <c:numRef>
              <c:f>('K-means'!$B$34,'K-means'!$D$34,'K-means'!$F$34)</c:f>
              <c:numCache>
                <c:formatCode>General</c:formatCode>
                <c:ptCount val="3"/>
                <c:pt idx="0">
                  <c:v>4</c:v>
                </c:pt>
                <c:pt idx="1">
                  <c:v>5</c:v>
                </c:pt>
                <c:pt idx="2">
                  <c:v>10</c:v>
                </c:pt>
              </c:numCache>
            </c:numRef>
          </c:xVal>
          <c:yVal>
            <c:numRef>
              <c:f>('K-means'!$C$34,'K-means'!$E$34,'K-means'!$G$34)</c:f>
              <c:numCache>
                <c:formatCode>General</c:formatCode>
                <c:ptCount val="3"/>
                <c:pt idx="0">
                  <c:v>4</c:v>
                </c:pt>
                <c:pt idx="1">
                  <c:v>12</c:v>
                </c:pt>
                <c:pt idx="2">
                  <c:v>6</c:v>
                </c:pt>
              </c:numCache>
            </c:numRef>
          </c:yVal>
          <c:smooth val="0"/>
          <c:extLst>
            <c:ext xmlns:c16="http://schemas.microsoft.com/office/drawing/2014/chart" uri="{C3380CC4-5D6E-409C-BE32-E72D297353CC}">
              <c16:uniqueId val="{00000001-C120-45FF-9596-5D35944EE5AF}"/>
            </c:ext>
          </c:extLst>
        </c:ser>
        <c:dLbls>
          <c:showLegendKey val="0"/>
          <c:showVal val="0"/>
          <c:showCatName val="0"/>
          <c:showSerName val="0"/>
          <c:showPercent val="0"/>
          <c:showBubbleSize val="0"/>
        </c:dLbls>
        <c:axId val="133865472"/>
        <c:axId val="133867008"/>
      </c:scatterChart>
      <c:valAx>
        <c:axId val="133865472"/>
        <c:scaling>
          <c:orientation val="minMax"/>
        </c:scaling>
        <c:delete val="0"/>
        <c:axPos val="b"/>
        <c:numFmt formatCode="General" sourceLinked="1"/>
        <c:majorTickMark val="out"/>
        <c:minorTickMark val="none"/>
        <c:tickLblPos val="nextTo"/>
        <c:crossAx val="133867008"/>
        <c:crosses val="autoZero"/>
        <c:crossBetween val="midCat"/>
      </c:valAx>
      <c:valAx>
        <c:axId val="133867008"/>
        <c:scaling>
          <c:orientation val="minMax"/>
        </c:scaling>
        <c:delete val="0"/>
        <c:axPos val="l"/>
        <c:majorGridlines/>
        <c:numFmt formatCode="General" sourceLinked="1"/>
        <c:majorTickMark val="out"/>
        <c:minorTickMark val="none"/>
        <c:tickLblPos val="nextTo"/>
        <c:crossAx val="133865472"/>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'K-means'!$K$67</c:f>
              <c:strCache>
                <c:ptCount val="1"/>
                <c:pt idx="0">
                  <c:v>cluster 1</c:v>
                </c:pt>
              </c:strCache>
            </c:strRef>
          </c:tx>
          <c:spPr>
            <a:ln w="28575">
              <a:noFill/>
            </a:ln>
          </c:spPr>
          <c:xVal>
            <c:numRef>
              <c:f>'K-means'!$J$68:$J$81</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'K-means'!$K$68:$K$81</c:f>
              <c:numCache>
                <c:formatCode>General</c:formatCode>
                <c:ptCount val="14"/>
                <c:pt idx="0">
                  <c:v>#N/A</c:v>
                </c:pt>
                <c:pt idx="1">
                  <c:v>#N/A</c:v>
                </c:pt>
                <c:pt idx="2">
                  <c:v>#N/A</c:v>
                </c:pt>
                <c:pt idx="3">
                  <c:v>3</c:v>
                </c:pt>
                <c:pt idx="4">
                  <c:v>4</c:v>
                </c:pt>
                <c:pt idx="5">
                  <c:v>#N/A</c:v>
                </c:pt>
                <c:pt idx="6">
                  <c:v>4</c:v>
                </c:pt>
                <c:pt idx="7">
                  <c:v>8</c:v>
                </c:pt>
                <c:pt idx="8">
                  <c:v>2</c:v>
                </c:pt>
                <c:pt idx="9">
                  <c:v>4</c:v>
                </c:pt>
                <c:pt idx="10">
                  <c:v>#N/A</c:v>
                </c:pt>
                <c:pt idx="11">
                  <c:v>#N/A</c:v>
                </c:pt>
                <c:pt idx="12">
                  <c:v>#N/A</c:v>
                </c:pt>
                <c:pt idx="13">
                  <c:v>#N/A</c:v>
                </c:pt>
              </c:numCache>
            </c:numRef>
          </c:yVal>
          <c:smooth val="0"/>
          <c:extLst>
            <c:ext xmlns:c16="http://schemas.microsoft.com/office/drawing/2014/chart" uri="{C3380CC4-5D6E-409C-BE32-E72D297353CC}">
              <c16:uniqueId val="{00000000-3305-4B0E-909B-AB0F5AD0AD68}"/>
            </c:ext>
          </c:extLst>
        </c:ser>
        <c:ser>
          <c:idx val="1"/>
          <c:order val="1"/>
          <c:tx>
            <c:strRef>
              <c:f>'K-means'!$L$67</c:f>
              <c:strCache>
                <c:ptCount val="1"/>
                <c:pt idx="0">
                  <c:v>cluster 2</c:v>
                </c:pt>
              </c:strCache>
            </c:strRef>
          </c:tx>
          <c:spPr>
            <a:ln w="28575">
              <a:noFill/>
            </a:ln>
          </c:spPr>
          <c:xVal>
            <c:numRef>
              <c:f>'K-means'!$J$68:$J$81</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'K-means'!$L$68:$L$81</c:f>
              <c:numCache>
                <c:formatCode>General</c:formatCode>
                <c:ptCount val="14"/>
                <c:pt idx="0">
                  <c:v>12</c:v>
                </c:pt>
                <c:pt idx="1">
                  <c:v>10</c:v>
                </c:pt>
                <c:pt idx="2">
                  <c:v>#N/A</c:v>
                </c:pt>
                <c:pt idx="3">
                  <c:v>#N/A</c:v>
                </c:pt>
                <c:pt idx="4">
                  <c:v>#N/A</c:v>
                </c:pt>
                <c:pt idx="5">
                  <c:v>11</c:v>
                </c:pt>
                <c:pt idx="6">
                  <c:v>#N/A</c:v>
                </c:pt>
                <c:pt idx="7">
                  <c:v>#N/A</c:v>
                </c:pt>
                <c:pt idx="8">
                  <c:v>#N/A</c:v>
                </c:pt>
                <c:pt idx="9">
                  <c:v>#N/A</c:v>
                </c:pt>
                <c:pt idx="10">
                  <c:v>#N/A</c:v>
                </c:pt>
                <c:pt idx="11">
                  <c:v>#N/A</c:v>
                </c:pt>
                <c:pt idx="12">
                  <c:v>#N/A</c:v>
                </c:pt>
                <c:pt idx="13">
                  <c:v>12</c:v>
                </c:pt>
              </c:numCache>
            </c:numRef>
          </c:yVal>
          <c:smooth val="0"/>
          <c:extLst>
            <c:ext xmlns:c16="http://schemas.microsoft.com/office/drawing/2014/chart" uri="{C3380CC4-5D6E-409C-BE32-E72D297353CC}">
              <c16:uniqueId val="{00000001-3305-4B0E-909B-AB0F5AD0AD68}"/>
            </c:ext>
          </c:extLst>
        </c:ser>
        <c:ser>
          <c:idx val="2"/>
          <c:order val="2"/>
          <c:tx>
            <c:strRef>
              <c:f>'K-means'!$M$67</c:f>
              <c:strCache>
                <c:ptCount val="1"/>
                <c:pt idx="0">
                  <c:v>cluster 3</c:v>
                </c:pt>
              </c:strCache>
            </c:strRef>
          </c:tx>
          <c:spPr>
            <a:ln w="28575">
              <a:noFill/>
            </a:ln>
          </c:spPr>
          <c:xVal>
            <c:numRef>
              <c:f>'K-means'!$J$68:$J$81</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'K-means'!$M$68:$M$81</c:f>
              <c:numCache>
                <c:formatCode>General</c:formatCode>
                <c:ptCount val="14"/>
                <c:pt idx="0">
                  <c:v>#N/A</c:v>
                </c:pt>
                <c:pt idx="1">
                  <c:v>#N/A</c:v>
                </c:pt>
                <c:pt idx="2">
                  <c:v>7</c:v>
                </c:pt>
                <c:pt idx="3">
                  <c:v>#N/A</c:v>
                </c:pt>
                <c:pt idx="4">
                  <c:v>#N/A</c:v>
                </c:pt>
                <c:pt idx="5">
                  <c:v>#N/A</c:v>
                </c:pt>
                <c:pt idx="6">
                  <c:v>#N/A</c:v>
                </c:pt>
                <c:pt idx="7">
                  <c:v>#N/A</c:v>
                </c:pt>
                <c:pt idx="8">
                  <c:v>#N/A</c:v>
                </c:pt>
                <c:pt idx="9">
                  <c:v>#N/A</c:v>
                </c:pt>
                <c:pt idx="10">
                  <c:v>8</c:v>
                </c:pt>
                <c:pt idx="11">
                  <c:v>9</c:v>
                </c:pt>
                <c:pt idx="12">
                  <c:v>9</c:v>
                </c:pt>
                <c:pt idx="13">
                  <c:v>#N/A</c:v>
                </c:pt>
              </c:numCache>
            </c:numRef>
          </c:yVal>
          <c:smooth val="0"/>
          <c:extLst>
            <c:ext xmlns:c16="http://schemas.microsoft.com/office/drawing/2014/chart" uri="{C3380CC4-5D6E-409C-BE32-E72D297353CC}">
              <c16:uniqueId val="{00000002-3305-4B0E-909B-AB0F5AD0AD68}"/>
            </c:ext>
          </c:extLst>
        </c:ser>
        <c:dLbls>
          <c:showLegendKey val="0"/>
          <c:showVal val="0"/>
          <c:showCatName val="0"/>
          <c:showSerName val="0"/>
          <c:showPercent val="0"/>
          <c:showBubbleSize val="0"/>
        </c:dLbls>
        <c:axId val="133912832"/>
        <c:axId val="133963776"/>
      </c:scatterChart>
      <c:valAx>
        <c:axId val="133912832"/>
        <c:scaling>
          <c:orientation val="minMax"/>
        </c:scaling>
        <c:delete val="0"/>
        <c:axPos val="b"/>
        <c:numFmt formatCode="General" sourceLinked="1"/>
        <c:majorTickMark val="out"/>
        <c:minorTickMark val="none"/>
        <c:tickLblPos val="nextTo"/>
        <c:crossAx val="133963776"/>
        <c:crosses val="autoZero"/>
        <c:crossBetween val="midCat"/>
      </c:valAx>
      <c:valAx>
        <c:axId val="133963776"/>
        <c:scaling>
          <c:orientation val="minMax"/>
        </c:scaling>
        <c:delete val="0"/>
        <c:axPos val="l"/>
        <c:majorGridlines/>
        <c:numFmt formatCode="General" sourceLinked="1"/>
        <c:majorTickMark val="out"/>
        <c:minorTickMark val="none"/>
        <c:tickLblPos val="nextTo"/>
        <c:crossAx val="133912832"/>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clust1</c:v>
          </c:tx>
          <c:spPr>
            <a:ln w="28575">
              <a:noFill/>
            </a:ln>
          </c:spPr>
          <c:xVal>
            <c:numRef>
              <c:f>PAM!$C$136:$C$149</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PAM!$H$136:$H$149</c:f>
              <c:numCache>
                <c:formatCode>General</c:formatCode>
                <c:ptCount val="14"/>
                <c:pt idx="0">
                  <c:v>#N/A</c:v>
                </c:pt>
                <c:pt idx="1">
                  <c:v>#N/A</c:v>
                </c:pt>
                <c:pt idx="2">
                  <c:v>#N/A</c:v>
                </c:pt>
                <c:pt idx="3">
                  <c:v>3</c:v>
                </c:pt>
                <c:pt idx="4">
                  <c:v>4</c:v>
                </c:pt>
                <c:pt idx="5">
                  <c:v>#N/A</c:v>
                </c:pt>
                <c:pt idx="6">
                  <c:v>4</c:v>
                </c:pt>
                <c:pt idx="7">
                  <c:v>8</c:v>
                </c:pt>
                <c:pt idx="8">
                  <c:v>2</c:v>
                </c:pt>
                <c:pt idx="9">
                  <c:v>4</c:v>
                </c:pt>
                <c:pt idx="10">
                  <c:v>#N/A</c:v>
                </c:pt>
                <c:pt idx="11">
                  <c:v>#N/A</c:v>
                </c:pt>
                <c:pt idx="12">
                  <c:v>#N/A</c:v>
                </c:pt>
                <c:pt idx="13">
                  <c:v>#N/A</c:v>
                </c:pt>
              </c:numCache>
            </c:numRef>
          </c:yVal>
          <c:smooth val="0"/>
          <c:extLst>
            <c:ext xmlns:c16="http://schemas.microsoft.com/office/drawing/2014/chart" uri="{C3380CC4-5D6E-409C-BE32-E72D297353CC}">
              <c16:uniqueId val="{00000000-0081-4E0F-9562-C870F34E1A58}"/>
            </c:ext>
          </c:extLst>
        </c:ser>
        <c:ser>
          <c:idx val="1"/>
          <c:order val="1"/>
          <c:tx>
            <c:v>clust2</c:v>
          </c:tx>
          <c:spPr>
            <a:ln w="28575">
              <a:noFill/>
            </a:ln>
          </c:spPr>
          <c:xVal>
            <c:numRef>
              <c:f>PAM!$C$136:$C$149</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PAM!$I$136:$I$149</c:f>
              <c:numCache>
                <c:formatCode>General</c:formatCode>
                <c:ptCount val="14"/>
                <c:pt idx="0">
                  <c:v>12</c:v>
                </c:pt>
                <c:pt idx="1">
                  <c:v>10</c:v>
                </c:pt>
                <c:pt idx="2">
                  <c:v>7</c:v>
                </c:pt>
                <c:pt idx="3">
                  <c:v>#N/A</c:v>
                </c:pt>
                <c:pt idx="4">
                  <c:v>#N/A</c:v>
                </c:pt>
                <c:pt idx="5">
                  <c:v>11</c:v>
                </c:pt>
                <c:pt idx="6">
                  <c:v>#N/A</c:v>
                </c:pt>
                <c:pt idx="7">
                  <c:v>8</c:v>
                </c:pt>
                <c:pt idx="8">
                  <c:v>#N/A</c:v>
                </c:pt>
                <c:pt idx="9">
                  <c:v>#N/A</c:v>
                </c:pt>
                <c:pt idx="10">
                  <c:v>8</c:v>
                </c:pt>
                <c:pt idx="11">
                  <c:v>9</c:v>
                </c:pt>
                <c:pt idx="12">
                  <c:v>9</c:v>
                </c:pt>
                <c:pt idx="13">
                  <c:v>12</c:v>
                </c:pt>
              </c:numCache>
            </c:numRef>
          </c:yVal>
          <c:smooth val="0"/>
          <c:extLst>
            <c:ext xmlns:c16="http://schemas.microsoft.com/office/drawing/2014/chart" uri="{C3380CC4-5D6E-409C-BE32-E72D297353CC}">
              <c16:uniqueId val="{00000001-0081-4E0F-9562-C870F34E1A58}"/>
            </c:ext>
          </c:extLst>
        </c:ser>
        <c:dLbls>
          <c:showLegendKey val="0"/>
          <c:showVal val="0"/>
          <c:showCatName val="0"/>
          <c:showSerName val="0"/>
          <c:showPercent val="0"/>
          <c:showBubbleSize val="0"/>
        </c:dLbls>
        <c:axId val="182338304"/>
        <c:axId val="182339840"/>
      </c:scatterChart>
      <c:valAx>
        <c:axId val="182338304"/>
        <c:scaling>
          <c:orientation val="minMax"/>
        </c:scaling>
        <c:delete val="0"/>
        <c:axPos val="b"/>
        <c:numFmt formatCode="General" sourceLinked="1"/>
        <c:majorTickMark val="out"/>
        <c:minorTickMark val="none"/>
        <c:tickLblPos val="nextTo"/>
        <c:crossAx val="182339840"/>
        <c:crosses val="autoZero"/>
        <c:crossBetween val="midCat"/>
      </c:valAx>
      <c:valAx>
        <c:axId val="182339840"/>
        <c:scaling>
          <c:orientation val="minMax"/>
        </c:scaling>
        <c:delete val="0"/>
        <c:axPos val="l"/>
        <c:majorGridlines/>
        <c:numFmt formatCode="General" sourceLinked="1"/>
        <c:majorTickMark val="out"/>
        <c:minorTickMark val="none"/>
        <c:tickLblPos val="nextTo"/>
        <c:crossAx val="18233830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clust1</c:v>
          </c:tx>
          <c:spPr>
            <a:ln w="28575">
              <a:noFill/>
            </a:ln>
          </c:spPr>
          <c:xVal>
            <c:numRef>
              <c:f>PAM!$C$157:$C$170</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PAM!$H$157:$H$170</c:f>
              <c:numCache>
                <c:formatCode>General</c:formatCode>
                <c:ptCount val="14"/>
                <c:pt idx="0">
                  <c:v>#N/A</c:v>
                </c:pt>
                <c:pt idx="1">
                  <c:v>#N/A</c:v>
                </c:pt>
                <c:pt idx="2">
                  <c:v>#N/A</c:v>
                </c:pt>
                <c:pt idx="3">
                  <c:v>3</c:v>
                </c:pt>
                <c:pt idx="4">
                  <c:v>4</c:v>
                </c:pt>
                <c:pt idx="5">
                  <c:v>#N/A</c:v>
                </c:pt>
                <c:pt idx="6">
                  <c:v>4</c:v>
                </c:pt>
                <c:pt idx="7">
                  <c:v>8</c:v>
                </c:pt>
                <c:pt idx="8">
                  <c:v>2</c:v>
                </c:pt>
                <c:pt idx="9">
                  <c:v>4</c:v>
                </c:pt>
                <c:pt idx="10">
                  <c:v>#N/A</c:v>
                </c:pt>
                <c:pt idx="11">
                  <c:v>#N/A</c:v>
                </c:pt>
                <c:pt idx="12">
                  <c:v>#N/A</c:v>
                </c:pt>
                <c:pt idx="13">
                  <c:v>#N/A</c:v>
                </c:pt>
              </c:numCache>
            </c:numRef>
          </c:yVal>
          <c:smooth val="0"/>
          <c:extLst>
            <c:ext xmlns:c16="http://schemas.microsoft.com/office/drawing/2014/chart" uri="{C3380CC4-5D6E-409C-BE32-E72D297353CC}">
              <c16:uniqueId val="{00000000-FCC7-4004-B2AC-98E37918FF3C}"/>
            </c:ext>
          </c:extLst>
        </c:ser>
        <c:ser>
          <c:idx val="1"/>
          <c:order val="1"/>
          <c:tx>
            <c:v>clust2</c:v>
          </c:tx>
          <c:spPr>
            <a:ln w="28575">
              <a:noFill/>
            </a:ln>
          </c:spPr>
          <c:xVal>
            <c:numRef>
              <c:f>PAM!$C$157:$C$170</c:f>
              <c:numCache>
                <c:formatCode>General</c:formatCode>
                <c:ptCount val="14"/>
                <c:pt idx="0">
                  <c:v>4</c:v>
                </c:pt>
                <c:pt idx="1">
                  <c:v>5</c:v>
                </c:pt>
                <c:pt idx="2">
                  <c:v>8</c:v>
                </c:pt>
                <c:pt idx="3">
                  <c:v>5</c:v>
                </c:pt>
                <c:pt idx="4">
                  <c:v>5</c:v>
                </c:pt>
                <c:pt idx="5">
                  <c:v>2</c:v>
                </c:pt>
                <c:pt idx="6">
                  <c:v>5</c:v>
                </c:pt>
                <c:pt idx="7">
                  <c:v>3</c:v>
                </c:pt>
                <c:pt idx="8">
                  <c:v>6</c:v>
                </c:pt>
                <c:pt idx="9">
                  <c:v>7</c:v>
                </c:pt>
                <c:pt idx="10">
                  <c:v>10</c:v>
                </c:pt>
                <c:pt idx="11">
                  <c:v>8</c:v>
                </c:pt>
                <c:pt idx="12">
                  <c:v>10</c:v>
                </c:pt>
                <c:pt idx="13">
                  <c:v>10</c:v>
                </c:pt>
              </c:numCache>
            </c:numRef>
          </c:xVal>
          <c:yVal>
            <c:numRef>
              <c:f>PAM!$I$157:$I$170</c:f>
              <c:numCache>
                <c:formatCode>General</c:formatCode>
                <c:ptCount val="14"/>
                <c:pt idx="0">
                  <c:v>12</c:v>
                </c:pt>
                <c:pt idx="1">
                  <c:v>10</c:v>
                </c:pt>
                <c:pt idx="2">
                  <c:v>7</c:v>
                </c:pt>
                <c:pt idx="3">
                  <c:v>#N/A</c:v>
                </c:pt>
                <c:pt idx="4">
                  <c:v>#N/A</c:v>
                </c:pt>
                <c:pt idx="5">
                  <c:v>11</c:v>
                </c:pt>
                <c:pt idx="6">
                  <c:v>#N/A</c:v>
                </c:pt>
                <c:pt idx="7">
                  <c:v>8</c:v>
                </c:pt>
                <c:pt idx="8">
                  <c:v>#N/A</c:v>
                </c:pt>
                <c:pt idx="9">
                  <c:v>#N/A</c:v>
                </c:pt>
                <c:pt idx="10">
                  <c:v>8</c:v>
                </c:pt>
                <c:pt idx="11">
                  <c:v>9</c:v>
                </c:pt>
                <c:pt idx="12">
                  <c:v>9</c:v>
                </c:pt>
                <c:pt idx="13">
                  <c:v>12</c:v>
                </c:pt>
              </c:numCache>
            </c:numRef>
          </c:yVal>
          <c:smooth val="0"/>
          <c:extLst>
            <c:ext xmlns:c16="http://schemas.microsoft.com/office/drawing/2014/chart" uri="{C3380CC4-5D6E-409C-BE32-E72D297353CC}">
              <c16:uniqueId val="{00000001-FCC7-4004-B2AC-98E37918FF3C}"/>
            </c:ext>
          </c:extLst>
        </c:ser>
        <c:dLbls>
          <c:showLegendKey val="0"/>
          <c:showVal val="0"/>
          <c:showCatName val="0"/>
          <c:showSerName val="0"/>
          <c:showPercent val="0"/>
          <c:showBubbleSize val="0"/>
        </c:dLbls>
        <c:axId val="182366976"/>
        <c:axId val="182368512"/>
      </c:scatterChart>
      <c:valAx>
        <c:axId val="182366976"/>
        <c:scaling>
          <c:orientation val="minMax"/>
        </c:scaling>
        <c:delete val="0"/>
        <c:axPos val="b"/>
        <c:numFmt formatCode="General" sourceLinked="1"/>
        <c:majorTickMark val="out"/>
        <c:minorTickMark val="none"/>
        <c:tickLblPos val="nextTo"/>
        <c:crossAx val="182368512"/>
        <c:crosses val="autoZero"/>
        <c:crossBetween val="midCat"/>
      </c:valAx>
      <c:valAx>
        <c:axId val="182368512"/>
        <c:scaling>
          <c:orientation val="minMax"/>
        </c:scaling>
        <c:delete val="0"/>
        <c:axPos val="l"/>
        <c:majorGridlines/>
        <c:numFmt formatCode="General" sourceLinked="1"/>
        <c:majorTickMark val="out"/>
        <c:minorTickMark val="none"/>
        <c:tickLblPos val="nextTo"/>
        <c:crossAx val="18236697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distances!$I$28</c:f>
              <c:strCache>
                <c:ptCount val="1"/>
                <c:pt idx="0">
                  <c:v>freq</c:v>
                </c:pt>
              </c:strCache>
            </c:strRef>
          </c:tx>
          <c:marker>
            <c:symbol val="none"/>
          </c:marker>
          <c:cat>
            <c:numRef>
              <c:f>distances!$H$29:$H$40</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distances!$I$29:$I$40</c:f>
              <c:numCache>
                <c:formatCode>General</c:formatCode>
                <c:ptCount val="12"/>
                <c:pt idx="0">
                  <c:v>16</c:v>
                </c:pt>
                <c:pt idx="1">
                  <c:v>6</c:v>
                </c:pt>
                <c:pt idx="2">
                  <c:v>10</c:v>
                </c:pt>
                <c:pt idx="3">
                  <c:v>22</c:v>
                </c:pt>
                <c:pt idx="4">
                  <c:v>12</c:v>
                </c:pt>
                <c:pt idx="5">
                  <c:v>18</c:v>
                </c:pt>
                <c:pt idx="6">
                  <c:v>32</c:v>
                </c:pt>
                <c:pt idx="7">
                  <c:v>20</c:v>
                </c:pt>
                <c:pt idx="8">
                  <c:v>22</c:v>
                </c:pt>
                <c:pt idx="9">
                  <c:v>24</c:v>
                </c:pt>
                <c:pt idx="10">
                  <c:v>8</c:v>
                </c:pt>
                <c:pt idx="11">
                  <c:v>6</c:v>
                </c:pt>
              </c:numCache>
            </c:numRef>
          </c:val>
          <c:smooth val="0"/>
          <c:extLst>
            <c:ext xmlns:c16="http://schemas.microsoft.com/office/drawing/2014/chart" uri="{C3380CC4-5D6E-409C-BE32-E72D297353CC}">
              <c16:uniqueId val="{00000000-A32A-4E5A-A5DD-425FEC91BAC2}"/>
            </c:ext>
          </c:extLst>
        </c:ser>
        <c:dLbls>
          <c:showLegendKey val="0"/>
          <c:showVal val="0"/>
          <c:showCatName val="0"/>
          <c:showSerName val="0"/>
          <c:showPercent val="0"/>
          <c:showBubbleSize val="0"/>
        </c:dLbls>
        <c:smooth val="0"/>
        <c:axId val="133204224"/>
        <c:axId val="133210112"/>
      </c:lineChart>
      <c:catAx>
        <c:axId val="133204224"/>
        <c:scaling>
          <c:orientation val="minMax"/>
        </c:scaling>
        <c:delete val="0"/>
        <c:axPos val="b"/>
        <c:numFmt formatCode="General" sourceLinked="1"/>
        <c:majorTickMark val="out"/>
        <c:minorTickMark val="none"/>
        <c:tickLblPos val="nextTo"/>
        <c:crossAx val="133210112"/>
        <c:crosses val="autoZero"/>
        <c:auto val="1"/>
        <c:lblAlgn val="ctr"/>
        <c:lblOffset val="100"/>
        <c:noMultiLvlLbl val="0"/>
      </c:catAx>
      <c:valAx>
        <c:axId val="133210112"/>
        <c:scaling>
          <c:orientation val="minMax"/>
        </c:scaling>
        <c:delete val="0"/>
        <c:axPos val="l"/>
        <c:majorGridlines/>
        <c:numFmt formatCode="General" sourceLinked="1"/>
        <c:majorTickMark val="out"/>
        <c:minorTickMark val="none"/>
        <c:tickLblPos val="nextTo"/>
        <c:crossAx val="133204224"/>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distances!$AB$28</c:f>
              <c:strCache>
                <c:ptCount val="1"/>
                <c:pt idx="0">
                  <c:v>freq</c:v>
                </c:pt>
              </c:strCache>
            </c:strRef>
          </c:tx>
          <c:marker>
            <c:symbol val="none"/>
          </c:marker>
          <c:cat>
            <c:numRef>
              <c:f>distances!$AA$29:$AA$40</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distances!$AB$29:$AB$40</c:f>
              <c:numCache>
                <c:formatCode>General</c:formatCode>
                <c:ptCount val="12"/>
                <c:pt idx="0">
                  <c:v>16</c:v>
                </c:pt>
                <c:pt idx="1">
                  <c:v>6</c:v>
                </c:pt>
                <c:pt idx="2">
                  <c:v>10</c:v>
                </c:pt>
                <c:pt idx="3">
                  <c:v>18</c:v>
                </c:pt>
                <c:pt idx="4">
                  <c:v>14</c:v>
                </c:pt>
                <c:pt idx="5">
                  <c:v>4</c:v>
                </c:pt>
                <c:pt idx="6">
                  <c:v>24</c:v>
                </c:pt>
                <c:pt idx="7">
                  <c:v>20</c:v>
                </c:pt>
                <c:pt idx="8">
                  <c:v>14</c:v>
                </c:pt>
                <c:pt idx="9">
                  <c:v>22</c:v>
                </c:pt>
                <c:pt idx="10">
                  <c:v>20</c:v>
                </c:pt>
                <c:pt idx="11">
                  <c:v>14</c:v>
                </c:pt>
              </c:numCache>
            </c:numRef>
          </c:val>
          <c:smooth val="0"/>
          <c:extLst>
            <c:ext xmlns:c16="http://schemas.microsoft.com/office/drawing/2014/chart" uri="{C3380CC4-5D6E-409C-BE32-E72D297353CC}">
              <c16:uniqueId val="{00000000-247B-40AE-8548-2B26443AC3C7}"/>
            </c:ext>
          </c:extLst>
        </c:ser>
        <c:dLbls>
          <c:showLegendKey val="0"/>
          <c:showVal val="0"/>
          <c:showCatName val="0"/>
          <c:showSerName val="0"/>
          <c:showPercent val="0"/>
          <c:showBubbleSize val="0"/>
        </c:dLbls>
        <c:smooth val="0"/>
        <c:axId val="133215744"/>
        <c:axId val="133217280"/>
      </c:lineChart>
      <c:catAx>
        <c:axId val="133215744"/>
        <c:scaling>
          <c:orientation val="minMax"/>
        </c:scaling>
        <c:delete val="0"/>
        <c:axPos val="b"/>
        <c:numFmt formatCode="General" sourceLinked="1"/>
        <c:majorTickMark val="out"/>
        <c:minorTickMark val="none"/>
        <c:tickLblPos val="nextTo"/>
        <c:crossAx val="133217280"/>
        <c:crosses val="autoZero"/>
        <c:auto val="1"/>
        <c:lblAlgn val="ctr"/>
        <c:lblOffset val="100"/>
        <c:noMultiLvlLbl val="0"/>
      </c:catAx>
      <c:valAx>
        <c:axId val="133217280"/>
        <c:scaling>
          <c:orientation val="minMax"/>
        </c:scaling>
        <c:delete val="0"/>
        <c:axPos val="l"/>
        <c:majorGridlines/>
        <c:numFmt formatCode="General" sourceLinked="1"/>
        <c:majorTickMark val="out"/>
        <c:minorTickMark val="none"/>
        <c:tickLblPos val="nextTo"/>
        <c:crossAx val="133215744"/>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distances!$AB$28</c:f>
              <c:strCache>
                <c:ptCount val="1"/>
                <c:pt idx="0">
                  <c:v>freq</c:v>
                </c:pt>
              </c:strCache>
            </c:strRef>
          </c:tx>
          <c:marker>
            <c:symbol val="none"/>
          </c:marker>
          <c:cat>
            <c:numRef>
              <c:f>distances!$AA$29:$AA$40</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distances!$AB$29:$AB$40</c:f>
              <c:numCache>
                <c:formatCode>General</c:formatCode>
                <c:ptCount val="12"/>
                <c:pt idx="0">
                  <c:v>16</c:v>
                </c:pt>
                <c:pt idx="1">
                  <c:v>6</c:v>
                </c:pt>
                <c:pt idx="2">
                  <c:v>10</c:v>
                </c:pt>
                <c:pt idx="3">
                  <c:v>18</c:v>
                </c:pt>
                <c:pt idx="4">
                  <c:v>14</c:v>
                </c:pt>
                <c:pt idx="5">
                  <c:v>4</c:v>
                </c:pt>
                <c:pt idx="6">
                  <c:v>24</c:v>
                </c:pt>
                <c:pt idx="7">
                  <c:v>20</c:v>
                </c:pt>
                <c:pt idx="8">
                  <c:v>14</c:v>
                </c:pt>
                <c:pt idx="9">
                  <c:v>22</c:v>
                </c:pt>
                <c:pt idx="10">
                  <c:v>20</c:v>
                </c:pt>
                <c:pt idx="11">
                  <c:v>14</c:v>
                </c:pt>
              </c:numCache>
            </c:numRef>
          </c:val>
          <c:smooth val="0"/>
          <c:extLst>
            <c:ext xmlns:c16="http://schemas.microsoft.com/office/drawing/2014/chart" uri="{C3380CC4-5D6E-409C-BE32-E72D297353CC}">
              <c16:uniqueId val="{00000000-BDBC-45EA-87B6-43D7A2F926FA}"/>
            </c:ext>
          </c:extLst>
        </c:ser>
        <c:dLbls>
          <c:showLegendKey val="0"/>
          <c:showVal val="0"/>
          <c:showCatName val="0"/>
          <c:showSerName val="0"/>
          <c:showPercent val="0"/>
          <c:showBubbleSize val="0"/>
        </c:dLbls>
        <c:smooth val="0"/>
        <c:axId val="133250048"/>
        <c:axId val="133251840"/>
      </c:lineChart>
      <c:catAx>
        <c:axId val="133250048"/>
        <c:scaling>
          <c:orientation val="minMax"/>
        </c:scaling>
        <c:delete val="0"/>
        <c:axPos val="b"/>
        <c:numFmt formatCode="General" sourceLinked="1"/>
        <c:majorTickMark val="out"/>
        <c:minorTickMark val="none"/>
        <c:tickLblPos val="nextTo"/>
        <c:crossAx val="133251840"/>
        <c:crosses val="autoZero"/>
        <c:auto val="1"/>
        <c:lblAlgn val="ctr"/>
        <c:lblOffset val="100"/>
        <c:noMultiLvlLbl val="0"/>
      </c:catAx>
      <c:valAx>
        <c:axId val="133251840"/>
        <c:scaling>
          <c:orientation val="minMax"/>
        </c:scaling>
        <c:delete val="0"/>
        <c:axPos val="l"/>
        <c:majorGridlines/>
        <c:numFmt formatCode="General" sourceLinked="1"/>
        <c:majorTickMark val="out"/>
        <c:minorTickMark val="none"/>
        <c:tickLblPos val="nextTo"/>
        <c:crossAx val="133250048"/>
        <c:crosses val="autoZero"/>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distances!$BN$28</c:f>
              <c:strCache>
                <c:ptCount val="1"/>
                <c:pt idx="0">
                  <c:v>freq</c:v>
                </c:pt>
              </c:strCache>
            </c:strRef>
          </c:tx>
          <c:marker>
            <c:symbol val="none"/>
          </c:marker>
          <c:cat>
            <c:numRef>
              <c:f>distances!$BM$29:$BM$40</c:f>
              <c:numCache>
                <c:formatCode>General</c:formatCode>
                <c:ptCount val="12"/>
                <c:pt idx="0">
                  <c:v>0</c:v>
                </c:pt>
                <c:pt idx="1">
                  <c:v>1</c:v>
                </c:pt>
                <c:pt idx="2">
                  <c:v>2</c:v>
                </c:pt>
                <c:pt idx="3">
                  <c:v>3</c:v>
                </c:pt>
                <c:pt idx="4">
                  <c:v>4</c:v>
                </c:pt>
                <c:pt idx="5">
                  <c:v>5</c:v>
                </c:pt>
                <c:pt idx="6">
                  <c:v>6</c:v>
                </c:pt>
                <c:pt idx="7">
                  <c:v>7</c:v>
                </c:pt>
                <c:pt idx="8">
                  <c:v>8</c:v>
                </c:pt>
                <c:pt idx="9">
                  <c:v>9</c:v>
                </c:pt>
                <c:pt idx="10">
                  <c:v>10</c:v>
                </c:pt>
                <c:pt idx="11">
                  <c:v>11</c:v>
                </c:pt>
              </c:numCache>
            </c:numRef>
          </c:cat>
          <c:val>
            <c:numRef>
              <c:f>distances!$BN$29:$BN$40</c:f>
              <c:numCache>
                <c:formatCode>General</c:formatCode>
                <c:ptCount val="12"/>
                <c:pt idx="0">
                  <c:v>16</c:v>
                </c:pt>
                <c:pt idx="1">
                  <c:v>176</c:v>
                </c:pt>
                <c:pt idx="2">
                  <c:v>4</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9B5-4DD0-9933-99EFD449313D}"/>
            </c:ext>
          </c:extLst>
        </c:ser>
        <c:dLbls>
          <c:showLegendKey val="0"/>
          <c:showVal val="0"/>
          <c:showCatName val="0"/>
          <c:showSerName val="0"/>
          <c:showPercent val="0"/>
          <c:showBubbleSize val="0"/>
        </c:dLbls>
        <c:smooth val="0"/>
        <c:axId val="182395264"/>
        <c:axId val="182396800"/>
      </c:lineChart>
      <c:catAx>
        <c:axId val="182395264"/>
        <c:scaling>
          <c:orientation val="minMax"/>
        </c:scaling>
        <c:delete val="0"/>
        <c:axPos val="b"/>
        <c:numFmt formatCode="General" sourceLinked="1"/>
        <c:majorTickMark val="out"/>
        <c:minorTickMark val="none"/>
        <c:tickLblPos val="nextTo"/>
        <c:crossAx val="182396800"/>
        <c:crosses val="autoZero"/>
        <c:auto val="1"/>
        <c:lblAlgn val="ctr"/>
        <c:lblOffset val="100"/>
        <c:noMultiLvlLbl val="0"/>
      </c:catAx>
      <c:valAx>
        <c:axId val="182396800"/>
        <c:scaling>
          <c:orientation val="minMax"/>
        </c:scaling>
        <c:delete val="0"/>
        <c:axPos val="l"/>
        <c:majorGridlines/>
        <c:numFmt formatCode="General" sourceLinked="1"/>
        <c:majorTickMark val="out"/>
        <c:minorTickMark val="none"/>
        <c:tickLblPos val="nextTo"/>
        <c:crossAx val="182395264"/>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8.xml"/><Relationship Id="rId7"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pn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image" Target="../media/image2.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xdr:row>
      <xdr:rowOff>0</xdr:rowOff>
    </xdr:from>
    <xdr:to>
      <xdr:col>13</xdr:col>
      <xdr:colOff>304800</xdr:colOff>
      <xdr:row>4</xdr:row>
      <xdr:rowOff>121920</xdr:rowOff>
    </xdr:to>
    <xdr:sp macro="" textlink="">
      <xdr:nvSpPr>
        <xdr:cNvPr id="2049" name="AutoShape 1" descr="data:image/jpeg;base64,/9j/4AAQSkZJRgABAQAAAQABAAD/2wCEAAkGBxQSEhUUEhIWFRUVGB8YFRYUFhgXGRUVFB4aGRUXFxQZHCggGRomGxUYIjEhJSkrLjAuGh8zODMvNygtLysBCgoKDg0OGxAQGzQkICQvNywvNTQsNCwsLCw3LC0sMCwsNC80LywsMiw0Mi00MDQ0LCwuLDQ0LywsLSwsNCwsMP/AABEIAMIBBAMBIgACEQEDEQH/xAAbAAACAwEBAQAAAAAAAAAAAAAABAIDBQEGB//EAD0QAAIBAwIEAwQJAQgDAQEAAAECEQADEiExBBMiYQVBUTJxkfAGI0JSgaGxwdGSFDNTYnKi4fEVQ9JzFv/EABoBAQADAQEBAAAAAAAAAAAAAAACAwQFAQb/xAAtEQACAgECBQEIAgMAAAAAAAAAAQIRAyHwBBIxQVFhEyJxgZGhsfHB0QUU4f/aAAwDAQACEQMRAD8A+40UUUAUUUUAUVFXBmDMGD2PpUqAKK5NdoAooooAooooAork0snFS0QdyAdIJXcbz6142keNpDVFU/2hcsZ1/eJj3xrFXV6E7Ciiih6FFFFAFFFFAFFcJrtAFFFFAFFcJrtAFFFFAFFFFAFFFFAFFFFAFVX+IVIyMSQNidToNh61bVV6wGKzsrZR5EiYn3GD71FAVcEdbn/6H9FpmaS4OwMrp1kuftNHsgaCYH4U3yx3+J9/7UBxtx7v47fvU5qpreo329T/AD3PlU+WO/xPb+B8mgJTRNR5Y7/E9/5/T0o5Q7/E9v4+ZoDk9Q9x/apzVeHV5+fmfX/k/OxgO/xPu9e1AIcBw9xbjFiYIMktORmVIH2dJEe7eBTwsqDMCTuY1+P4VIgD/s+s0vfWVGBJE64tqViNCTHp/wB1BJRRWoqCo6bK5A67z5xlETHuqN/jgpjEnULpHtMJA1Pp50ncfBk5jQTqBkcoG4wXefMjTWNgKt4i7Z0PSTICkmDJkCHPl7Ws+R86g5KtNCDmqdaD9q4GAI86XHF9eOm8b67TJHp/x60hwguFspK2xO7AKFBGgUb+zv8AtILvFMOXKEnUDRjqJggNOh1Ov6RI9U7jZ6snMr2xpyJHv7eh+dKsmsuxxMQGDSGhtZiSQgJB12H761oNiCJMTtJOp179/mKnGSassjNNWWTRNQ5Y7/E9u/b5mu8sfJPc/vUiQXPL31IGqntjT9yfSNz51MWx8k+s0BKaJqPKHf4n0j1o5Y7/ABPrNAcc6j3/AM9qnNVPbGm/xPoR69/nymbY7/E9v4oCU0TUeWO/xPf+fmKkqxQHaKKKAKKKKAKKKKAKqvX1WMiBOgnzq2lOP4LmR1YkE6jykQSNdGG4OsHWDQHeC3uf6z+i01SHB8OM7rS0lyPbaIhdlmAdNwJpzl9z8T7/AF70Bxtx7v47VZVJtdzt6t2G8/O9T5fv+J9Z9aAnRVfK7n4n0jea7y+5+J9/r2oCjir2Oun/AGR/3t5eXnnXC9xhtGqghWKkH/2K06ERoPzMzTHHcJLAz9nGCTMzIxaelu/YHWBGdf4u67Qs7NEB1lgQp0nSD66a++s+WVdTLmnWj/Y/4zxeKhdddzjlEa6rInb8jprS3D+LKsA6ljJ+zqwylQRGOm+XfvV1lFcfWfZAdTlliCDrJ22Jj3emmbdsWjqiuAo1lyYyXTckqYHl2PcVzlO+aLKsk8ifNFrfU7xKrxF1WkoG1XL7QQ46MpleojpkT7zpzi7C28BcJAAAmQ2O+RRY2IG3lG0aMnzgo6A4aMX6QJIOuM6BZO+u+1I+KcVmBnOSyOqSIUgEZk6mV39xNYsuaEYuXf7b36nPzcRCEJSr3vtvfqbF27DwCQo9kgE9NsDRVAmAIbvqPNSHPC/FA7lDrkTvMnSRkIgaACPxrAAULLFQZxxLHJRAghg0Eagdh7jTXBqbmRJJKwXkmAUlFJaZxKD36HvMseaXOq2iWPiZe0SX09N/M9IcM1GA6TA0GhgsIHpqdfWr+J4XM7xoVOgOh3j0Om//ABXnb3CkAC24L6kAKVIDeyCTqyBVMeuPntW9wFs4dZMyYMkaGY08tD+h08t+OXM3Fo6eKbm3GS38h1RXarwnzPxPY+vb5mu8vufie/fv+noK0GoLnl7+9SFVPbGkk7+vz6fr6mpC37/ie/fv+noKAsoqvldz8T279v19TXeX3PxPc+vf5igOXNx7/wCe1WVS9vYSfi3pG8/Pv1qfL7n4n1n1+dtqAnRVfKHqfifSN5qSrFASooooAooooAooooAqq9xCpGTKsmBkQJOpgTuYB07VbSnH8JzIg4kHQiZEiCVgiG9CZHY0B3gt7n+s/otNUjwVkZXW6pL/AHmjQLsswPwGtN8od/ie/wDP6egoDjbj3H9vxqyqjaE+fxbt3jy/X1My5Y7/ABPf+f09BQE6Khyh3+J7d+1HLHf4n3/vQCXiPDF9t8WXaZDYzGsBtNDBqr+ysdfPUDLRhtDdOhYax2O+828fw5YQh1g6FmE6Ab7+h/7kJ2HuoYfIxJhmHsKJbrnfLQAnbeBtTOlLVGfJSlqmcv8ADqshikmZEtLMdeYVH2gB5fECIyeI4pRICgFxksxm+UpiAmg2PbePWtS5woVs2ZwIZuliTBABMEdMKY3JkiNazPHjZX+6U5FdOWAIcGVzmDv6fjuKy52o42+lGHiny45S0VfgzOHYpIABBJBUypJIgiBIxkbbHTcGucRfRdcOs7kmIgQ4Ntp6jMeux97j8QOXjBwBgFmAudKyxkT0zoCD6DyrOv3oc8xToGIBY5KDD+eh0P5ST68yaqNRf26b3Rx8tRhyxl9V032+3ks4VlLQ8ohMEgKzALr7UTOpJMeXc16Dh7CagEMCGxwEkAEBswp29nTsvmFjA4sgmNFAAVZxRYALdW5Jgg7/ALVp+GriIO5IMuxBwYdjAT1Ezr6EE28LKpOLV+v8Gjg5cs3Bq/X+C/iuDa22aSR7YAfIBUGmIOpIOsAfqQdPj7l1rZKSYJ9jpz2giZIG+0zHoayuM4u4/LAUwdNiIuHyA9BMjsRvGjFi6xuFFJgzCKSsAqMLmR1j1339d90ZRTajep0oTgm4xun+TT8F4l2Uh9Y+1DDedOrUxtNadZ/LfMe1EjWRjEayJmcp/IbaU4LQjz/qPpG8/O9bYWlTOhiTUafY7c8vf3/apCqrlsab7+v4+Z+dtqV4+4UCxoDoWIdwIBgQpB19Z37kVMtSt0aFcmqbAyVSwKkgEiToTBI+NKeKOFCgMZkSAzAlRI9r7OrDUxOgkaEAlboeubj3/wA1ZSfDWWCqHJLecFj+E6TsNYE66CYpnljv8T3/AJ/T0FDwnRUOUO/xPb+P19TUgIoDtFFFAFFFFAFFFFAFRe4F3IGoGumpMAe8kgfjUqT8R4HnBQWK4ur6YmShkAhgdJ194BoCXBHW5/rP6LTM0lwVkZXW6pL/AHmjQLsswNvIU3yh3+J9I3mgON7Q9x9O341OarZdRv8AE+oPz/FS5Q7/ABPu9e9ASmiaiUHf4nt/FZ6pc5uuWE66rhhicY1zyyPn37UQGG4gZxr6T5ZGDG+8dvx9c7xrUgGN13bGCW+z6k/t3NaR4ZC4aOqD5n/KJj3CJ796zuKCvegjYm3OQLSV5hhSNBB3n8IAIqnCUotIpywlKLQnxVhsjlrrAgE6HqxL7sVA0HmQNtayPEyxuxGeoxYgSykDqOkenkNABERXq+NsKpBEhpJBzIEhYJ6pGWIPlO59a8zx/Csl9GxJQwSzZ+wZyDNqoMT6HYA6qBjz8O5aJ9zm8ZgbVLzr8BR3YKA0jpBCkYiSTj0nRl3kAid/czgtzRUiCSPMArGUluoKEYa+WunkLvFeFhLc9IwAgsp9fvGVt6gH3dqZtC0qATbnU4BuliIGCgHUSZ18/wAs3sqm1eld+plWBrI4t6Uuou1srcKCAV6WAKRi0YqB7R318/KfV/wO8q3Gk6iVOnmWG8bCfWN50kxnjhMHDlziFDCMgSWkOiknWBG52Mn1rRRLa3epXOBjQgKmRDjIhpbU6SD5+tXYk1K+mpowpxlfTX7b342byoCGIEzExrsdvk+dZNxCjg2vZJmUQuYI3DbYzpHl+IKteN2yVQLnq2JwPVBVtstN95j31b4Tw+NpZMsRJ3AmAIx8vZ17z6mtr96fLXTWzpXeXlrprY5wzEqC4hoGQHkfMD8aX4nj8HxiYxkzH94xVYHnqP4k6VjcX4w3DEC6HZmWQpdAZWQ+JBiDkAMiJPntT541Xti4qMXOiKwJZWIBMgHTpEmDrtMmreZG32Ulq1ozUY7e/v8AtXZry3/kb5ZTDlGZ8StrUxBslUcgwwL5e4CV0qr/AMo15oVgCQAhs3br4GCWuG2o6xAG/qu2Zhzol/ryPXg0vxHBo5kztDQYDrvi3qJ/UjYkHAtLxIudGeBgrD8xdpDG5cMkFj7K+QOm1em5Yjz/AKj6R616tSuUXDucubj39u/r+1Tms08V9aEge1HtNlEZ5Y/dnT5itDlDv/UfSPWvSLTRKaJqPLHf4n3/ALV1Vj/smh4SooooAooooAooooAqu7fVYyYCTAkgSTsBO5qylfEOFNxSoYKDodCdPMCGH5yPUGgDgt7n+s/otNUjwVnqutLSXOmRj2V2WYFNcvufie38fr60AN7Q93bt+NWVUU18/ifX4edd5fc/E+79qAsrK8axOkoWUFhbdQ+UgxCSOrQgH/UPdpYdz8T6zWV4rwcQ+ThAwa4odVkWwcWyaCIYIT1AHH3zKPUCNjx0rcW0QrgYIGDnJ846lUiGxOh29RqStU/Sfjb1lnu27Rum2gKW1Li5cCS9zAgY4+RmToIBJQFfhvpUl22oR7dy8bJYG3dVsWhWYN0iG1BgdMTMKJrI/wD6FHudJblvAXmW7l0nlIbjFb5bSOqbbAtoYhmAGlYpJ249Ovr+/wCyuc1FWP8AEfTdl1NpLi5KFa0Lj270hHZkuY/YDGYDaqAOpgtHB/SJldbnEC4yNbNwk/2dreOZCXLJUh8YjU7ggxuRlvxnDsmV7iSQCGVJd+e76C6oSF1MhUHScnWIKYYn0n8Ws3nsWEsmbKCznduKVC3geq6AS0hbROx1bcdJbVDhozVcleX4+ten1+RFyqNs9B4h4m9x3zOIg8w9QNtFGoMErhOIGJknWZYhdhOHFtFuNchWh2CRIVgVOAgk4+camdAIFea8GS0WQ3C/WqlnE6F/rltlVHJyKSCB0xpACqBueL8YXtLyyGtgMWuWrzMvNbIgM9oKVaS+2IBKmZCo3Mz8JGcrX13v7mN4IzvI3v7DLcRcvYqpdSAyYEC2d1wUlpyBQSYkfgZGx/4XT7AaNCAZUxEB940GsTpNKeGeGKyh+pfZLqNSWUZEZHYyT5SPKIBGp4bxfNnbQK3S5cdWRxOghhGo7iqFhjJ8xfhwpvnlr+NCVjhTEP8AflQGZsBjGjmDvJ/GO9d8TbC0VWFkYAk4hS2gJby/mB50l4txihuSG6uiesgkXCVCgjXUI2uh3IkyKYuWyll8vQ6BzCBjtmdcROpjQTpAAqenY3qOqk+55PgEa8QXtsyXGQi2psm2QpYystOJCXSNjqumrFtDhWRVWFW2hGSEZTg5JzuKjAqywVMGIYmQAyr57i+J5a/VsoVYN48KOZOhW04ykBSwiY9wjWvXcA6vbXO21m+IW5btwrZsoLKCDBUhdDOgG4IqjHK3Rvz8yV1pe/489V5KD4l/di4uGoCocrWKGVtXBcnQN5ruA2JGQhr08Ys3Li2cWWGNtWU4gOg6kBU6r5e+NAYNYHiPHW8GS2rMeWy3Ldo4uqqGDWi1xvslSJXUQYExCVhbNziOah+vY22+qtE9VmHblSSisVDKZ00gHq1k5+D2PDRabkmv4+Phep7m9Ya22Y9hdoZpCqscsW4xMkbzOvYUzwHGZzIXpjVGzXqAI6oGuu3oQfOvKC2/EXwecpDE4G48stkYqytw4hc2aYJ8jqJUU1xnGq11eW+MqGVmQtkEOrWRkJDMQGOmmuzTVikZpYO3evoequbj39u/r+1WVjt4jopHSWjLMPigIYj00JBAJgeW4Cl/hepFJBUsoJBJkSBI94qVmZxa6jNFQw7n4n3/AL11Fj/kzXpElRRRQBRRRQBRRRQBULl1VjJgJMCSBJOwHqe1TpTj+HLjEEAHR5UnJCIZRqIn110n3gDvBb3P9Z/RaamkeDs9V05Nq50nQdIGgpvl9zQHGOo93bt+NTmqmTUanb1/47/lXOIIRWYkwoLGPRdT+n50BhfSPxu5bzS0oyVciclDBN2dVYQ0DL+lvQB/PtxdwWrlvig0MuZF+4DcKIylCtoqVLnfBZBJwOo0d+k9xnJULg2+d1/7pABkiopIZrmRAYGRv7S2w2fxvG8kG01p3e6+Vu1DXDaCLbIi/dMMY1I2HNA0iG3YoLlSS1++9+Li2Z/GcHbQ4JdXiTdJuK2YUu5eWKJZVW5iTr1ZHmRKZEjyvEcE+ObAxfJe5Au2UW0yOAzyRgrM0yYDPMyKr4j6RX0dL2fQxWTdQFHVMmJBIPm+QC9PV5F2QY/jvixuu4YAF3EtcFpbgdlWWa5bALIrqMWgaKfZDYD6HheCzc2rVPrvTpoUykiJ4Il7dx76lbsIbpIFsSkFOZEqyySVAGkAlWinuLBVzcVHUXZI5VrpwIGNzMkm9kyEdJ83jFnisvivErzLbyZoS4SUtXNRd0GQSCAxy1IyktBgmpW/EebyVcF2RlWycpi3jDhjiDKkA6RuCJ3PUlhyyScqapr5br5emhXp0Nnw/icFxv3EUywYM+KMWzBuiQQXSF6VEqSFESwT3H0XvsUBZw9w5MzW7iwXtqrKUyYBUwUEEgAg+e4+U+NlJKW2YRIJvYpkLYDKgVRipGUAq0GT6gtp+A8C4a1LWyhwe4bqm2FsliuKsR9dbuIsQNiSSBDNXL47/GQy4Lvlt3Vfjx+u9IRhCnFr9n3Th/HbAfk2blpnUBmtlwt2XaD9SRkG1Bgge0o0BkMci4iXCzxCatm7ZMJJcAj6vTyX1/yifmHFcc6XCt64pBVrpS6tywbLBgpVDieeyoEO6qY3h9fbeF+KvdluYXQKuzWmG7rdS4AAcjsN9RuYYn53NwjxRTj0NUGkMeH8EH4gsxhlcNy2uB3RQgABOpKlgG9qJjTQEU+MK9y8cyFtgwcwFC2wPaF2elmY6e7zxIApNu8QgZALkYnlkoboDPFtAXuErMENACxspFIfTXxS6LYQBsgJMK2r3GZLCmNUyE7keQma50+WKOjhjPJkSXfRehm+NeGPzFv5c0MuAPMTE3MkCAMNLi4SYYAkTMqDCXE+NLZYIAoyUFgt1hca4SUQE5YoQVnJWkSCdoPfo7xF6w7c8M9lSOYCwbMXgy2wLWMucwuoA9kmKrPCW7jsxdVtKDDII8pUBmtwXLEAkHUKDEuxrK3esTsxioy5cvvRS0a6ei07/cjx/E2bQRRcS9oGOallE63FtgIeZJ1JYkRgBkMjTgNmzbFzdw08pi6IM3CJcQKdQMliNhbiTgsZvh/ALYuhnYG30DRmtcy3cGINsAyQWhi0E+wNya2vHbVo22S3cAZNbiZk3WKD6pgjwwKkqFMgsIWQWEI3TZ7l9mpxhFtp9X5/r+38RPw/WGQAg220t2wTctiUvXXcNpt0giJYaQOn2X0f8NsnmMmIyZeYE1U7OoXKSkzkR55Bh7QJ8L4Zxg5bJmrS5cjJCzOqYyWYQRgJgfaj1K1rfR7xF7n1eS9aqQ8vbRNSzWXVhDGCwAWfPaZM8c4qjNxmDI1KtK/G/wDng9fZs20uF1dSFYS3MLMoxKraMk9OUkCdyYE61s2bwcAqZH7jQg+hBBBHkRXkuO4F04YtbZ+pMlFsKmBUA2lk+ys+05OhAMjWmvA+PxyW5AIZi2DtdwxKglnxEqdSCQoGo2E1oUqdHInico8yd1oeomiqwnc/H3/z+QqSrFTMxKiiigCiiigCiiigCuFq7S/GcMLgA00dWBImMGDaemgI/GgI8Fvc/wBZ/RaapDg7ZyunNoLkY9MDRdRpM+8+dOQfU/l6+6gONuPd/HepMAQQdQd59KQ8VLi02DHPEhTE4kwocgLqFnKOx/DP8B4xySrxBcquN1rhOABLEOMlQgiNSIKkHqBPvK2rBLx24llUVAilnEHDMgmBoB7LNGIYkCcVBllrE8aspxFi1zbRLu4bF7htl7ZDDS8h0hcVLaGCATDSdLjfCntIWDnFbcOLWCG4bYlXuMwM7tPv8xpXmPHRz2N2zCi2iXGDtikKzvmpDEG22eqRIMZKctdmCNtNP5kWfNfpC3E3mW07XNckW21y0zAWtETcEguCcmJJyB6tGfPBRlCO8x9UrallCjIlk1AVeYZMkAL0iZavf+KcanEYm2eYowabfLx5iYhWDXRl7RgqrMZmYlJ8f9LvDuXjdk5XIN5cVty1zqZQFVSNtQVEEEws4j6/geKU+XFJcvivO/P6zyVamDc4h1hWUoADgCsMpOJkkY5HoWSZGpIExS9iWcQFGsgFiFECTqTI0X1n08qd4+5mLbXSSzWsVLMTonRbEM0hQogHQT5EAzSlxEbqCuJxIK/ZU6sCpGpAA3nVtQYNdzHL3NFqVl/CZXC3WiyyuQzBbMHqYMCdpiQJPlGkjR8I8LzxLnG4nSocCEgFrTksVQ22JiJOoBkg4nM4C2brllXqVJ+rAUK5bFNCCPNdQJ8/ItTnhrTxSLbRUBcKnOSTKtqNA2TSxEanRftAVj4nnUZKGjSv4b36zgk37x67ltxIxyyQouStdjMNlcQJ7KoALTdTLcU4LoRig9bwdlzb5Za2XCluIbquqhuqkg20xKjC3gpaf7pwZJJrwHh7YkGSzjEW7j2lcC6VfnW3No6qqkkZEAQZECV+h/RqyUsYEKbSEqrgDhTHFHQwjEm2WxgRBDKeopNfKf5GHJGr07b+m0X4nrZ6HnpaAcNgUyLoyEtaF0ZsWCkM4kKo8tdZIGKX0h4tHs58uL4gRcPKKsoNxRDSCWWYXuQSMSRm+GLZ4dsbzG4pADCLb8y4yMLjXTLZKytiAWJk3NwOn0XhlywwNsqFFwmVuuHZihxKuGmGkyFkj4EVwM0adWbcT5alyvQp8N4e21jNwVYP9XoguKbgBCDSBJbLy3B6fLE8M4Ni/Vde3ySF5kgsLt0lQStwFW6QQcdNY2QKNP6Q+Ccy4uBlRCsG1Cs7DHqmTJOuh9oEzpHnuI4m/YuC1ikobmRWziEwUw6gbBkca5SISSICtllpVm7AnNPker1rwt/nuZviPAD+0FbbBlRiMTbU8xbaQ1xtVmVPs6K5mIDAUp4RwLsj2gXjFWjZdWXlNp1ISwB3O76AyK9BwH0fLsTkwDs2wFzFQpRk5Zg6uzbqCQ5ke1TXB+AC3bJVFUmGcMGYWQurJcfVmJxgFTCiDqIZqfZNu6Ok+OjCHJzW9O3dPe6Mzwbwo3HFtn0Y3rSuCOWt0lbqmzuxlVuNMjVdCAZb03jfhSKNIU5KeWDjZUNKrvs05tIG5MjWayrPgLoi3Q4bRFIjFreOqJGOhiBJBaCAJISt3ktxZDyRqVDrbUobZWS4Zpkhz0mSOkEDUmrYQpU0c/ic7lkUlLTv8QsHirVkhyxu4kWwcWLOFkYQTA0bVp+zMmZn9G75vqRdDwB9W7KbXMtmMlKA6qGiJmQfMzTvh/BoUhXkSI5RKR04hgRqchrMwZG+5cfwpMGRFVQ0Awq6gGQGEdQ8iDuCfWrVFmCWWNNVq31qq3vsO23BAIIIOxHnU6U4ThCgPVJJLGAAJIjRdY9ffJ86ZUVYZmSooooeBRRRQBRRRQBUWcDepUj4nwRuiBGzDXyzEZDuNwNPeKAs4I63P9Z/Rarvcfi+OJgFQTI0NwwsLuRpqe+kw2JwVs5XTm0F/Z6YEBdtJ17mr24YEhjqw2MLImZgxI3/ACHeQE7Fq5zZYnHqklpDAsOWFT7JA3P6zI0MBMwJiJjWBsJ/E1WUM+0du3bt29fM9ongfvH8u/bv+Xvo3YMPxXxnkZG7onUIKOAFAkNzQDIgEtAMDusN828U8De07m2JtsZysWshdtWrcJBfoAVmJIg7EKT7I9bxvg925xAQu0KSNLTpzLbKGZ7vEA4MWZVTEDQ64kDEV3fHr3D2cBywBgrtctXOVwisXDrdUHJlGKhdQI+1AybpcPJ469nq318em/pqQlr1PmvD2zw1zm3x1aMeY9xQWu542w1tNMDbLkzpDaAyKj494i/Em3YYsS9yFIu580s0g2yVhVbNDqxBbfHUr7bx3jeGu8NZvOLov2vrHa1mjKjQjS7kYh7TZKrnYgaCRXyy7wQtktCMguBVuFQRjbLSr7KXJwBMwdeqDJ+j4GUeIl7SaqS0Xx9Pz6/IplpoVcU2y3Ix09phILAC7cxtnqYGIk6xsdcaPEPDx0co5hoxaAAZJUAgCFYY65GeoGpM7PleYAPoVVUKgxqWBtwF6UcmfIaeq3eHWb9shkEMssLTswZunMMtlYaMB7W2m+wruKTxq09V27XvuVdRK3wjpdFsyHY44hCX64xhWC+1kPMH93jweeJe2smFADIouFyEDKy+Y0OPkMT7JMyueGuvE4lmUoQywqEqkF0+rLL1TAIIGpM6nX3Hh/0I/tTIeamBXNlNyLUBgrkWgC6nEghi0kuDIxxbLxfH48XLKUuqu9+SUYtmX9HkFw5uzWzzBDszj64/VkBrQZgcCoNtzs5A11b3vgyrxIW2yctgLq2b0JzQz6XDeTRwGz9gE7kkgrKZ3gH0dFm6C2QIANxurqvcMf75DcgPcOTHcoMSxkBcvVX+KwdX4ZQC5i5cbhbly4zknO2xTFrbCJlpAmI9mvkeP4hZcjUenb0NWP3Vfcy7PgAssUdFZi6FhZslLeBFtQcycQxdD06LIBKgAEes4TwzTzST1L0Syhiy5sAerU6gyQdTOtWi3buOpaOYsEpkpKkSwDAbwTp7pHnL2B+8fy/j8fxrjzfMy55ZPqzzvFXb54sAWulXUSbco9jGWc3tldXJhf8ANpuSt3i9i1xABxVmAxQXLJYzc1RkDYwRiSGmN9RV9jjjk2bHEByww0HLcABDHWCCQYnUDaYrh4QMsJmCrKGVmhoUSqq+sRkGEH1Gk6V0W81NaVXg8l4DwK2rzS6AvNrFUZrmgNwtcAGokRiApOs4kMten4bgzZsXGLK6sggKSqnSMiTOEyCT5an3V2PBEtYNdukFWOIyChSwjHmQC5AGORidyMiTWhw/E9fKGgWVADDIBBEsmOinSDPmvrFeQjRZxGd5Jc3Xz8jK8N4i6A7XNVJxdruGOeikwo9kAR6EmJ3at/hbguJJA1EETI/A+YI1G2h2rqOs4q4ld1BWQNI6fIeX41RwPhptmc56QohQpIE6udcm6t9PPTU1JKjPOSlrVFtnhMDMliYEsZOKzA8tpPqdacql1MjU79v47fme1TwP3j+Xft3/ACHeZFTdk6KrwP3j+Xbt2/M9qmooDtFFFAFFFFAFFFFAFcJ+ffXaV4vhM412ZGAIBAKMGkaTJAjf95AOC3uf6z+i01SPBWuq6cjq+06CAu1N8vufkR/zQA24938d6kTVTJ1DXyPp6g+n71Ll9z8iKAW4bjczGJEjJSY6lBiYBlTtofX1BA8l4n4Xe4njBzElMnUhheCpaCry3kMLV2WBIB1BumIKE17O3wiqSVAUsZYqACx31IGv/JqZt9z8z/P5CrIZHjbcTxqz519LvBUF43Dk0G2WuE5XLZICkhDo1vC2usQCjMdUZhk+KfRNBw7G255v92yuGuKrw1xTybSZkO1ySse0FDKwyVvaeMeKtbupJCibgOmLIiwAxuP04sQp+zvuYIMeI8FZ+FW4AVurbLotv6tle7Fy4oZdzkNBESqkgkAjbi4rJBRt0t73rFxTPmz+CWrIts2X1hYraWwVKiRihvNoAWkgAzCCCTMt+J/R1LK2OItvcS23LuXAAo5d63KEAgkgEgQqZAcvQg4T6yz4IeJ4c2yuWLBravxDLlbgG0Xu2lnMHJgCpxzQ6woqzxzh2s27IZY5QHIxYK1u5KqgUQQ++o1iVENOaa/9+bkleuqfTVb9Pr0I8h83ThTfuMcihcPhjiHZXOVhmYusL0paK9MERICjD2lnwHiGFvHHJXt3AmI5YxUW7ltcgAVFhiApBIIG0ElXwfwYKFawbioclY8KLTGbha2OY15RkGcHQ+yCmuIlfQ8O1w3lZwSygNeKlwtplugPyZbG5zNQwUTAb7RCM4rinJ1B6Lt/D/YjER8L8Ma1Fh1vMMWt5M1x0u3SRdtqk3COGCohJZMerEBskg+wu2GsqBaDQSSxVQ7ZAAIMdAFMAEiIjyksDi+Bt2yb4X6yRLFiFBMWzcK+yCFOrRMCJim+BucxQx9T7JkGGgEabGPz8965WXK8j5ntliVFPD8EVKsSZ6jiNla71P1ASwnadPeYh81Vct7an8vRvXz9381Ybfc/Mfx+Zqiz0ymtWyzJDQ2dsMTKguM3VQT2nURpA9K7w/AGzbflwCSDFsRtAZusmXInU+ijykvf2JMs46vX8In3xpPoAKt5Xc/Mfx+Zryibm+iMHj+GvOEIZwRmFMWSTlAUXFYFY39nWAJ8wde5eFsKoUsYgBYJhRqSWPl6k+dXNb21O/8APp7/AMhWN494a93HGWAKnR8WSD1MgjFiV0IJEjIfarxquhJNTaT0Q/w3CqSLgclTLKIA/vNSSdyPQd/OBD9KcDbYIA0gjy00EnEHHSYgGNKv5fc/IipIrk9Tr7j3/PnU6pdNRr59u59Kny+5+RFDwnRUMO5+f+q6qx5mgJUUUUAUUUUAUUUUAVF7gG5AkwJ8ydgO9SpPj+FZ9ARB0ZW+7rliQJBMgE+g0g60BLgt7n+s/otNVnW7d1HuEAsrNIGSARAH3ZmR6mreZd+4f617f5e35mgGW3Hz6fhU6zDxFzmAYr7JJXNMtSIMROO4/AVfzLv3D/Wv/wA/jQDlFJ8y7/h/719Z9Pwo5l2PYP8AWvpH3fxoBfxmzInUGChIk9Dlc5UakaeRBHrvDfA3CyAsIOo2KyASAcTqJABjvSr3rnMUYj2WJXmLkdVggRsAGE9xS125xPNEI+OmzWcMY6i5K55SSRGkhPLKveqoE0so16VIHVl/dkMSnQ2F2fZk6iNcm9a1OIsB1xbbsSNtRqKQt8OysWFoyZ/9sgZEM0KdFkjyimOZd+4f617/AOXv+Qo3qCK+G21Kwuxnc6mS0nXqORJ1mCfKqeJ4FbYzVcmWBbyGYtKzDLBRrAGsAzCgSABBxd6+OpU2DdJdeoxKgdM7g/E1HgOKvNOSEwdDHLkRPssJ3MT2HefbfUDnA3WdZYeZEwVkA6MFOoBpkCkw937h/rXt/l7fma7zLv8Ah/71/wDn5iogZuHb39/Q/OtTrMv3rkoIAkn2nSWGJHSMd5g+6fdV/Mu/4f8AvX1n0/CgHKKS5l37h/rX0j7v4103Lv8Ah/719fd+FAM3fL39v3qQFZvEX7oKCAJaNbijLQ6Dp1OxjtV/Mu/4f+9e3bt+dAOUUnzLv3D/AFr3/wAvf8hRzLv3D/Wvbt2/M9qAZfce/wDmp1l8TxFxYYhVAMtm6ABdRvGmrAfh8bxcu/cP9a//AD8zQDtFJ8y7/h/71/j5iruHLfaEfiD+gFAXUUUUAUUUUAUUUUAUUUUAUUUUAkvBEXS+QgtlEa5YC3v6Qs7U7RRQBRRRQCt3hibitK4rqBHVnDCcp2hiIjzPaGYrtFAFFFFAJ8VwOd21cy/uiTjAIOSspM+R6t/SR503FdooAooooBLiuCLXEcNGO411Eg+seRGs7zuBTtFFAFFFFAI8fwBuNbbKMDrvqMkbyP8Ak2MjWfIU8KKKAKKKKAR4rgS1wXFKhlHmszExJBmOo/GmeEs4IqTOKhZ9cRH7VbRQBRRRQBRRRQBRRRQBRRRQBRRRQBRRRQBRRRQBRRRQBRRRQBRRRQBRRRQBRRRQBRRRQBRRRQBRRRQBRRRQBRRRQBRRRQBRRRQBRRRQH//Z">
          <a:extLst>
            <a:ext uri="{FF2B5EF4-FFF2-40B4-BE49-F238E27FC236}">
              <a16:creationId xmlns:a16="http://schemas.microsoft.com/office/drawing/2014/main" id="{00000000-0008-0000-0000-000001080000}"/>
            </a:ext>
          </a:extLst>
        </xdr:cNvPr>
        <xdr:cNvSpPr>
          <a:spLocks noChangeAspect="1" noChangeArrowheads="1"/>
        </xdr:cNvSpPr>
      </xdr:nvSpPr>
      <xdr:spPr bwMode="auto">
        <a:xfrm>
          <a:off x="7924800" y="2011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xdr:row>
      <xdr:rowOff>0</xdr:rowOff>
    </xdr:from>
    <xdr:to>
      <xdr:col>13</xdr:col>
      <xdr:colOff>304800</xdr:colOff>
      <xdr:row>10</xdr:row>
      <xdr:rowOff>121920</xdr:rowOff>
    </xdr:to>
    <xdr:sp macro="" textlink="">
      <xdr:nvSpPr>
        <xdr:cNvPr id="2050" name="AutoShape 2" descr="data:image/jpeg;base64,/9j/4AAQSkZJRgABAQAAAQABAAD/2wCEAAkGBxQSEhUUEhIWFRUVGB8YFRYUFhgXGRUVFB4aGRUXFxQZHCggGRomGxUYIjEhJSkrLjAuGh8zODMvNygtLysBCgoKDg0OGxAQGzQkICQvNywvNTQsNCwsLCw3LC0sMCwsNC80LywsMiw0Mi00MDQ0LCwuLDQ0LywsLSwsNCwsMP/AABEIAMIBBAMBIgACEQEDEQH/xAAbAAACAwEBAQAAAAAAAAAAAAAABAIDBQEGB//EAD0QAAIBAwIEAwQJAQgDAQEAAAECEQADEiExBBMiYQVBUTJxkfAGI0JSgaGxwdGSFDNTYnKi4fEVQ9JzFv/EABoBAQADAQEBAAAAAAAAAAAAAAACAwQFAQb/xAAtEQACAgECBQEIAgMAAAAAAAAAAQIRAyHwBBIxQVFhEyJxgZGhsfHB0QUU4f/aAAwDAQACEQMRAD8A+40UUUAUUUUAUVFXBmDMGD2PpUqAKK5NdoAooooAooooAork0snFS0QdyAdIJXcbz6142keNpDVFU/2hcsZ1/eJj3xrFXV6E7Ciiih6FFFFAFFFFAFFcJrtAFFFFAFFcJrtAFFFFAFFFFAFFFFAFFFFAFVX+IVIyMSQNidToNh61bVV6wGKzsrZR5EiYn3GD71FAVcEdbn/6H9FpmaS4OwMrp1kuftNHsgaCYH4U3yx3+J9/7UBxtx7v47fvU5qpreo329T/AD3PlU+WO/xPb+B8mgJTRNR5Y7/E9/5/T0o5Q7/E9v4+ZoDk9Q9x/apzVeHV5+fmfX/k/OxgO/xPu9e1AIcBw9xbjFiYIMktORmVIH2dJEe7eBTwsqDMCTuY1+P4VIgD/s+s0vfWVGBJE64tqViNCTHp/wB1BJRRWoqCo6bK5A67z5xlETHuqN/jgpjEnULpHtMJA1Pp50ncfBk5jQTqBkcoG4wXefMjTWNgKt4i7Z0PSTICkmDJkCHPl7Ws+R86g5KtNCDmqdaD9q4GAI86XHF9eOm8b67TJHp/x60hwguFspK2xO7AKFBGgUb+zv8AtILvFMOXKEnUDRjqJggNOh1Ov6RI9U7jZ6snMr2xpyJHv7eh+dKsmsuxxMQGDSGhtZiSQgJB12H761oNiCJMTtJOp179/mKnGSassjNNWWTRNQ5Y7/E9u/b5mu8sfJPc/vUiQXPL31IGqntjT9yfSNz51MWx8k+s0BKaJqPKHf4n0j1o5Y7/ABPrNAcc6j3/AM9qnNVPbGm/xPoR69/nymbY7/E9v4oCU0TUeWO/xPf+fmKkqxQHaKKKAKKKKAKKKKAKqvX1WMiBOgnzq2lOP4LmR1YkE6jykQSNdGG4OsHWDQHeC3uf6z+i01SHB8OM7rS0lyPbaIhdlmAdNwJpzl9z8T7/AF70Bxtx7v47VZVJtdzt6t2G8/O9T5fv+J9Z9aAnRVfK7n4n0jea7y+5+J9/r2oCjir2Oun/AGR/3t5eXnnXC9xhtGqghWKkH/2K06ERoPzMzTHHcJLAz9nGCTMzIxaelu/YHWBGdf4u67Qs7NEB1lgQp0nSD66a++s+WVdTLmnWj/Y/4zxeKhdddzjlEa6rInb8jprS3D+LKsA6ljJ+zqwylQRGOm+XfvV1lFcfWfZAdTlliCDrJ22Jj3emmbdsWjqiuAo1lyYyXTckqYHl2PcVzlO+aLKsk8ifNFrfU7xKrxF1WkoG1XL7QQ46MpleojpkT7zpzi7C28BcJAAAmQ2O+RRY2IG3lG0aMnzgo6A4aMX6QJIOuM6BZO+u+1I+KcVmBnOSyOqSIUgEZk6mV39xNYsuaEYuXf7b36nPzcRCEJSr3vtvfqbF27DwCQo9kgE9NsDRVAmAIbvqPNSHPC/FA7lDrkTvMnSRkIgaACPxrAAULLFQZxxLHJRAghg0Eagdh7jTXBqbmRJJKwXkmAUlFJaZxKD36HvMseaXOq2iWPiZe0SX09N/M9IcM1GA6TA0GhgsIHpqdfWr+J4XM7xoVOgOh3j0Om//ABXnb3CkAC24L6kAKVIDeyCTqyBVMeuPntW9wFs4dZMyYMkaGY08tD+h08t+OXM3Fo6eKbm3GS38h1RXarwnzPxPY+vb5mu8vufie/fv+noK0GoLnl7+9SFVPbGkk7+vz6fr6mpC37/ie/fv+noKAsoqvldz8T279v19TXeX3PxPc+vf5igOXNx7/wCe1WVS9vYSfi3pG8/Pv1qfL7n4n1n1+dtqAnRVfKHqfifSN5qSrFASooooAooooAooooAqq9xCpGTKsmBkQJOpgTuYB07VbSnH8JzIg4kHQiZEiCVgiG9CZHY0B3gt7n+s/otNUjwVkZXW6pL/AHmjQLsswPwGtN8od/ie/wDP6egoDjbj3H9vxqyqjaE+fxbt3jy/X1My5Y7/ABPf+f09BQE6Khyh3+J7d+1HLHf4n3/vQCXiPDF9t8WXaZDYzGsBtNDBqr+ysdfPUDLRhtDdOhYax2O+828fw5YQh1g6FmE6Ab7+h/7kJ2HuoYfIxJhmHsKJbrnfLQAnbeBtTOlLVGfJSlqmcv8ADqshikmZEtLMdeYVH2gB5fECIyeI4pRICgFxksxm+UpiAmg2PbePWtS5woVs2ZwIZuliTBABMEdMKY3JkiNazPHjZX+6U5FdOWAIcGVzmDv6fjuKy52o42+lGHiny45S0VfgzOHYpIABBJBUypJIgiBIxkbbHTcGucRfRdcOs7kmIgQ4Ntp6jMeux97j8QOXjBwBgFmAudKyxkT0zoCD6DyrOv3oc8xToGIBY5KDD+eh0P5ST68yaqNRf26b3Rx8tRhyxl9V032+3ks4VlLQ8ohMEgKzALr7UTOpJMeXc16Dh7CagEMCGxwEkAEBswp29nTsvmFjA4sgmNFAAVZxRYALdW5Jgg7/ALVp+GriIO5IMuxBwYdjAT1Ezr6EE28LKpOLV+v8Gjg5cs3Bq/X+C/iuDa22aSR7YAfIBUGmIOpIOsAfqQdPj7l1rZKSYJ9jpz2giZIG+0zHoayuM4u4/LAUwdNiIuHyA9BMjsRvGjFi6xuFFJgzCKSsAqMLmR1j1339d90ZRTajep0oTgm4xun+TT8F4l2Uh9Y+1DDedOrUxtNadZ/LfMe1EjWRjEayJmcp/IbaU4LQjz/qPpG8/O9bYWlTOhiTUafY7c8vf3/apCqrlsab7+v4+Z+dtqV4+4UCxoDoWIdwIBgQpB19Z37kVMtSt0aFcmqbAyVSwKkgEiToTBI+NKeKOFCgMZkSAzAlRI9r7OrDUxOgkaEAlboeubj3/wA1ZSfDWWCqHJLecFj+E6TsNYE66CYpnljv8T3/AJ/T0FDwnRUOUO/xPb+P19TUgIoDtFFFAFFFFAFFFFAFRe4F3IGoGumpMAe8kgfjUqT8R4HnBQWK4ur6YmShkAhgdJ194BoCXBHW5/rP6LTM0lwVkZXW6pL/AHmjQLsswNvIU3yh3+J9I3mgON7Q9x9O341OarZdRv8AE+oPz/FS5Q7/ABPu9e9ASmiaiUHf4nt/FZ6pc5uuWE66rhhicY1zyyPn37UQGG4gZxr6T5ZGDG+8dvx9c7xrUgGN13bGCW+z6k/t3NaR4ZC4aOqD5n/KJj3CJ796zuKCvegjYm3OQLSV5hhSNBB3n8IAIqnCUotIpywlKLQnxVhsjlrrAgE6HqxL7sVA0HmQNtayPEyxuxGeoxYgSykDqOkenkNABERXq+NsKpBEhpJBzIEhYJ6pGWIPlO59a8zx/Csl9GxJQwSzZ+wZyDNqoMT6HYA6qBjz8O5aJ9zm8ZgbVLzr8BR3YKA0jpBCkYiSTj0nRl3kAid/czgtzRUiCSPMArGUluoKEYa+WunkLvFeFhLc9IwAgsp9fvGVt6gH3dqZtC0qATbnU4BuliIGCgHUSZ18/wAs3sqm1eld+plWBrI4t6Uuou1srcKCAV6WAKRi0YqB7R318/KfV/wO8q3Gk6iVOnmWG8bCfWN50kxnjhMHDlziFDCMgSWkOiknWBG52Mn1rRRLa3epXOBjQgKmRDjIhpbU6SD5+tXYk1K+mpowpxlfTX7b342byoCGIEzExrsdvk+dZNxCjg2vZJmUQuYI3DbYzpHl+IKteN2yVQLnq2JwPVBVtstN95j31b4Tw+NpZMsRJ3AmAIx8vZ17z6mtr96fLXTWzpXeXlrprY5wzEqC4hoGQHkfMD8aX4nj8HxiYxkzH94xVYHnqP4k6VjcX4w3DEC6HZmWQpdAZWQ+JBiDkAMiJPntT541Xti4qMXOiKwJZWIBMgHTpEmDrtMmreZG32Ulq1ozUY7e/v8AtXZry3/kb5ZTDlGZ8StrUxBslUcgwwL5e4CV0qr/AMo15oVgCQAhs3br4GCWuG2o6xAG/qu2Zhzol/ryPXg0vxHBo5kztDQYDrvi3qJ/UjYkHAtLxIudGeBgrD8xdpDG5cMkFj7K+QOm1em5Yjz/AKj6R616tSuUXDucubj39u/r+1Tms08V9aEge1HtNlEZ5Y/dnT5itDlDv/UfSPWvSLTRKaJqPLHf4n3/ALV1Vj/smh4SooooAooooAooooAqu7fVYyYCTAkgSTsBO5qylfEOFNxSoYKDodCdPMCGH5yPUGgDgt7n+s/otNUjwVnqutLSXOmRj2V2WYFNcvufie38fr60AN7Q93bt+NWVUU18/ifX4edd5fc/E+79qAsrK8axOkoWUFhbdQ+UgxCSOrQgH/UPdpYdz8T6zWV4rwcQ+ThAwa4odVkWwcWyaCIYIT1AHH3zKPUCNjx0rcW0QrgYIGDnJ846lUiGxOh29RqStU/Sfjb1lnu27Rum2gKW1Li5cCS9zAgY4+RmToIBJQFfhvpUl22oR7dy8bJYG3dVsWhWYN0iG1BgdMTMKJrI/wD6FHudJblvAXmW7l0nlIbjFb5bSOqbbAtoYhmAGlYpJ249Ovr+/wCyuc1FWP8AEfTdl1NpLi5KFa0Lj270hHZkuY/YDGYDaqAOpgtHB/SJldbnEC4yNbNwk/2dreOZCXLJUh8YjU7ggxuRlvxnDsmV7iSQCGVJd+e76C6oSF1MhUHScnWIKYYn0n8Ws3nsWEsmbKCznduKVC3geq6AS0hbROx1bcdJbVDhozVcleX4+ten1+RFyqNs9B4h4m9x3zOIg8w9QNtFGoMErhOIGJknWZYhdhOHFtFuNchWh2CRIVgVOAgk4+camdAIFea8GS0WQ3C/WqlnE6F/rltlVHJyKSCB0xpACqBueL8YXtLyyGtgMWuWrzMvNbIgM9oKVaS+2IBKmZCo3Mz8JGcrX13v7mN4IzvI3v7DLcRcvYqpdSAyYEC2d1wUlpyBQSYkfgZGx/4XT7AaNCAZUxEB940GsTpNKeGeGKyh+pfZLqNSWUZEZHYyT5SPKIBGp4bxfNnbQK3S5cdWRxOghhGo7iqFhjJ8xfhwpvnlr+NCVjhTEP8AflQGZsBjGjmDvJ/GO9d8TbC0VWFkYAk4hS2gJby/mB50l4txihuSG6uiesgkXCVCgjXUI2uh3IkyKYuWyll8vQ6BzCBjtmdcROpjQTpAAqenY3qOqk+55PgEa8QXtsyXGQi2psm2QpYystOJCXSNjqumrFtDhWRVWFW2hGSEZTg5JzuKjAqywVMGIYmQAyr57i+J5a/VsoVYN48KOZOhW04ykBSwiY9wjWvXcA6vbXO21m+IW5btwrZsoLKCDBUhdDOgG4IqjHK3Rvz8yV1pe/489V5KD4l/di4uGoCocrWKGVtXBcnQN5ruA2JGQhr08Ys3Li2cWWGNtWU4gOg6kBU6r5e+NAYNYHiPHW8GS2rMeWy3Ldo4uqqGDWi1xvslSJXUQYExCVhbNziOah+vY22+qtE9VmHblSSisVDKZ00gHq1k5+D2PDRabkmv4+Phep7m9Ya22Y9hdoZpCqscsW4xMkbzOvYUzwHGZzIXpjVGzXqAI6oGuu3oQfOvKC2/EXwecpDE4G48stkYqytw4hc2aYJ8jqJUU1xnGq11eW+MqGVmQtkEOrWRkJDMQGOmmuzTVikZpYO3evoequbj39u/r+1WVjt4jopHSWjLMPigIYj00JBAJgeW4Cl/hepFJBUsoJBJkSBI94qVmZxa6jNFQw7n4n3/AL11Fj/kzXpElRRRQBRRRQBRRRQBULl1VjJgJMCSBJOwHqe1TpTj+HLjEEAHR5UnJCIZRqIn110n3gDvBb3P9Z/RaamkeDs9V05Nq50nQdIGgpvl9zQHGOo93bt+NTmqmTUanb1/47/lXOIIRWYkwoLGPRdT+n50BhfSPxu5bzS0oyVciclDBN2dVYQ0DL+lvQB/PtxdwWrlvig0MuZF+4DcKIylCtoqVLnfBZBJwOo0d+k9xnJULg2+d1/7pABkiopIZrmRAYGRv7S2w2fxvG8kG01p3e6+Vu1DXDaCLbIi/dMMY1I2HNA0iG3YoLlSS1++9+Li2Z/GcHbQ4JdXiTdJuK2YUu5eWKJZVW5iTr1ZHmRKZEjyvEcE+ObAxfJe5Au2UW0yOAzyRgrM0yYDPMyKr4j6RX0dL2fQxWTdQFHVMmJBIPm+QC9PV5F2QY/jvixuu4YAF3EtcFpbgdlWWa5bALIrqMWgaKfZDYD6HheCzc2rVPrvTpoUykiJ4Il7dx76lbsIbpIFsSkFOZEqyySVAGkAlWinuLBVzcVHUXZI5VrpwIGNzMkm9kyEdJ83jFnisvivErzLbyZoS4SUtXNRd0GQSCAxy1IyktBgmpW/EebyVcF2RlWycpi3jDhjiDKkA6RuCJ3PUlhyyScqapr5br5emhXp0Nnw/icFxv3EUywYM+KMWzBuiQQXSF6VEqSFESwT3H0XvsUBZw9w5MzW7iwXtqrKUyYBUwUEEgAg+e4+U+NlJKW2YRIJvYpkLYDKgVRipGUAq0GT6gtp+A8C4a1LWyhwe4bqm2FsliuKsR9dbuIsQNiSSBDNXL47/GQy4Lvlt3Vfjx+u9IRhCnFr9n3Th/HbAfk2blpnUBmtlwt2XaD9SRkG1Bgge0o0BkMci4iXCzxCatm7ZMJJcAj6vTyX1/yifmHFcc6XCt64pBVrpS6tywbLBgpVDieeyoEO6qY3h9fbeF+KvdluYXQKuzWmG7rdS4AAcjsN9RuYYn53NwjxRTj0NUGkMeH8EH4gsxhlcNy2uB3RQgABOpKlgG9qJjTQEU+MK9y8cyFtgwcwFC2wPaF2elmY6e7zxIApNu8QgZALkYnlkoboDPFtAXuErMENACxspFIfTXxS6LYQBsgJMK2r3GZLCmNUyE7keQma50+WKOjhjPJkSXfRehm+NeGPzFv5c0MuAPMTE3MkCAMNLi4SYYAkTMqDCXE+NLZYIAoyUFgt1hca4SUQE5YoQVnJWkSCdoPfo7xF6w7c8M9lSOYCwbMXgy2wLWMucwuoA9kmKrPCW7jsxdVtKDDII8pUBmtwXLEAkHUKDEuxrK3esTsxioy5cvvRS0a6ei07/cjx/E2bQRRcS9oGOallE63FtgIeZJ1JYkRgBkMjTgNmzbFzdw08pi6IM3CJcQKdQMliNhbiTgsZvh/ALYuhnYG30DRmtcy3cGINsAyQWhi0E+wNya2vHbVo22S3cAZNbiZk3WKD6pgjwwKkqFMgsIWQWEI3TZ7l9mpxhFtp9X5/r+38RPw/WGQAg220t2wTctiUvXXcNpt0giJYaQOn2X0f8NsnmMmIyZeYE1U7OoXKSkzkR55Bh7QJ8L4Zxg5bJmrS5cjJCzOqYyWYQRgJgfaj1K1rfR7xF7n1eS9aqQ8vbRNSzWXVhDGCwAWfPaZM8c4qjNxmDI1KtK/G/wDng9fZs20uF1dSFYS3MLMoxKraMk9OUkCdyYE61s2bwcAqZH7jQg+hBBBHkRXkuO4F04YtbZ+pMlFsKmBUA2lk+ys+05OhAMjWmvA+PxyW5AIZi2DtdwxKglnxEqdSCQoGo2E1oUqdHInico8yd1oeomiqwnc/H3/z+QqSrFTMxKiiigCiiigCiiigCuFq7S/GcMLgA00dWBImMGDaemgI/GgI8Fvc/wBZ/RaapDg7ZyunNoLkY9MDRdRpM+8+dOQfU/l6+6gONuPd/HepMAQQdQd59KQ8VLi02DHPEhTE4kwocgLqFnKOx/DP8B4xySrxBcquN1rhOABLEOMlQgiNSIKkHqBPvK2rBLx24llUVAilnEHDMgmBoB7LNGIYkCcVBllrE8aspxFi1zbRLu4bF7htl7ZDDS8h0hcVLaGCATDSdLjfCntIWDnFbcOLWCG4bYlXuMwM7tPv8xpXmPHRz2N2zCi2iXGDtikKzvmpDEG22eqRIMZKctdmCNtNP5kWfNfpC3E3mW07XNckW21y0zAWtETcEguCcmJJyB6tGfPBRlCO8x9UrallCjIlk1AVeYZMkAL0iZavf+KcanEYm2eYowabfLx5iYhWDXRl7RgqrMZmYlJ8f9LvDuXjdk5XIN5cVty1zqZQFVSNtQVEEEws4j6/geKU+XFJcvivO/P6zyVamDc4h1hWUoADgCsMpOJkkY5HoWSZGpIExS9iWcQFGsgFiFECTqTI0X1n08qd4+5mLbXSSzWsVLMTonRbEM0hQogHQT5EAzSlxEbqCuJxIK/ZU6sCpGpAA3nVtQYNdzHL3NFqVl/CZXC3WiyyuQzBbMHqYMCdpiQJPlGkjR8I8LzxLnG4nSocCEgFrTksVQ22JiJOoBkg4nM4C2brllXqVJ+rAUK5bFNCCPNdQJ8/ItTnhrTxSLbRUBcKnOSTKtqNA2TSxEanRftAVj4nnUZKGjSv4b36zgk37x67ltxIxyyQouStdjMNlcQJ7KoALTdTLcU4LoRig9bwdlzb5Za2XCluIbquqhuqkg20xKjC3gpaf7pwZJJrwHh7YkGSzjEW7j2lcC6VfnW3No6qqkkZEAQZECV+h/RqyUsYEKbSEqrgDhTHFHQwjEm2WxgRBDKeopNfKf5GHJGr07b+m0X4nrZ6HnpaAcNgUyLoyEtaF0ZsWCkM4kKo8tdZIGKX0h4tHs58uL4gRcPKKsoNxRDSCWWYXuQSMSRm+GLZ4dsbzG4pADCLb8y4yMLjXTLZKytiAWJk3NwOn0XhlywwNsqFFwmVuuHZihxKuGmGkyFkj4EVwM0adWbcT5alyvQp8N4e21jNwVYP9XoguKbgBCDSBJbLy3B6fLE8M4Ni/Vde3ySF5kgsLt0lQStwFW6QQcdNY2QKNP6Q+Ccy4uBlRCsG1Cs7DHqmTJOuh9oEzpHnuI4m/YuC1ikobmRWziEwUw6gbBkca5SISSICtllpVm7AnNPker1rwt/nuZviPAD+0FbbBlRiMTbU8xbaQ1xtVmVPs6K5mIDAUp4RwLsj2gXjFWjZdWXlNp1ISwB3O76AyK9BwH0fLsTkwDs2wFzFQpRk5Zg6uzbqCQ5ke1TXB+AC3bJVFUmGcMGYWQurJcfVmJxgFTCiDqIZqfZNu6Ok+OjCHJzW9O3dPe6Mzwbwo3HFtn0Y3rSuCOWt0lbqmzuxlVuNMjVdCAZb03jfhSKNIU5KeWDjZUNKrvs05tIG5MjWayrPgLoi3Q4bRFIjFreOqJGOhiBJBaCAJISt3ktxZDyRqVDrbUobZWS4Zpkhz0mSOkEDUmrYQpU0c/ic7lkUlLTv8QsHirVkhyxu4kWwcWLOFkYQTA0bVp+zMmZn9G75vqRdDwB9W7KbXMtmMlKA6qGiJmQfMzTvh/BoUhXkSI5RKR04hgRqchrMwZG+5cfwpMGRFVQ0Awq6gGQGEdQ8iDuCfWrVFmCWWNNVq31qq3vsO23BAIIIOxHnU6U4ThCgPVJJLGAAJIjRdY9ffJ86ZUVYZmSooooeBRRRQBRRRQBUWcDepUj4nwRuiBGzDXyzEZDuNwNPeKAs4I63P9Z/Rarvcfi+OJgFQTI0NwwsLuRpqe+kw2JwVs5XTm0F/Z6YEBdtJ17mr24YEhjqw2MLImZgxI3/ACHeQE7Fq5zZYnHqklpDAsOWFT7JA3P6zI0MBMwJiJjWBsJ/E1WUM+0du3bt29fM9ongfvH8u/bv+Xvo3YMPxXxnkZG7onUIKOAFAkNzQDIgEtAMDusN828U8De07m2JtsZysWshdtWrcJBfoAVmJIg7EKT7I9bxvg925xAQu0KSNLTpzLbKGZ7vEA4MWZVTEDQ64kDEV3fHr3D2cBywBgrtctXOVwisXDrdUHJlGKhdQI+1AybpcPJ469nq318em/pqQlr1PmvD2zw1zm3x1aMeY9xQWu542w1tNMDbLkzpDaAyKj494i/Em3YYsS9yFIu580s0g2yVhVbNDqxBbfHUr7bx3jeGu8NZvOLov2vrHa1mjKjQjS7kYh7TZKrnYgaCRXyy7wQtktCMguBVuFQRjbLSr7KXJwBMwdeqDJ+j4GUeIl7SaqS0Xx9Pz6/IplpoVcU2y3Ix09phILAC7cxtnqYGIk6xsdcaPEPDx0co5hoxaAAZJUAgCFYY65GeoGpM7PleYAPoVVUKgxqWBtwF6UcmfIaeq3eHWb9shkEMssLTswZunMMtlYaMB7W2m+wruKTxq09V27XvuVdRK3wjpdFsyHY44hCX64xhWC+1kPMH93jweeJe2smFADIouFyEDKy+Y0OPkMT7JMyueGuvE4lmUoQywqEqkF0+rLL1TAIIGpM6nX3Hh/0I/tTIeamBXNlNyLUBgrkWgC6nEghi0kuDIxxbLxfH48XLKUuqu9+SUYtmX9HkFw5uzWzzBDszj64/VkBrQZgcCoNtzs5A11b3vgyrxIW2yctgLq2b0JzQz6XDeTRwGz9gE7kkgrKZ3gH0dFm6C2QIANxurqvcMf75DcgPcOTHcoMSxkBcvVX+KwdX4ZQC5i5cbhbly4zknO2xTFrbCJlpAmI9mvkeP4hZcjUenb0NWP3Vfcy7PgAssUdFZi6FhZslLeBFtQcycQxdD06LIBKgAEes4TwzTzST1L0Syhiy5sAerU6gyQdTOtWi3buOpaOYsEpkpKkSwDAbwTp7pHnL2B+8fy/j8fxrjzfMy55ZPqzzvFXb54sAWulXUSbco9jGWc3tldXJhf8ANpuSt3i9i1xABxVmAxQXLJYzc1RkDYwRiSGmN9RV9jjjk2bHEByww0HLcABDHWCCQYnUDaYrh4QMsJmCrKGVmhoUSqq+sRkGEH1Gk6V0W81NaVXg8l4DwK2rzS6AvNrFUZrmgNwtcAGokRiApOs4kMten4bgzZsXGLK6sggKSqnSMiTOEyCT5an3V2PBEtYNdukFWOIyChSwjHmQC5AGORidyMiTWhw/E9fKGgWVADDIBBEsmOinSDPmvrFeQjRZxGd5Jc3Xz8jK8N4i6A7XNVJxdruGOeikwo9kAR6EmJ3at/hbguJJA1EETI/A+YI1G2h2rqOs4q4ld1BWQNI6fIeX41RwPhptmc56QohQpIE6udcm6t9PPTU1JKjPOSlrVFtnhMDMliYEsZOKzA8tpPqdacql1MjU79v47fme1TwP3j+Xft3/ACHeZFTdk6KrwP3j+Xbt2/M9qmooDtFFFAFFFFAFFFFAFcJ+ffXaV4vhM412ZGAIBAKMGkaTJAjf95AOC3uf6z+i01SPBWuq6cjq+06CAu1N8vufkR/zQA24938d6kTVTJ1DXyPp6g+n71Ll9z8iKAW4bjczGJEjJSY6lBiYBlTtofX1BA8l4n4Xe4njBzElMnUhheCpaCry3kMLV2WBIB1BumIKE17O3wiqSVAUsZYqACx31IGv/JqZt9z8z/P5CrIZHjbcTxqz519LvBUF43Dk0G2WuE5XLZICkhDo1vC2usQCjMdUZhk+KfRNBw7G255v92yuGuKrw1xTybSZkO1ySse0FDKwyVvaeMeKtbupJCibgOmLIiwAxuP04sQp+zvuYIMeI8FZ+FW4AVurbLotv6tle7Fy4oZdzkNBESqkgkAjbi4rJBRt0t73rFxTPmz+CWrIts2X1hYraWwVKiRihvNoAWkgAzCCCTMt+J/R1LK2OItvcS23LuXAAo5d63KEAgkgEgQqZAcvQg4T6yz4IeJ4c2yuWLBravxDLlbgG0Xu2lnMHJgCpxzQ6woqzxzh2s27IZY5QHIxYK1u5KqgUQQ++o1iVENOaa/9+bkleuqfTVb9Pr0I8h83ThTfuMcihcPhjiHZXOVhmYusL0paK9MERICjD2lnwHiGFvHHJXt3AmI5YxUW7ltcgAVFhiApBIIG0ElXwfwYKFawbioclY8KLTGbha2OY15RkGcHQ+yCmuIlfQ8O1w3lZwSygNeKlwtplugPyZbG5zNQwUTAb7RCM4rinJ1B6Lt/D/YjER8L8Ma1Fh1vMMWt5M1x0u3SRdtqk3COGCohJZMerEBskg+wu2GsqBaDQSSxVQ7ZAAIMdAFMAEiIjyksDi+Bt2yb4X6yRLFiFBMWzcK+yCFOrRMCJim+BucxQx9T7JkGGgEabGPz8965WXK8j5ntliVFPD8EVKsSZ6jiNla71P1ASwnadPeYh81Vct7an8vRvXz9381Ybfc/Mfx+Zqiz0ymtWyzJDQ2dsMTKguM3VQT2nURpA9K7w/AGzbflwCSDFsRtAZusmXInU+ijykvf2JMs46vX8In3xpPoAKt5Xc/Mfx+Zryibm+iMHj+GvOEIZwRmFMWSTlAUXFYFY39nWAJ8wde5eFsKoUsYgBYJhRqSWPl6k+dXNb21O/8APp7/AMhWN494a93HGWAKnR8WSD1MgjFiV0IJEjIfarxquhJNTaT0Q/w3CqSLgclTLKIA/vNSSdyPQd/OBD9KcDbYIA0gjy00EnEHHSYgGNKv5fc/IipIrk9Tr7j3/PnU6pdNRr59u59Kny+5+RFDwnRUMO5+f+q6qx5mgJUUUUAUUUUAUUUUAVF7gG5AkwJ8ydgO9SpPj+FZ9ARB0ZW+7rliQJBMgE+g0g60BLgt7n+s/otNVnW7d1HuEAsrNIGSARAH3ZmR6mreZd+4f617f5e35mgGW3Hz6fhU6zDxFzmAYr7JJXNMtSIMROO4/AVfzLv3D/Wv/wA/jQDlFJ8y7/h/719Z9Pwo5l2PYP8AWvpH3fxoBfxmzInUGChIk9Dlc5UakaeRBHrvDfA3CyAsIOo2KyASAcTqJABjvSr3rnMUYj2WJXmLkdVggRsAGE9xS125xPNEI+OmzWcMY6i5K55SSRGkhPLKveqoE0so16VIHVl/dkMSnQ2F2fZk6iNcm9a1OIsB1xbbsSNtRqKQt8OysWFoyZ/9sgZEM0KdFkjyimOZd+4f617/AOXv+Qo3qCK+G21Kwuxnc6mS0nXqORJ1mCfKqeJ4FbYzVcmWBbyGYtKzDLBRrAGsAzCgSABBxd6+OpU2DdJdeoxKgdM7g/E1HgOKvNOSEwdDHLkRPssJ3MT2HefbfUDnA3WdZYeZEwVkA6MFOoBpkCkw937h/rXt/l7fma7zLv8Ah/71/wDn5iogZuHb39/Q/OtTrMv3rkoIAkn2nSWGJHSMd5g+6fdV/Mu/4f8AvX1n0/CgHKKS5l37h/rX0j7v4103Lv8Ah/719fd+FAM3fL39v3qQFZvEX7oKCAJaNbijLQ6Dp1OxjtV/Mu/4f+9e3bt+dAOUUnzLv3D/AFr3/wAvf8hRzLv3D/Wvbt2/M9qAZfce/wDmp1l8TxFxYYhVAMtm6ABdRvGmrAfh8bxcu/cP9a//AD8zQDtFJ8y7/h/71/j5iruHLfaEfiD+gFAXUUUUAUUUUAUUUUAUUUUAUUUUAkvBEXS+QgtlEa5YC3v6Qs7U7RRQBRRRQCt3hibitK4rqBHVnDCcp2hiIjzPaGYrtFAFFFFAJ8VwOd21cy/uiTjAIOSspM+R6t/SR503FdooAooooBLiuCLXEcNGO411Eg+seRGs7zuBTtFFAFFFFAI8fwBuNbbKMDrvqMkbyP8Ak2MjWfIU8KKKAKKKKAR4rgS1wXFKhlHmszExJBmOo/GmeEs4IqTOKhZ9cRH7VbRQBRRRQBRRRQBRRRQBRRRQBRRRQBRRRQBRRRQBRRRQBRRRQBRRRQBRRRQBRRRQBRRRQBRRRQBRRRQBRRRQBRRRQBRRRQBRRRQBRRRQH//Z">
          <a:extLst>
            <a:ext uri="{FF2B5EF4-FFF2-40B4-BE49-F238E27FC236}">
              <a16:creationId xmlns:a16="http://schemas.microsoft.com/office/drawing/2014/main" id="{00000000-0008-0000-0000-000002080000}"/>
            </a:ext>
          </a:extLst>
        </xdr:cNvPr>
        <xdr:cNvSpPr>
          <a:spLocks noChangeAspect="1" noChangeArrowheads="1"/>
        </xdr:cNvSpPr>
      </xdr:nvSpPr>
      <xdr:spPr bwMode="auto">
        <a:xfrm>
          <a:off x="7924800" y="3474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60960</xdr:colOff>
      <xdr:row>1</xdr:row>
      <xdr:rowOff>64156</xdr:rowOff>
    </xdr:from>
    <xdr:to>
      <xdr:col>17</xdr:col>
      <xdr:colOff>0</xdr:colOff>
      <xdr:row>13</xdr:row>
      <xdr:rowOff>106680</xdr:rowOff>
    </xdr:to>
    <xdr:pic>
      <xdr:nvPicPr>
        <xdr:cNvPr id="4" name="Obraz 3" descr="http://www.mathworks.com/matlabcentral/fileexchange/screenshots/6432/original.jp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6160" y="247036"/>
          <a:ext cx="2987040" cy="2237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10</xdr:row>
      <xdr:rowOff>15240</xdr:rowOff>
    </xdr:from>
    <xdr:to>
      <xdr:col>10</xdr:col>
      <xdr:colOff>495300</xdr:colOff>
      <xdr:row>22</xdr:row>
      <xdr:rowOff>45720</xdr:rowOff>
    </xdr:to>
    <xdr:graphicFrame macro="">
      <xdr:nvGraphicFramePr>
        <xdr:cNvPr id="2" name="Wykres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160020</xdr:colOff>
      <xdr:row>23</xdr:row>
      <xdr:rowOff>137160</xdr:rowOff>
    </xdr:from>
    <xdr:to>
      <xdr:col>13</xdr:col>
      <xdr:colOff>163830</xdr:colOff>
      <xdr:row>37</xdr:row>
      <xdr:rowOff>121920</xdr:rowOff>
    </xdr:to>
    <xdr:graphicFrame macro="">
      <xdr:nvGraphicFramePr>
        <xdr:cNvPr id="4" name="Wykres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590550</xdr:colOff>
      <xdr:row>66</xdr:row>
      <xdr:rowOff>106680</xdr:rowOff>
    </xdr:from>
    <xdr:to>
      <xdr:col>20</xdr:col>
      <xdr:colOff>129540</xdr:colOff>
      <xdr:row>80</xdr:row>
      <xdr:rowOff>91440</xdr:rowOff>
    </xdr:to>
    <xdr:graphicFrame macro="">
      <xdr:nvGraphicFramePr>
        <xdr:cNvPr id="5" name="Wykres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45720</xdr:colOff>
      <xdr:row>133</xdr:row>
      <xdr:rowOff>140970</xdr:rowOff>
    </xdr:from>
    <xdr:to>
      <xdr:col>35</xdr:col>
      <xdr:colOff>60960</xdr:colOff>
      <xdr:row>148</xdr:row>
      <xdr:rowOff>140970</xdr:rowOff>
    </xdr:to>
    <xdr:graphicFrame macro="">
      <xdr:nvGraphicFramePr>
        <xdr:cNvPr id="5" name="Wykres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xdr:colOff>
      <xdr:row>154</xdr:row>
      <xdr:rowOff>140970</xdr:rowOff>
    </xdr:from>
    <xdr:to>
      <xdr:col>35</xdr:col>
      <xdr:colOff>60960</xdr:colOff>
      <xdr:row>169</xdr:row>
      <xdr:rowOff>140970</xdr:rowOff>
    </xdr:to>
    <xdr:graphicFrame macro="">
      <xdr:nvGraphicFramePr>
        <xdr:cNvPr id="6" name="Wykres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160020</xdr:colOff>
      <xdr:row>27</xdr:row>
      <xdr:rowOff>80010</xdr:rowOff>
    </xdr:from>
    <xdr:to>
      <xdr:col>19</xdr:col>
      <xdr:colOff>106680</xdr:colOff>
      <xdr:row>40</xdr:row>
      <xdr:rowOff>38100</xdr:rowOff>
    </xdr:to>
    <xdr:graphicFrame macro="">
      <xdr:nvGraphicFramePr>
        <xdr:cNvPr id="5" name="Wykres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137160</xdr:colOff>
      <xdr:row>27</xdr:row>
      <xdr:rowOff>125730</xdr:rowOff>
    </xdr:from>
    <xdr:to>
      <xdr:col>38</xdr:col>
      <xdr:colOff>106680</xdr:colOff>
      <xdr:row>40</xdr:row>
      <xdr:rowOff>7620</xdr:rowOff>
    </xdr:to>
    <xdr:graphicFrame macro="">
      <xdr:nvGraphicFramePr>
        <xdr:cNvPr id="6" name="Wykres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137160</xdr:colOff>
      <xdr:row>27</xdr:row>
      <xdr:rowOff>125730</xdr:rowOff>
    </xdr:from>
    <xdr:to>
      <xdr:col>57</xdr:col>
      <xdr:colOff>106680</xdr:colOff>
      <xdr:row>40</xdr:row>
      <xdr:rowOff>7620</xdr:rowOff>
    </xdr:to>
    <xdr:graphicFrame macro="">
      <xdr:nvGraphicFramePr>
        <xdr:cNvPr id="7" name="Wykres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0</xdr:colOff>
      <xdr:row>1</xdr:row>
      <xdr:rowOff>0</xdr:rowOff>
    </xdr:from>
    <xdr:to>
      <xdr:col>53</xdr:col>
      <xdr:colOff>30480</xdr:colOff>
      <xdr:row>2</xdr:row>
      <xdr:rowOff>7620</xdr:rowOff>
    </xdr:to>
    <xdr:pic>
      <xdr:nvPicPr>
        <xdr:cNvPr id="9" name="Obraz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182880"/>
          <a:ext cx="12801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xdr:col>
      <xdr:colOff>0</xdr:colOff>
      <xdr:row>2</xdr:row>
      <xdr:rowOff>0</xdr:rowOff>
    </xdr:from>
    <xdr:to>
      <xdr:col>53</xdr:col>
      <xdr:colOff>22860</xdr:colOff>
      <xdr:row>3</xdr:row>
      <xdr:rowOff>7620</xdr:rowOff>
    </xdr:to>
    <xdr:pic>
      <xdr:nvPicPr>
        <xdr:cNvPr id="10" name="Obraz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365760"/>
          <a:ext cx="12725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xdr:col>
      <xdr:colOff>0</xdr:colOff>
      <xdr:row>3</xdr:row>
      <xdr:rowOff>99060</xdr:rowOff>
    </xdr:from>
    <xdr:to>
      <xdr:col>52</xdr:col>
      <xdr:colOff>274320</xdr:colOff>
      <xdr:row>5</xdr:row>
      <xdr:rowOff>83820</xdr:rowOff>
    </xdr:to>
    <xdr:pic>
      <xdr:nvPicPr>
        <xdr:cNvPr id="11" name="Obraz 10">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647700"/>
          <a:ext cx="121158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0</xdr:colOff>
      <xdr:row>1</xdr:row>
      <xdr:rowOff>0</xdr:rowOff>
    </xdr:from>
    <xdr:to>
      <xdr:col>34</xdr:col>
      <xdr:colOff>30480</xdr:colOff>
      <xdr:row>2</xdr:row>
      <xdr:rowOff>7620</xdr:rowOff>
    </xdr:to>
    <xdr:pic>
      <xdr:nvPicPr>
        <xdr:cNvPr id="12" name="Obraz 11">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182880"/>
          <a:ext cx="12801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0</xdr:colOff>
      <xdr:row>2</xdr:row>
      <xdr:rowOff>0</xdr:rowOff>
    </xdr:from>
    <xdr:to>
      <xdr:col>34</xdr:col>
      <xdr:colOff>22860</xdr:colOff>
      <xdr:row>3</xdr:row>
      <xdr:rowOff>7620</xdr:rowOff>
    </xdr:to>
    <xdr:pic>
      <xdr:nvPicPr>
        <xdr:cNvPr id="13" name="Obraz 1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365760"/>
          <a:ext cx="12725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7620</xdr:colOff>
      <xdr:row>4</xdr:row>
      <xdr:rowOff>7620</xdr:rowOff>
    </xdr:from>
    <xdr:to>
      <xdr:col>32</xdr:col>
      <xdr:colOff>182880</xdr:colOff>
      <xdr:row>5</xdr:row>
      <xdr:rowOff>175260</xdr:rowOff>
    </xdr:to>
    <xdr:pic>
      <xdr:nvPicPr>
        <xdr:cNvPr id="15" name="Obraz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66020" y="739140"/>
          <a:ext cx="84582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xdr:row>
      <xdr:rowOff>0</xdr:rowOff>
    </xdr:from>
    <xdr:to>
      <xdr:col>15</xdr:col>
      <xdr:colOff>30480</xdr:colOff>
      <xdr:row>2</xdr:row>
      <xdr:rowOff>7620</xdr:rowOff>
    </xdr:to>
    <xdr:pic>
      <xdr:nvPicPr>
        <xdr:cNvPr id="16" name="Obraz 15">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58400" y="182880"/>
          <a:ext cx="1371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xdr:row>
      <xdr:rowOff>0</xdr:rowOff>
    </xdr:from>
    <xdr:to>
      <xdr:col>15</xdr:col>
      <xdr:colOff>22860</xdr:colOff>
      <xdr:row>3</xdr:row>
      <xdr:rowOff>7620</xdr:rowOff>
    </xdr:to>
    <xdr:pic>
      <xdr:nvPicPr>
        <xdr:cNvPr id="17" name="Obraz 16">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58400" y="365760"/>
          <a:ext cx="13639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68</xdr:col>
      <xdr:colOff>0</xdr:colOff>
      <xdr:row>1</xdr:row>
      <xdr:rowOff>0</xdr:rowOff>
    </xdr:from>
    <xdr:to>
      <xdr:col>72</xdr:col>
      <xdr:colOff>30480</xdr:colOff>
      <xdr:row>2</xdr:row>
      <xdr:rowOff>7620</xdr:rowOff>
    </xdr:to>
    <xdr:pic>
      <xdr:nvPicPr>
        <xdr:cNvPr id="20" name="Obraz 19">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182880"/>
          <a:ext cx="12801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68</xdr:col>
      <xdr:colOff>0</xdr:colOff>
      <xdr:row>2</xdr:row>
      <xdr:rowOff>0</xdr:rowOff>
    </xdr:from>
    <xdr:to>
      <xdr:col>72</xdr:col>
      <xdr:colOff>22860</xdr:colOff>
      <xdr:row>3</xdr:row>
      <xdr:rowOff>7620</xdr:rowOff>
    </xdr:to>
    <xdr:pic>
      <xdr:nvPicPr>
        <xdr:cNvPr id="21" name="Obraz 20">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91560" y="365760"/>
          <a:ext cx="12725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xdr:col>
      <xdr:colOff>281940</xdr:colOff>
      <xdr:row>5</xdr:row>
      <xdr:rowOff>22860</xdr:rowOff>
    </xdr:from>
    <xdr:to>
      <xdr:col>70</xdr:col>
      <xdr:colOff>304800</xdr:colOff>
      <xdr:row>7</xdr:row>
      <xdr:rowOff>15240</xdr:rowOff>
    </xdr:to>
    <xdr:pic>
      <xdr:nvPicPr>
        <xdr:cNvPr id="23" name="Obraz 22">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311360" y="937260"/>
          <a:ext cx="96012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66</xdr:col>
      <xdr:colOff>76200</xdr:colOff>
      <xdr:row>27</xdr:row>
      <xdr:rowOff>68580</xdr:rowOff>
    </xdr:from>
    <xdr:to>
      <xdr:col>76</xdr:col>
      <xdr:colOff>45720</xdr:colOff>
      <xdr:row>39</xdr:row>
      <xdr:rowOff>152400</xdr:rowOff>
    </xdr:to>
    <xdr:graphicFrame macro="">
      <xdr:nvGraphicFramePr>
        <xdr:cNvPr id="8" name="Wykres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0</xdr:colOff>
      <xdr:row>5</xdr:row>
      <xdr:rowOff>0</xdr:rowOff>
    </xdr:from>
    <xdr:to>
      <xdr:col>13</xdr:col>
      <xdr:colOff>53340</xdr:colOff>
      <xdr:row>7</xdr:row>
      <xdr:rowOff>129540</xdr:rowOff>
    </xdr:to>
    <xdr:pic>
      <xdr:nvPicPr>
        <xdr:cNvPr id="22" name="Obraz 21">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52800" y="914400"/>
          <a:ext cx="105918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297180</xdr:colOff>
      <xdr:row>36</xdr:row>
      <xdr:rowOff>129540</xdr:rowOff>
    </xdr:from>
    <xdr:to>
      <xdr:col>18</xdr:col>
      <xdr:colOff>259080</xdr:colOff>
      <xdr:row>41</xdr:row>
      <xdr:rowOff>76200</xdr:rowOff>
    </xdr:to>
    <xdr:sp macro="" textlink="">
      <xdr:nvSpPr>
        <xdr:cNvPr id="6" name="Objaśnienie prostokątne 5">
          <a:extLst>
            <a:ext uri="{FF2B5EF4-FFF2-40B4-BE49-F238E27FC236}">
              <a16:creationId xmlns:a16="http://schemas.microsoft.com/office/drawing/2014/main" id="{00000000-0008-0000-0400-000006000000}"/>
            </a:ext>
          </a:extLst>
        </xdr:cNvPr>
        <xdr:cNvSpPr/>
      </xdr:nvSpPr>
      <xdr:spPr>
        <a:xfrm>
          <a:off x="8183880" y="7261860"/>
          <a:ext cx="1821180" cy="861060"/>
        </a:xfrm>
        <a:prstGeom prst="wedgeRectCallout">
          <a:avLst>
            <a:gd name="adj1" fmla="val -76063"/>
            <a:gd name="adj2" fmla="val 350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pl-PL" sz="1100" b="1"/>
            <a:t>Silhouette</a:t>
          </a:r>
        </a:p>
        <a:p>
          <a:pPr algn="l"/>
          <a:r>
            <a:rPr lang="pl-PL" sz="1100"/>
            <a:t>best</a:t>
          </a:r>
          <a:r>
            <a:rPr lang="pl-PL" sz="1100" baseline="0"/>
            <a:t> situation when s~1</a:t>
          </a:r>
        </a:p>
        <a:p>
          <a:pPr algn="l"/>
          <a:r>
            <a:rPr lang="pl-PL" sz="1100" baseline="0"/>
            <a:t>the higher the better</a:t>
          </a:r>
        </a:p>
        <a:p>
          <a:pPr algn="l"/>
          <a:r>
            <a:rPr lang="pl-PL" sz="1100" baseline="0"/>
            <a:t>bad, when negative</a:t>
          </a:r>
          <a:endParaRPr lang="pl-PL" sz="1100"/>
        </a:p>
      </xdr:txBody>
    </xdr:sp>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10"/>
  <sheetViews>
    <sheetView tabSelected="1" workbookViewId="0">
      <selection activeCell="D24" sqref="D24"/>
    </sheetView>
  </sheetViews>
  <sheetFormatPr baseColWidth="10" defaultColWidth="8.83203125" defaultRowHeight="15"/>
  <cols>
    <col min="1" max="16384" width="8.83203125" style="6"/>
  </cols>
  <sheetData>
    <row r="3" spans="2:14">
      <c r="B3" s="7" t="s">
        <v>801</v>
      </c>
    </row>
    <row r="5" spans="2:14">
      <c r="B5" s="6" t="s">
        <v>797</v>
      </c>
    </row>
    <row r="6" spans="2:14">
      <c r="B6" s="58" t="s">
        <v>800</v>
      </c>
      <c r="C6" s="58"/>
      <c r="D6" s="58"/>
      <c r="E6" s="58"/>
      <c r="F6" s="58"/>
      <c r="G6" s="58"/>
      <c r="H6" s="58"/>
      <c r="I6" s="58"/>
      <c r="J6" s="58"/>
      <c r="K6" s="58"/>
      <c r="L6" s="58"/>
    </row>
    <row r="7" spans="2:14">
      <c r="B7" s="58"/>
      <c r="C7" s="58"/>
      <c r="D7" s="58"/>
      <c r="E7" s="58"/>
      <c r="F7" s="58"/>
      <c r="G7" s="58"/>
      <c r="H7" s="58"/>
      <c r="I7" s="58"/>
      <c r="J7" s="58"/>
      <c r="K7" s="58"/>
      <c r="L7" s="58"/>
      <c r="N7"/>
    </row>
    <row r="8" spans="2:14">
      <c r="B8" s="58"/>
      <c r="C8" s="58"/>
      <c r="D8" s="58"/>
      <c r="E8" s="58"/>
      <c r="F8" s="58"/>
      <c r="G8" s="58"/>
      <c r="H8" s="58"/>
      <c r="I8" s="58"/>
      <c r="J8" s="58"/>
      <c r="K8" s="58"/>
      <c r="L8" s="58"/>
    </row>
    <row r="9" spans="2:14">
      <c r="B9" s="6" t="s">
        <v>798</v>
      </c>
    </row>
    <row r="10" spans="2:14">
      <c r="B10" s="6" t="s">
        <v>799</v>
      </c>
      <c r="N10"/>
    </row>
  </sheetData>
  <mergeCells count="1">
    <mergeCell ref="B6:L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81"/>
  <sheetViews>
    <sheetView topLeftCell="A18" workbookViewId="0">
      <selection activeCell="Q41" sqref="Q41"/>
    </sheetView>
  </sheetViews>
  <sheetFormatPr baseColWidth="10" defaultColWidth="8.83203125" defaultRowHeight="15"/>
  <cols>
    <col min="1" max="9" width="8.83203125" style="6"/>
    <col min="10" max="11" width="9.5" style="6" customWidth="1"/>
    <col min="12" max="13" width="9.83203125" style="6" customWidth="1"/>
    <col min="14" max="16384" width="8.83203125" style="6"/>
  </cols>
  <sheetData>
    <row r="2" spans="2:7">
      <c r="B2" s="7" t="s">
        <v>802</v>
      </c>
    </row>
    <row r="4" spans="2:7">
      <c r="B4" s="6" t="s">
        <v>803</v>
      </c>
    </row>
    <row r="7" spans="2:7">
      <c r="B7" s="9" t="s">
        <v>10</v>
      </c>
      <c r="C7" s="9" t="s">
        <v>0</v>
      </c>
      <c r="D7" s="9" t="s">
        <v>1</v>
      </c>
      <c r="G7" s="7" t="s">
        <v>804</v>
      </c>
    </row>
    <row r="8" spans="2:7">
      <c r="B8" s="10">
        <v>1</v>
      </c>
      <c r="C8" s="1">
        <v>4</v>
      </c>
      <c r="D8" s="1">
        <v>12</v>
      </c>
    </row>
    <row r="9" spans="2:7">
      <c r="B9" s="10">
        <v>2</v>
      </c>
      <c r="C9" s="1">
        <v>5</v>
      </c>
      <c r="D9" s="1">
        <v>10</v>
      </c>
      <c r="G9" s="6" t="s">
        <v>805</v>
      </c>
    </row>
    <row r="10" spans="2:7">
      <c r="B10" s="10">
        <v>3</v>
      </c>
      <c r="C10" s="1">
        <v>8</v>
      </c>
      <c r="D10" s="1">
        <v>7</v>
      </c>
    </row>
    <row r="11" spans="2:7">
      <c r="B11" s="10">
        <v>4</v>
      </c>
      <c r="C11" s="1">
        <v>5</v>
      </c>
      <c r="D11" s="1">
        <v>3</v>
      </c>
    </row>
    <row r="12" spans="2:7">
      <c r="B12" s="10">
        <v>5</v>
      </c>
      <c r="C12" s="1">
        <v>5</v>
      </c>
      <c r="D12" s="1">
        <v>4</v>
      </c>
    </row>
    <row r="13" spans="2:7">
      <c r="B13" s="10">
        <v>6</v>
      </c>
      <c r="C13" s="1">
        <v>2</v>
      </c>
      <c r="D13" s="1">
        <v>11</v>
      </c>
    </row>
    <row r="14" spans="2:7">
      <c r="B14" s="10">
        <v>7</v>
      </c>
      <c r="C14" s="1">
        <v>5</v>
      </c>
      <c r="D14" s="1">
        <v>4</v>
      </c>
    </row>
    <row r="15" spans="2:7">
      <c r="B15" s="10">
        <v>8</v>
      </c>
      <c r="C15" s="1">
        <v>3</v>
      </c>
      <c r="D15" s="1">
        <v>8</v>
      </c>
    </row>
    <row r="16" spans="2:7">
      <c r="B16" s="10">
        <v>9</v>
      </c>
      <c r="C16" s="1">
        <v>6</v>
      </c>
      <c r="D16" s="1">
        <v>2</v>
      </c>
    </row>
    <row r="17" spans="2:7">
      <c r="B17" s="10">
        <v>10</v>
      </c>
      <c r="C17" s="1">
        <v>7</v>
      </c>
      <c r="D17" s="1">
        <v>4</v>
      </c>
    </row>
    <row r="18" spans="2:7">
      <c r="B18" s="10">
        <v>11</v>
      </c>
      <c r="C18" s="1">
        <v>10</v>
      </c>
      <c r="D18" s="1">
        <v>8</v>
      </c>
    </row>
    <row r="19" spans="2:7">
      <c r="B19" s="10">
        <v>12</v>
      </c>
      <c r="C19" s="1">
        <v>8</v>
      </c>
      <c r="D19" s="1">
        <v>9</v>
      </c>
    </row>
    <row r="20" spans="2:7">
      <c r="B20" s="10">
        <v>13</v>
      </c>
      <c r="C20" s="1">
        <v>10</v>
      </c>
      <c r="D20" s="1">
        <v>9</v>
      </c>
    </row>
    <row r="21" spans="2:7">
      <c r="B21" s="10">
        <v>14</v>
      </c>
      <c r="C21" s="1">
        <v>10</v>
      </c>
      <c r="D21" s="1">
        <v>12</v>
      </c>
    </row>
    <row r="26" spans="2:7">
      <c r="B26" s="7" t="s">
        <v>806</v>
      </c>
    </row>
    <row r="28" spans="2:7">
      <c r="B28" s="6" t="s">
        <v>807</v>
      </c>
    </row>
    <row r="29" spans="2:7">
      <c r="B29" s="6" t="s">
        <v>808</v>
      </c>
    </row>
    <row r="32" spans="2:7">
      <c r="B32" s="59" t="s">
        <v>2</v>
      </c>
      <c r="C32" s="60"/>
      <c r="D32" s="59" t="s">
        <v>3</v>
      </c>
      <c r="E32" s="60"/>
      <c r="F32" s="59" t="s">
        <v>4</v>
      </c>
      <c r="G32" s="60"/>
    </row>
    <row r="33" spans="2:16">
      <c r="B33" s="1" t="s">
        <v>0</v>
      </c>
      <c r="C33" s="1" t="s">
        <v>1</v>
      </c>
      <c r="D33" s="1" t="s">
        <v>0</v>
      </c>
      <c r="E33" s="1" t="s">
        <v>1</v>
      </c>
      <c r="F33" s="1" t="s">
        <v>0</v>
      </c>
      <c r="G33" s="1" t="s">
        <v>1</v>
      </c>
    </row>
    <row r="34" spans="2:16">
      <c r="B34" s="2">
        <v>4</v>
      </c>
      <c r="C34" s="2">
        <v>4</v>
      </c>
      <c r="D34" s="2">
        <v>5</v>
      </c>
      <c r="E34" s="2">
        <v>12</v>
      </c>
      <c r="F34" s="2">
        <v>10</v>
      </c>
      <c r="G34" s="2">
        <v>6</v>
      </c>
    </row>
    <row r="40" spans="2:16">
      <c r="B40" s="7" t="s">
        <v>809</v>
      </c>
    </row>
    <row r="41" spans="2:16">
      <c r="B41" s="6" t="s">
        <v>810</v>
      </c>
    </row>
    <row r="42" spans="2:16">
      <c r="B42" s="6" t="s">
        <v>811</v>
      </c>
    </row>
    <row r="44" spans="2:16" ht="48">
      <c r="B44" s="9" t="s">
        <v>812</v>
      </c>
      <c r="C44" s="9" t="s">
        <v>0</v>
      </c>
      <c r="D44" s="9" t="s">
        <v>1</v>
      </c>
      <c r="E44" s="11" t="s">
        <v>791</v>
      </c>
      <c r="F44" s="11" t="s">
        <v>792</v>
      </c>
      <c r="G44" s="11" t="s">
        <v>793</v>
      </c>
      <c r="H44" s="11" t="s">
        <v>5</v>
      </c>
      <c r="I44" s="11" t="s">
        <v>813</v>
      </c>
    </row>
    <row r="45" spans="2:16">
      <c r="B45" s="10">
        <v>1</v>
      </c>
      <c r="C45" s="1">
        <v>4</v>
      </c>
      <c r="D45" s="1">
        <v>12</v>
      </c>
      <c r="E45" s="12">
        <f>SQRT(($C45-B$34)^2+($D45-C$34)^2)</f>
        <v>8</v>
      </c>
      <c r="F45" s="12">
        <f>SQRT(($C45-D$34)^2+($D45-E$34)^2)</f>
        <v>1</v>
      </c>
      <c r="G45" s="12">
        <f>SQRT(($C45-F$34)^2+($D45-G$34)^2)</f>
        <v>8.4852813742385695</v>
      </c>
      <c r="H45" s="13">
        <f>MIN(E45:G45)</f>
        <v>1</v>
      </c>
      <c r="I45" s="14" t="str">
        <f>HLOOKUP(H45,E45:$G60,ROW($E$60:$G$60)+1-ROW(E45:G45),FALSE)</f>
        <v>cluster 2</v>
      </c>
      <c r="L45" s="7" t="s">
        <v>814</v>
      </c>
    </row>
    <row r="46" spans="2:16" ht="14.5" customHeight="1">
      <c r="B46" s="10">
        <v>2</v>
      </c>
      <c r="C46" s="1">
        <v>5</v>
      </c>
      <c r="D46" s="1">
        <v>10</v>
      </c>
      <c r="E46" s="12">
        <f t="shared" ref="E46:E58" si="0">SQRT(($C46-B$34)^2+($D46-C$34)^2)</f>
        <v>6.0827625302982193</v>
      </c>
      <c r="F46" s="12">
        <f t="shared" ref="F46:F58" si="1">SQRT(($C46-D$34)^2+($D46-E$34)^2)</f>
        <v>2</v>
      </c>
      <c r="G46" s="12">
        <f t="shared" ref="G46:G58" si="2">SQRT(($C46-F$34)^2+($D46-G$34)^2)</f>
        <v>6.4031242374328485</v>
      </c>
      <c r="H46" s="13">
        <f t="shared" ref="H46:H58" si="3">MIN(E46:G46)</f>
        <v>2</v>
      </c>
      <c r="I46" s="14" t="str">
        <f>HLOOKUP(H46,E46:$G61,ROW($E$60:$G$60)+1-ROW(E46:G46),FALSE)</f>
        <v>cluster 2</v>
      </c>
      <c r="L46" s="58" t="s">
        <v>815</v>
      </c>
      <c r="M46" s="58"/>
      <c r="N46" s="58"/>
      <c r="O46" s="58"/>
      <c r="P46" s="58"/>
    </row>
    <row r="47" spans="2:16">
      <c r="B47" s="10">
        <v>3</v>
      </c>
      <c r="C47" s="1">
        <v>8</v>
      </c>
      <c r="D47" s="1">
        <v>7</v>
      </c>
      <c r="E47" s="12">
        <f t="shared" si="0"/>
        <v>5</v>
      </c>
      <c r="F47" s="12">
        <f t="shared" si="1"/>
        <v>5.8309518948453007</v>
      </c>
      <c r="G47" s="12">
        <f t="shared" si="2"/>
        <v>2.2360679774997898</v>
      </c>
      <c r="H47" s="13">
        <f t="shared" si="3"/>
        <v>2.2360679774997898</v>
      </c>
      <c r="I47" s="14" t="str">
        <f>HLOOKUP(H47,E47:$G62,ROW($E$60:$G$60)+1-ROW(E47:G47),FALSE)</f>
        <v>cluster 3</v>
      </c>
      <c r="L47" s="58"/>
      <c r="M47" s="58"/>
      <c r="N47" s="58"/>
      <c r="O47" s="58"/>
      <c r="P47" s="58"/>
    </row>
    <row r="48" spans="2:16">
      <c r="B48" s="10">
        <v>4</v>
      </c>
      <c r="C48" s="1">
        <v>5</v>
      </c>
      <c r="D48" s="1">
        <v>3</v>
      </c>
      <c r="E48" s="12">
        <f t="shared" si="0"/>
        <v>1.4142135623730951</v>
      </c>
      <c r="F48" s="12">
        <f t="shared" si="1"/>
        <v>9</v>
      </c>
      <c r="G48" s="12">
        <f t="shared" si="2"/>
        <v>5.8309518948453007</v>
      </c>
      <c r="H48" s="13">
        <f t="shared" si="3"/>
        <v>1.4142135623730951</v>
      </c>
      <c r="I48" s="14" t="str">
        <f>HLOOKUP(H48,E48:$G63,ROW($E$60:$G$60)+1-ROW(E48:G48),FALSE)</f>
        <v>cluster 1</v>
      </c>
      <c r="L48" s="58"/>
      <c r="M48" s="58"/>
      <c r="N48" s="58"/>
      <c r="O48" s="58"/>
      <c r="P48" s="58"/>
    </row>
    <row r="49" spans="2:15">
      <c r="B49" s="10">
        <v>5</v>
      </c>
      <c r="C49" s="1">
        <v>5</v>
      </c>
      <c r="D49" s="1">
        <v>4</v>
      </c>
      <c r="E49" s="12">
        <f t="shared" si="0"/>
        <v>1</v>
      </c>
      <c r="F49" s="12">
        <f t="shared" si="1"/>
        <v>8</v>
      </c>
      <c r="G49" s="12">
        <f t="shared" si="2"/>
        <v>5.3851648071345037</v>
      </c>
      <c r="H49" s="13">
        <f t="shared" si="3"/>
        <v>1</v>
      </c>
      <c r="I49" s="14" t="str">
        <f>HLOOKUP(H49,E49:$G64,ROW($E$60:$G$60)+1-ROW(E49:G49),FALSE)</f>
        <v>cluster 1</v>
      </c>
    </row>
    <row r="50" spans="2:15">
      <c r="B50" s="10">
        <v>6</v>
      </c>
      <c r="C50" s="1">
        <v>2</v>
      </c>
      <c r="D50" s="1">
        <v>11</v>
      </c>
      <c r="E50" s="12">
        <f t="shared" si="0"/>
        <v>7.2801098892805181</v>
      </c>
      <c r="F50" s="12">
        <f t="shared" si="1"/>
        <v>3.1622776601683795</v>
      </c>
      <c r="G50" s="12">
        <f t="shared" si="2"/>
        <v>9.4339811320566032</v>
      </c>
      <c r="H50" s="13">
        <f t="shared" si="3"/>
        <v>3.1622776601683795</v>
      </c>
      <c r="I50" s="14" t="str">
        <f>HLOOKUP(H50,E50:$G65,ROW($E$60:$G$60)+1-ROW(E50:G50),FALSE)</f>
        <v>cluster 2</v>
      </c>
      <c r="L50" s="7" t="s">
        <v>816</v>
      </c>
      <c r="O50" s="7">
        <f>SUM(H45:H58)</f>
        <v>35.369643225869105</v>
      </c>
    </row>
    <row r="51" spans="2:15">
      <c r="B51" s="10">
        <v>7</v>
      </c>
      <c r="C51" s="1">
        <v>5</v>
      </c>
      <c r="D51" s="1">
        <v>4</v>
      </c>
      <c r="E51" s="12">
        <f t="shared" si="0"/>
        <v>1</v>
      </c>
      <c r="F51" s="12">
        <f t="shared" si="1"/>
        <v>8</v>
      </c>
      <c r="G51" s="12">
        <f t="shared" si="2"/>
        <v>5.3851648071345037</v>
      </c>
      <c r="H51" s="13">
        <f t="shared" si="3"/>
        <v>1</v>
      </c>
      <c r="I51" s="14" t="str">
        <f>HLOOKUP(H51,E51:$G66,ROW($E$60:$G$60)+1-ROW(E51:G51),FALSE)</f>
        <v>cluster 1</v>
      </c>
      <c r="L51" s="15" t="s">
        <v>817</v>
      </c>
    </row>
    <row r="52" spans="2:15">
      <c r="B52" s="10">
        <v>8</v>
      </c>
      <c r="C52" s="1">
        <v>3</v>
      </c>
      <c r="D52" s="1">
        <v>8</v>
      </c>
      <c r="E52" s="12">
        <f t="shared" si="0"/>
        <v>4.1231056256176606</v>
      </c>
      <c r="F52" s="12">
        <f t="shared" si="1"/>
        <v>4.4721359549995796</v>
      </c>
      <c r="G52" s="12">
        <f t="shared" si="2"/>
        <v>7.2801098892805181</v>
      </c>
      <c r="H52" s="13">
        <f t="shared" si="3"/>
        <v>4.1231056256176606</v>
      </c>
      <c r="I52" s="14" t="str">
        <f>HLOOKUP(H52,E52:$G67,ROW($E$60:$G$60)+1-ROW(E52:G52),FALSE)</f>
        <v>cluster 1</v>
      </c>
    </row>
    <row r="53" spans="2:15">
      <c r="B53" s="10">
        <v>9</v>
      </c>
      <c r="C53" s="1">
        <v>6</v>
      </c>
      <c r="D53" s="1">
        <v>2</v>
      </c>
      <c r="E53" s="12">
        <f t="shared" si="0"/>
        <v>2.8284271247461903</v>
      </c>
      <c r="F53" s="12">
        <f t="shared" si="1"/>
        <v>10.04987562112089</v>
      </c>
      <c r="G53" s="12">
        <f t="shared" si="2"/>
        <v>5.6568542494923806</v>
      </c>
      <c r="H53" s="13">
        <f t="shared" si="3"/>
        <v>2.8284271247461903</v>
      </c>
      <c r="I53" s="14" t="str">
        <f>HLOOKUP(H53,E53:$G68,ROW($E$60:$G$60)+1-ROW(E53:G53),FALSE)</f>
        <v>cluster 1</v>
      </c>
      <c r="L53" s="15" t="s">
        <v>818</v>
      </c>
    </row>
    <row r="54" spans="2:15">
      <c r="B54" s="10">
        <v>10</v>
      </c>
      <c r="C54" s="1">
        <v>7</v>
      </c>
      <c r="D54" s="1">
        <v>4</v>
      </c>
      <c r="E54" s="12">
        <f t="shared" si="0"/>
        <v>3</v>
      </c>
      <c r="F54" s="12">
        <f t="shared" si="1"/>
        <v>8.2462112512353212</v>
      </c>
      <c r="G54" s="12">
        <f t="shared" si="2"/>
        <v>3.6055512754639891</v>
      </c>
      <c r="H54" s="13">
        <f t="shared" si="3"/>
        <v>3</v>
      </c>
      <c r="I54" s="14" t="str">
        <f>HLOOKUP(H54,E54:$G69,ROW($E$60:$G$60)+1-ROW(E54:G54),FALSE)</f>
        <v>cluster 1</v>
      </c>
    </row>
    <row r="55" spans="2:15">
      <c r="B55" s="10">
        <v>11</v>
      </c>
      <c r="C55" s="1">
        <v>10</v>
      </c>
      <c r="D55" s="1">
        <v>8</v>
      </c>
      <c r="E55" s="12">
        <f t="shared" si="0"/>
        <v>7.2111025509279782</v>
      </c>
      <c r="F55" s="12">
        <f t="shared" si="1"/>
        <v>6.4031242374328485</v>
      </c>
      <c r="G55" s="12">
        <f t="shared" si="2"/>
        <v>2</v>
      </c>
      <c r="H55" s="13">
        <f t="shared" si="3"/>
        <v>2</v>
      </c>
      <c r="I55" s="14" t="str">
        <f>HLOOKUP(H55,E55:$G70,ROW($E$60:$G$60)+1-ROW(E55:G55),FALSE)</f>
        <v>cluster 3</v>
      </c>
      <c r="L55" s="15" t="s">
        <v>819</v>
      </c>
    </row>
    <row r="56" spans="2:15">
      <c r="B56" s="10">
        <v>12</v>
      </c>
      <c r="C56" s="1">
        <v>8</v>
      </c>
      <c r="D56" s="1">
        <v>9</v>
      </c>
      <c r="E56" s="12">
        <f t="shared" si="0"/>
        <v>6.4031242374328485</v>
      </c>
      <c r="F56" s="12">
        <f t="shared" si="1"/>
        <v>4.2426406871192848</v>
      </c>
      <c r="G56" s="12">
        <f t="shared" si="2"/>
        <v>3.6055512754639891</v>
      </c>
      <c r="H56" s="13">
        <f t="shared" si="3"/>
        <v>3.6055512754639891</v>
      </c>
      <c r="I56" s="14" t="str">
        <f>HLOOKUP(H56,E56:$G71,ROW($E$60:$G$60)+1-ROW(E56:G56),FALSE)</f>
        <v>cluster 3</v>
      </c>
    </row>
    <row r="57" spans="2:15">
      <c r="B57" s="10">
        <v>13</v>
      </c>
      <c r="C57" s="1">
        <v>10</v>
      </c>
      <c r="D57" s="1">
        <v>9</v>
      </c>
      <c r="E57" s="12">
        <f t="shared" si="0"/>
        <v>7.810249675906654</v>
      </c>
      <c r="F57" s="12">
        <f t="shared" si="1"/>
        <v>5.8309518948453007</v>
      </c>
      <c r="G57" s="12">
        <f t="shared" si="2"/>
        <v>3</v>
      </c>
      <c r="H57" s="13">
        <f t="shared" si="3"/>
        <v>3</v>
      </c>
      <c r="I57" s="14" t="str">
        <f>HLOOKUP(H57,E57:$G72,ROW($E$60:$G$60)+1-ROW(E57:G57),FALSE)</f>
        <v>cluster 3</v>
      </c>
    </row>
    <row r="58" spans="2:15">
      <c r="B58" s="10">
        <v>14</v>
      </c>
      <c r="C58" s="1">
        <v>10</v>
      </c>
      <c r="D58" s="1">
        <v>12</v>
      </c>
      <c r="E58" s="12">
        <f t="shared" si="0"/>
        <v>10</v>
      </c>
      <c r="F58" s="12">
        <f t="shared" si="1"/>
        <v>5</v>
      </c>
      <c r="G58" s="12">
        <f t="shared" si="2"/>
        <v>6</v>
      </c>
      <c r="H58" s="13">
        <f t="shared" si="3"/>
        <v>5</v>
      </c>
      <c r="I58" s="14" t="str">
        <f>HLOOKUP(H58,E58:$G73,ROW($E$60:$G$60)+1-ROW(E58:G58),FALSE)</f>
        <v>cluster 2</v>
      </c>
    </row>
    <row r="60" spans="2:15">
      <c r="E60" s="3" t="s">
        <v>6</v>
      </c>
      <c r="F60" s="4" t="s">
        <v>7</v>
      </c>
      <c r="G60" s="5" t="s">
        <v>8</v>
      </c>
    </row>
    <row r="63" spans="2:15">
      <c r="B63" s="7" t="s">
        <v>820</v>
      </c>
    </row>
    <row r="64" spans="2:15">
      <c r="B64" s="6" t="s">
        <v>821</v>
      </c>
    </row>
    <row r="67" spans="2:13" ht="43.75" customHeight="1">
      <c r="B67" s="9" t="str">
        <f>B44</f>
        <v>Id</v>
      </c>
      <c r="C67" s="9" t="str">
        <f t="shared" ref="C67:I67" si="4">C44</f>
        <v>x</v>
      </c>
      <c r="D67" s="9" t="str">
        <f t="shared" si="4"/>
        <v>y</v>
      </c>
      <c r="E67" s="11" t="str">
        <f t="shared" si="4"/>
        <v>distance to cluster 1</v>
      </c>
      <c r="F67" s="11" t="str">
        <f t="shared" si="4"/>
        <v>distance to cluster 2</v>
      </c>
      <c r="G67" s="11" t="str">
        <f t="shared" si="4"/>
        <v>distance to cluster 3</v>
      </c>
      <c r="H67" s="11" t="str">
        <f t="shared" si="4"/>
        <v>min. Dist</v>
      </c>
      <c r="I67" s="11" t="str">
        <f t="shared" si="4"/>
        <v>which cluster</v>
      </c>
      <c r="J67" s="16" t="s">
        <v>822</v>
      </c>
      <c r="K67" s="18" t="s">
        <v>6</v>
      </c>
      <c r="L67" s="18" t="s">
        <v>7</v>
      </c>
      <c r="M67" s="18" t="s">
        <v>8</v>
      </c>
    </row>
    <row r="68" spans="2:13">
      <c r="B68" s="10">
        <f t="shared" ref="B68:I68" si="5">B45</f>
        <v>1</v>
      </c>
      <c r="C68" s="1">
        <f t="shared" si="5"/>
        <v>4</v>
      </c>
      <c r="D68" s="1">
        <f t="shared" si="5"/>
        <v>12</v>
      </c>
      <c r="E68" s="12">
        <f>E45</f>
        <v>8</v>
      </c>
      <c r="F68" s="12">
        <f t="shared" si="5"/>
        <v>1</v>
      </c>
      <c r="G68" s="12">
        <f t="shared" si="5"/>
        <v>8.4852813742385695</v>
      </c>
      <c r="H68" s="13">
        <f t="shared" si="5"/>
        <v>1</v>
      </c>
      <c r="I68" s="14" t="str">
        <f t="shared" si="5"/>
        <v>cluster 2</v>
      </c>
      <c r="J68" s="17">
        <f>C68</f>
        <v>4</v>
      </c>
      <c r="K68" s="1" t="e">
        <f>IF($I68=K$67,$D68,NA())</f>
        <v>#N/A</v>
      </c>
      <c r="L68" s="1">
        <f t="shared" ref="L68:M81" si="6">IF($I68=L$67,$D68,NA())</f>
        <v>12</v>
      </c>
      <c r="M68" s="1" t="e">
        <f t="shared" si="6"/>
        <v>#N/A</v>
      </c>
    </row>
    <row r="69" spans="2:13">
      <c r="B69" s="10">
        <f t="shared" ref="B69:I69" si="7">B46</f>
        <v>2</v>
      </c>
      <c r="C69" s="1">
        <f t="shared" si="7"/>
        <v>5</v>
      </c>
      <c r="D69" s="1">
        <f t="shared" si="7"/>
        <v>10</v>
      </c>
      <c r="E69" s="12">
        <f t="shared" si="7"/>
        <v>6.0827625302982193</v>
      </c>
      <c r="F69" s="12">
        <f t="shared" si="7"/>
        <v>2</v>
      </c>
      <c r="G69" s="12">
        <f t="shared" si="7"/>
        <v>6.4031242374328485</v>
      </c>
      <c r="H69" s="13">
        <f t="shared" si="7"/>
        <v>2</v>
      </c>
      <c r="I69" s="14" t="str">
        <f t="shared" si="7"/>
        <v>cluster 2</v>
      </c>
      <c r="J69" s="17">
        <f t="shared" ref="J69:J81" si="8">C69</f>
        <v>5</v>
      </c>
      <c r="K69" s="1" t="e">
        <f t="shared" ref="K69:K81" si="9">IF($I69=K$67,$D69,NA())</f>
        <v>#N/A</v>
      </c>
      <c r="L69" s="1">
        <f t="shared" si="6"/>
        <v>10</v>
      </c>
      <c r="M69" s="1" t="e">
        <f t="shared" si="6"/>
        <v>#N/A</v>
      </c>
    </row>
    <row r="70" spans="2:13">
      <c r="B70" s="10">
        <f t="shared" ref="B70:I70" si="10">B47</f>
        <v>3</v>
      </c>
      <c r="C70" s="1">
        <f t="shared" si="10"/>
        <v>8</v>
      </c>
      <c r="D70" s="1">
        <f t="shared" si="10"/>
        <v>7</v>
      </c>
      <c r="E70" s="12">
        <f t="shared" si="10"/>
        <v>5</v>
      </c>
      <c r="F70" s="12">
        <f t="shared" si="10"/>
        <v>5.8309518948453007</v>
      </c>
      <c r="G70" s="12">
        <f t="shared" si="10"/>
        <v>2.2360679774997898</v>
      </c>
      <c r="H70" s="13">
        <f t="shared" si="10"/>
        <v>2.2360679774997898</v>
      </c>
      <c r="I70" s="14" t="str">
        <f t="shared" si="10"/>
        <v>cluster 3</v>
      </c>
      <c r="J70" s="17">
        <f t="shared" si="8"/>
        <v>8</v>
      </c>
      <c r="K70" s="1" t="e">
        <f t="shared" si="9"/>
        <v>#N/A</v>
      </c>
      <c r="L70" s="1" t="e">
        <f t="shared" si="6"/>
        <v>#N/A</v>
      </c>
      <c r="M70" s="1">
        <f t="shared" si="6"/>
        <v>7</v>
      </c>
    </row>
    <row r="71" spans="2:13">
      <c r="B71" s="10">
        <f t="shared" ref="B71:I71" si="11">B48</f>
        <v>4</v>
      </c>
      <c r="C71" s="1">
        <f t="shared" si="11"/>
        <v>5</v>
      </c>
      <c r="D71" s="1">
        <f t="shared" si="11"/>
        <v>3</v>
      </c>
      <c r="E71" s="12">
        <f t="shared" si="11"/>
        <v>1.4142135623730951</v>
      </c>
      <c r="F71" s="12">
        <f t="shared" si="11"/>
        <v>9</v>
      </c>
      <c r="G71" s="12">
        <f t="shared" si="11"/>
        <v>5.8309518948453007</v>
      </c>
      <c r="H71" s="13">
        <f t="shared" si="11"/>
        <v>1.4142135623730951</v>
      </c>
      <c r="I71" s="14" t="str">
        <f t="shared" si="11"/>
        <v>cluster 1</v>
      </c>
      <c r="J71" s="17">
        <f t="shared" si="8"/>
        <v>5</v>
      </c>
      <c r="K71" s="1">
        <f t="shared" si="9"/>
        <v>3</v>
      </c>
      <c r="L71" s="1" t="e">
        <f t="shared" si="6"/>
        <v>#N/A</v>
      </c>
      <c r="M71" s="1" t="e">
        <f t="shared" si="6"/>
        <v>#N/A</v>
      </c>
    </row>
    <row r="72" spans="2:13">
      <c r="B72" s="10">
        <f t="shared" ref="B72:H72" si="12">B49</f>
        <v>5</v>
      </c>
      <c r="C72" s="1">
        <f t="shared" si="12"/>
        <v>5</v>
      </c>
      <c r="D72" s="1">
        <f t="shared" si="12"/>
        <v>4</v>
      </c>
      <c r="E72" s="12">
        <f t="shared" si="12"/>
        <v>1</v>
      </c>
      <c r="F72" s="12">
        <f t="shared" si="12"/>
        <v>8</v>
      </c>
      <c r="G72" s="12">
        <f t="shared" si="12"/>
        <v>5.3851648071345037</v>
      </c>
      <c r="H72" s="13">
        <f t="shared" si="12"/>
        <v>1</v>
      </c>
      <c r="I72" s="14" t="str">
        <f>I49</f>
        <v>cluster 1</v>
      </c>
      <c r="J72" s="17">
        <f t="shared" si="8"/>
        <v>5</v>
      </c>
      <c r="K72" s="1">
        <f t="shared" si="9"/>
        <v>4</v>
      </c>
      <c r="L72" s="1" t="e">
        <f t="shared" si="6"/>
        <v>#N/A</v>
      </c>
      <c r="M72" s="1" t="e">
        <f t="shared" si="6"/>
        <v>#N/A</v>
      </c>
    </row>
    <row r="73" spans="2:13">
      <c r="B73" s="10">
        <f t="shared" ref="B73:I73" si="13">B50</f>
        <v>6</v>
      </c>
      <c r="C73" s="1">
        <f t="shared" si="13"/>
        <v>2</v>
      </c>
      <c r="D73" s="1">
        <f t="shared" si="13"/>
        <v>11</v>
      </c>
      <c r="E73" s="12">
        <f t="shared" si="13"/>
        <v>7.2801098892805181</v>
      </c>
      <c r="F73" s="12">
        <f t="shared" si="13"/>
        <v>3.1622776601683795</v>
      </c>
      <c r="G73" s="12">
        <f t="shared" si="13"/>
        <v>9.4339811320566032</v>
      </c>
      <c r="H73" s="13">
        <f t="shared" si="13"/>
        <v>3.1622776601683795</v>
      </c>
      <c r="I73" s="14" t="str">
        <f t="shared" si="13"/>
        <v>cluster 2</v>
      </c>
      <c r="J73" s="17">
        <f t="shared" si="8"/>
        <v>2</v>
      </c>
      <c r="K73" s="1" t="e">
        <f t="shared" si="9"/>
        <v>#N/A</v>
      </c>
      <c r="L73" s="1">
        <f t="shared" si="6"/>
        <v>11</v>
      </c>
      <c r="M73" s="1" t="e">
        <f t="shared" si="6"/>
        <v>#N/A</v>
      </c>
    </row>
    <row r="74" spans="2:13">
      <c r="B74" s="10">
        <f t="shared" ref="B74:I74" si="14">B51</f>
        <v>7</v>
      </c>
      <c r="C74" s="1">
        <f t="shared" si="14"/>
        <v>5</v>
      </c>
      <c r="D74" s="1">
        <f t="shared" si="14"/>
        <v>4</v>
      </c>
      <c r="E74" s="12">
        <f t="shared" si="14"/>
        <v>1</v>
      </c>
      <c r="F74" s="12">
        <f t="shared" si="14"/>
        <v>8</v>
      </c>
      <c r="G74" s="12">
        <f t="shared" si="14"/>
        <v>5.3851648071345037</v>
      </c>
      <c r="H74" s="13">
        <f t="shared" si="14"/>
        <v>1</v>
      </c>
      <c r="I74" s="14" t="str">
        <f t="shared" si="14"/>
        <v>cluster 1</v>
      </c>
      <c r="J74" s="17">
        <f t="shared" si="8"/>
        <v>5</v>
      </c>
      <c r="K74" s="1">
        <f t="shared" si="9"/>
        <v>4</v>
      </c>
      <c r="L74" s="1" t="e">
        <f t="shared" si="6"/>
        <v>#N/A</v>
      </c>
      <c r="M74" s="1" t="e">
        <f t="shared" si="6"/>
        <v>#N/A</v>
      </c>
    </row>
    <row r="75" spans="2:13">
      <c r="B75" s="10">
        <f t="shared" ref="B75:I75" si="15">B52</f>
        <v>8</v>
      </c>
      <c r="C75" s="1">
        <f t="shared" si="15"/>
        <v>3</v>
      </c>
      <c r="D75" s="1">
        <f t="shared" si="15"/>
        <v>8</v>
      </c>
      <c r="E75" s="12">
        <f t="shared" si="15"/>
        <v>4.1231056256176606</v>
      </c>
      <c r="F75" s="12">
        <f t="shared" si="15"/>
        <v>4.4721359549995796</v>
      </c>
      <c r="G75" s="12">
        <f t="shared" si="15"/>
        <v>7.2801098892805181</v>
      </c>
      <c r="H75" s="13">
        <f t="shared" si="15"/>
        <v>4.1231056256176606</v>
      </c>
      <c r="I75" s="14" t="str">
        <f t="shared" si="15"/>
        <v>cluster 1</v>
      </c>
      <c r="J75" s="17">
        <f t="shared" si="8"/>
        <v>3</v>
      </c>
      <c r="K75" s="1">
        <f t="shared" si="9"/>
        <v>8</v>
      </c>
      <c r="L75" s="1" t="e">
        <f t="shared" si="6"/>
        <v>#N/A</v>
      </c>
      <c r="M75" s="1" t="e">
        <f t="shared" si="6"/>
        <v>#N/A</v>
      </c>
    </row>
    <row r="76" spans="2:13">
      <c r="B76" s="10">
        <f t="shared" ref="B76:I76" si="16">B53</f>
        <v>9</v>
      </c>
      <c r="C76" s="1">
        <f t="shared" si="16"/>
        <v>6</v>
      </c>
      <c r="D76" s="1">
        <f t="shared" si="16"/>
        <v>2</v>
      </c>
      <c r="E76" s="12">
        <f t="shared" si="16"/>
        <v>2.8284271247461903</v>
      </c>
      <c r="F76" s="12">
        <f t="shared" si="16"/>
        <v>10.04987562112089</v>
      </c>
      <c r="G76" s="12">
        <f t="shared" si="16"/>
        <v>5.6568542494923806</v>
      </c>
      <c r="H76" s="13">
        <f t="shared" si="16"/>
        <v>2.8284271247461903</v>
      </c>
      <c r="I76" s="14" t="str">
        <f t="shared" si="16"/>
        <v>cluster 1</v>
      </c>
      <c r="J76" s="17">
        <f t="shared" si="8"/>
        <v>6</v>
      </c>
      <c r="K76" s="1">
        <f t="shared" si="9"/>
        <v>2</v>
      </c>
      <c r="L76" s="1" t="e">
        <f t="shared" si="6"/>
        <v>#N/A</v>
      </c>
      <c r="M76" s="1" t="e">
        <f t="shared" si="6"/>
        <v>#N/A</v>
      </c>
    </row>
    <row r="77" spans="2:13">
      <c r="B77" s="10">
        <f t="shared" ref="B77:I77" si="17">B54</f>
        <v>10</v>
      </c>
      <c r="C77" s="1">
        <f t="shared" si="17"/>
        <v>7</v>
      </c>
      <c r="D77" s="1">
        <f t="shared" si="17"/>
        <v>4</v>
      </c>
      <c r="E77" s="12">
        <f t="shared" si="17"/>
        <v>3</v>
      </c>
      <c r="F77" s="12">
        <f t="shared" si="17"/>
        <v>8.2462112512353212</v>
      </c>
      <c r="G77" s="12">
        <f t="shared" si="17"/>
        <v>3.6055512754639891</v>
      </c>
      <c r="H77" s="13">
        <f t="shared" si="17"/>
        <v>3</v>
      </c>
      <c r="I77" s="14" t="str">
        <f t="shared" si="17"/>
        <v>cluster 1</v>
      </c>
      <c r="J77" s="17">
        <f t="shared" si="8"/>
        <v>7</v>
      </c>
      <c r="K77" s="1">
        <f t="shared" si="9"/>
        <v>4</v>
      </c>
      <c r="L77" s="1" t="e">
        <f t="shared" si="6"/>
        <v>#N/A</v>
      </c>
      <c r="M77" s="1" t="e">
        <f t="shared" si="6"/>
        <v>#N/A</v>
      </c>
    </row>
    <row r="78" spans="2:13">
      <c r="B78" s="10">
        <f t="shared" ref="B78:I78" si="18">B55</f>
        <v>11</v>
      </c>
      <c r="C78" s="1">
        <f t="shared" si="18"/>
        <v>10</v>
      </c>
      <c r="D78" s="1">
        <f t="shared" si="18"/>
        <v>8</v>
      </c>
      <c r="E78" s="12">
        <f t="shared" si="18"/>
        <v>7.2111025509279782</v>
      </c>
      <c r="F78" s="12">
        <f t="shared" si="18"/>
        <v>6.4031242374328485</v>
      </c>
      <c r="G78" s="12">
        <f t="shared" si="18"/>
        <v>2</v>
      </c>
      <c r="H78" s="13">
        <f t="shared" si="18"/>
        <v>2</v>
      </c>
      <c r="I78" s="14" t="str">
        <f t="shared" si="18"/>
        <v>cluster 3</v>
      </c>
      <c r="J78" s="17">
        <f t="shared" si="8"/>
        <v>10</v>
      </c>
      <c r="K78" s="1" t="e">
        <f t="shared" si="9"/>
        <v>#N/A</v>
      </c>
      <c r="L78" s="1" t="e">
        <f t="shared" si="6"/>
        <v>#N/A</v>
      </c>
      <c r="M78" s="1">
        <f t="shared" si="6"/>
        <v>8</v>
      </c>
    </row>
    <row r="79" spans="2:13">
      <c r="B79" s="10">
        <f t="shared" ref="B79:I79" si="19">B56</f>
        <v>12</v>
      </c>
      <c r="C79" s="1">
        <f t="shared" si="19"/>
        <v>8</v>
      </c>
      <c r="D79" s="1">
        <f t="shared" si="19"/>
        <v>9</v>
      </c>
      <c r="E79" s="12">
        <f t="shared" si="19"/>
        <v>6.4031242374328485</v>
      </c>
      <c r="F79" s="12">
        <f t="shared" si="19"/>
        <v>4.2426406871192848</v>
      </c>
      <c r="G79" s="12">
        <f t="shared" si="19"/>
        <v>3.6055512754639891</v>
      </c>
      <c r="H79" s="13">
        <f t="shared" si="19"/>
        <v>3.6055512754639891</v>
      </c>
      <c r="I79" s="14" t="str">
        <f t="shared" si="19"/>
        <v>cluster 3</v>
      </c>
      <c r="J79" s="17">
        <f t="shared" si="8"/>
        <v>8</v>
      </c>
      <c r="K79" s="1" t="e">
        <f t="shared" si="9"/>
        <v>#N/A</v>
      </c>
      <c r="L79" s="1" t="e">
        <f t="shared" si="6"/>
        <v>#N/A</v>
      </c>
      <c r="M79" s="1">
        <f t="shared" si="6"/>
        <v>9</v>
      </c>
    </row>
    <row r="80" spans="2:13">
      <c r="B80" s="10">
        <f t="shared" ref="B80:I80" si="20">B57</f>
        <v>13</v>
      </c>
      <c r="C80" s="1">
        <f t="shared" si="20"/>
        <v>10</v>
      </c>
      <c r="D80" s="1">
        <f t="shared" si="20"/>
        <v>9</v>
      </c>
      <c r="E80" s="12">
        <f t="shared" si="20"/>
        <v>7.810249675906654</v>
      </c>
      <c r="F80" s="12">
        <f t="shared" si="20"/>
        <v>5.8309518948453007</v>
      </c>
      <c r="G80" s="12">
        <f t="shared" si="20"/>
        <v>3</v>
      </c>
      <c r="H80" s="13">
        <f t="shared" si="20"/>
        <v>3</v>
      </c>
      <c r="I80" s="14" t="str">
        <f t="shared" si="20"/>
        <v>cluster 3</v>
      </c>
      <c r="J80" s="17">
        <f t="shared" si="8"/>
        <v>10</v>
      </c>
      <c r="K80" s="1" t="e">
        <f t="shared" si="9"/>
        <v>#N/A</v>
      </c>
      <c r="L80" s="1" t="e">
        <f t="shared" si="6"/>
        <v>#N/A</v>
      </c>
      <c r="M80" s="1">
        <f t="shared" si="6"/>
        <v>9</v>
      </c>
    </row>
    <row r="81" spans="2:13">
      <c r="B81" s="10">
        <f t="shared" ref="B81:I81" si="21">B58</f>
        <v>14</v>
      </c>
      <c r="C81" s="1">
        <f t="shared" si="21"/>
        <v>10</v>
      </c>
      <c r="D81" s="1">
        <f t="shared" si="21"/>
        <v>12</v>
      </c>
      <c r="E81" s="12">
        <f t="shared" si="21"/>
        <v>10</v>
      </c>
      <c r="F81" s="12">
        <f t="shared" si="21"/>
        <v>5</v>
      </c>
      <c r="G81" s="12">
        <f t="shared" si="21"/>
        <v>6</v>
      </c>
      <c r="H81" s="13">
        <f t="shared" si="21"/>
        <v>5</v>
      </c>
      <c r="I81" s="14" t="str">
        <f t="shared" si="21"/>
        <v>cluster 2</v>
      </c>
      <c r="J81" s="17">
        <f t="shared" si="8"/>
        <v>10</v>
      </c>
      <c r="K81" s="1" t="e">
        <f t="shared" si="9"/>
        <v>#N/A</v>
      </c>
      <c r="L81" s="1">
        <f t="shared" si="6"/>
        <v>12</v>
      </c>
      <c r="M81" s="1" t="e">
        <f t="shared" si="6"/>
        <v>#N/A</v>
      </c>
    </row>
  </sheetData>
  <mergeCells count="4">
    <mergeCell ref="D32:E32"/>
    <mergeCell ref="F32:G32"/>
    <mergeCell ref="B32:C32"/>
    <mergeCell ref="L46:P48"/>
  </mergeCells>
  <conditionalFormatting sqref="I45:I58">
    <cfRule type="cellIs" dxfId="23" priority="4" operator="equal">
      <formula>$G$21</formula>
    </cfRule>
    <cfRule type="cellIs" dxfId="22" priority="5" operator="equal">
      <formula>$F$21</formula>
    </cfRule>
    <cfRule type="cellIs" dxfId="21" priority="6" operator="equal">
      <formula>$E$21</formula>
    </cfRule>
  </conditionalFormatting>
  <conditionalFormatting sqref="I68:I81">
    <cfRule type="cellIs" dxfId="20" priority="1" operator="equal">
      <formula>$G$21</formula>
    </cfRule>
    <cfRule type="cellIs" dxfId="19" priority="2" operator="equal">
      <formula>$F$21</formula>
    </cfRule>
    <cfRule type="cellIs" dxfId="18" priority="3" operator="equal">
      <formula>$E$21</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V183"/>
  <sheetViews>
    <sheetView topLeftCell="A13" workbookViewId="0">
      <selection activeCell="AA24" sqref="AA24"/>
    </sheetView>
  </sheetViews>
  <sheetFormatPr baseColWidth="10" defaultColWidth="8.83203125" defaultRowHeight="15"/>
  <cols>
    <col min="1" max="1" width="8.83203125" style="6"/>
    <col min="2" max="2" width="10.83203125" style="6" customWidth="1"/>
    <col min="3" max="3" width="11.1640625" style="6" customWidth="1"/>
    <col min="4" max="4" width="8.83203125" style="6"/>
    <col min="5" max="6" width="4.83203125" style="6" customWidth="1"/>
    <col min="7" max="7" width="4.33203125" style="6" customWidth="1"/>
    <col min="8" max="8" width="6.5" style="6" customWidth="1"/>
    <col min="9" max="9" width="5.83203125" style="6" customWidth="1"/>
    <col min="10" max="18" width="3.1640625" style="6" customWidth="1"/>
    <col min="19" max="25" width="3" style="6" bestFit="1" customWidth="1"/>
    <col min="26" max="26" width="3.1640625" style="6" customWidth="1"/>
    <col min="27" max="32" width="3" style="6" bestFit="1" customWidth="1"/>
    <col min="33" max="46" width="2.83203125" style="6" customWidth="1"/>
    <col min="47" max="47" width="5.1640625" style="6" customWidth="1"/>
    <col min="48" max="48" width="3.33203125" style="6" customWidth="1"/>
    <col min="49" max="16384" width="8.83203125" style="6"/>
  </cols>
  <sheetData>
    <row r="2" spans="2:30">
      <c r="B2" s="7" t="s">
        <v>9</v>
      </c>
    </row>
    <row r="4" spans="2:30">
      <c r="B4" s="6" t="s">
        <v>803</v>
      </c>
    </row>
    <row r="6" spans="2:30">
      <c r="I6" s="30"/>
      <c r="J6" s="30"/>
      <c r="K6" s="30"/>
      <c r="L6" s="30"/>
      <c r="M6" s="30"/>
      <c r="N6" s="30"/>
      <c r="O6" s="30"/>
      <c r="P6" s="30"/>
      <c r="Q6" s="30"/>
      <c r="R6" s="30"/>
      <c r="S6" s="30"/>
      <c r="T6" s="30"/>
      <c r="U6" s="30"/>
      <c r="V6" s="30"/>
      <c r="W6" s="30"/>
      <c r="X6" s="30"/>
      <c r="Y6" s="30"/>
      <c r="Z6" s="30"/>
      <c r="AA6" s="30"/>
      <c r="AB6" s="30"/>
      <c r="AC6" s="30"/>
      <c r="AD6" s="30"/>
    </row>
    <row r="7" spans="2:30">
      <c r="B7" s="9" t="s">
        <v>10</v>
      </c>
      <c r="C7" s="9" t="s">
        <v>0</v>
      </c>
      <c r="D7" s="9" t="s">
        <v>1</v>
      </c>
      <c r="G7" s="7"/>
      <c r="I7" s="30"/>
      <c r="J7" s="31"/>
      <c r="K7" s="32"/>
      <c r="L7" s="32"/>
      <c r="M7" s="32"/>
      <c r="N7" s="32"/>
      <c r="O7" s="32"/>
      <c r="P7" s="32"/>
      <c r="Q7" s="32"/>
      <c r="R7" s="32"/>
      <c r="S7" s="32"/>
      <c r="T7" s="32"/>
      <c r="U7" s="32"/>
      <c r="V7" s="32"/>
      <c r="W7" s="32"/>
      <c r="X7" s="32"/>
      <c r="Y7" s="30"/>
      <c r="Z7" s="30"/>
      <c r="AA7" s="30"/>
      <c r="AB7" s="30"/>
      <c r="AC7" s="30"/>
      <c r="AD7" s="30"/>
    </row>
    <row r="8" spans="2:30">
      <c r="B8" s="10">
        <v>1</v>
      </c>
      <c r="C8" s="1">
        <v>4</v>
      </c>
      <c r="D8" s="1">
        <v>12</v>
      </c>
      <c r="I8" s="30"/>
      <c r="J8" s="31"/>
      <c r="K8" s="33"/>
      <c r="L8" s="33"/>
      <c r="M8" s="33"/>
      <c r="N8" s="33"/>
      <c r="O8" s="33"/>
      <c r="P8" s="33"/>
      <c r="Q8" s="33"/>
      <c r="R8" s="33"/>
      <c r="S8" s="33"/>
      <c r="T8" s="33"/>
      <c r="U8" s="33"/>
      <c r="V8" s="33"/>
      <c r="W8" s="33"/>
      <c r="X8" s="33"/>
      <c r="Y8" s="30"/>
      <c r="Z8" s="30"/>
      <c r="AA8" s="30"/>
      <c r="AB8" s="30"/>
      <c r="AC8" s="30"/>
      <c r="AD8" s="30"/>
    </row>
    <row r="9" spans="2:30">
      <c r="B9" s="10">
        <v>2</v>
      </c>
      <c r="C9" s="1">
        <v>5</v>
      </c>
      <c r="D9" s="1">
        <v>10</v>
      </c>
      <c r="I9" s="30"/>
      <c r="J9" s="31"/>
      <c r="K9" s="33"/>
      <c r="L9" s="33"/>
      <c r="M9" s="33"/>
      <c r="N9" s="33"/>
      <c r="O9" s="33"/>
      <c r="P9" s="33"/>
      <c r="Q9" s="33"/>
      <c r="R9" s="33"/>
      <c r="S9" s="33"/>
      <c r="T9" s="33"/>
      <c r="U9" s="33"/>
      <c r="V9" s="33"/>
      <c r="W9" s="33"/>
      <c r="X9" s="33"/>
      <c r="Y9" s="30"/>
      <c r="Z9" s="30"/>
      <c r="AA9" s="30"/>
      <c r="AB9" s="30"/>
      <c r="AC9" s="30"/>
      <c r="AD9" s="30"/>
    </row>
    <row r="10" spans="2:30">
      <c r="B10" s="10">
        <v>3</v>
      </c>
      <c r="C10" s="1">
        <v>8</v>
      </c>
      <c r="D10" s="1">
        <v>7</v>
      </c>
      <c r="I10" s="30"/>
      <c r="J10" s="30"/>
      <c r="K10" s="30"/>
      <c r="L10" s="30"/>
      <c r="M10" s="30"/>
      <c r="N10" s="30"/>
      <c r="O10" s="30"/>
      <c r="P10" s="30"/>
      <c r="Q10" s="30"/>
      <c r="R10" s="30"/>
      <c r="S10" s="30"/>
      <c r="T10" s="30"/>
      <c r="U10" s="30"/>
      <c r="V10" s="30"/>
      <c r="W10" s="30"/>
      <c r="X10" s="30"/>
      <c r="Y10" s="30"/>
      <c r="Z10" s="30"/>
      <c r="AA10" s="30"/>
      <c r="AB10" s="30"/>
      <c r="AC10" s="30"/>
      <c r="AD10" s="30"/>
    </row>
    <row r="11" spans="2:30">
      <c r="B11" s="10">
        <v>4</v>
      </c>
      <c r="C11" s="1">
        <v>5</v>
      </c>
      <c r="D11" s="1">
        <v>3</v>
      </c>
      <c r="I11" s="30"/>
      <c r="J11" s="30"/>
      <c r="K11" s="30"/>
      <c r="L11" s="30"/>
      <c r="M11" s="30"/>
      <c r="N11" s="30"/>
      <c r="O11" s="30"/>
      <c r="P11" s="30"/>
      <c r="Q11" s="30"/>
      <c r="R11" s="30"/>
      <c r="S11" s="30"/>
      <c r="T11" s="30"/>
      <c r="U11" s="30"/>
      <c r="V11" s="30"/>
      <c r="W11" s="30"/>
      <c r="X11" s="30"/>
      <c r="Y11" s="30"/>
      <c r="Z11" s="30"/>
      <c r="AA11" s="30"/>
      <c r="AB11" s="30"/>
      <c r="AC11" s="30"/>
      <c r="AD11" s="30"/>
    </row>
    <row r="12" spans="2:30">
      <c r="B12" s="10">
        <v>5</v>
      </c>
      <c r="C12" s="1">
        <v>5</v>
      </c>
      <c r="D12" s="1">
        <v>4</v>
      </c>
      <c r="I12" s="30"/>
      <c r="J12" s="30"/>
      <c r="K12" s="30"/>
      <c r="L12" s="30"/>
      <c r="M12" s="30"/>
      <c r="N12" s="30"/>
      <c r="O12" s="30"/>
      <c r="P12" s="30"/>
      <c r="Q12" s="30"/>
      <c r="R12" s="30"/>
      <c r="S12" s="30"/>
      <c r="T12" s="30"/>
      <c r="U12" s="30"/>
      <c r="V12" s="30"/>
      <c r="W12" s="30"/>
      <c r="X12" s="30"/>
      <c r="Y12" s="30"/>
      <c r="Z12" s="30"/>
      <c r="AA12" s="30"/>
      <c r="AB12" s="30"/>
      <c r="AC12" s="30"/>
      <c r="AD12" s="30"/>
    </row>
    <row r="13" spans="2:30">
      <c r="B13" s="10">
        <v>6</v>
      </c>
      <c r="C13" s="1">
        <v>2</v>
      </c>
      <c r="D13" s="1">
        <v>11</v>
      </c>
      <c r="I13" s="30"/>
      <c r="J13" s="30"/>
      <c r="K13" s="30"/>
      <c r="L13" s="30"/>
      <c r="M13" s="30"/>
      <c r="N13" s="30"/>
      <c r="O13" s="30"/>
      <c r="P13" s="30"/>
      <c r="Q13" s="30"/>
      <c r="R13" s="30"/>
      <c r="S13" s="30"/>
      <c r="T13" s="30"/>
      <c r="U13" s="30"/>
      <c r="V13" s="30"/>
      <c r="W13" s="30"/>
      <c r="X13" s="30"/>
      <c r="Y13" s="30"/>
      <c r="Z13" s="30"/>
      <c r="AA13" s="30"/>
      <c r="AB13" s="30"/>
      <c r="AC13" s="30"/>
      <c r="AD13" s="30"/>
    </row>
    <row r="14" spans="2:30">
      <c r="B14" s="10">
        <v>7</v>
      </c>
      <c r="C14" s="1">
        <v>5</v>
      </c>
      <c r="D14" s="1">
        <v>4</v>
      </c>
    </row>
    <row r="15" spans="2:30">
      <c r="B15" s="10">
        <v>8</v>
      </c>
      <c r="C15" s="1">
        <v>3</v>
      </c>
      <c r="D15" s="1">
        <v>8</v>
      </c>
    </row>
    <row r="16" spans="2:30">
      <c r="B16" s="10">
        <v>9</v>
      </c>
      <c r="C16" s="1">
        <v>6</v>
      </c>
      <c r="D16" s="1">
        <v>2</v>
      </c>
    </row>
    <row r="17" spans="2:4">
      <c r="B17" s="10">
        <v>10</v>
      </c>
      <c r="C17" s="1">
        <v>7</v>
      </c>
      <c r="D17" s="1">
        <v>4</v>
      </c>
    </row>
    <row r="18" spans="2:4">
      <c r="B18" s="10">
        <v>11</v>
      </c>
      <c r="C18" s="1">
        <v>10</v>
      </c>
      <c r="D18" s="1">
        <v>8</v>
      </c>
    </row>
    <row r="19" spans="2:4">
      <c r="B19" s="10">
        <v>12</v>
      </c>
      <c r="C19" s="1">
        <v>8</v>
      </c>
      <c r="D19" s="1">
        <v>9</v>
      </c>
    </row>
    <row r="20" spans="2:4">
      <c r="B20" s="10">
        <v>13</v>
      </c>
      <c r="C20" s="1">
        <v>10</v>
      </c>
      <c r="D20" s="1">
        <v>9</v>
      </c>
    </row>
    <row r="21" spans="2:4">
      <c r="B21" s="10">
        <v>14</v>
      </c>
      <c r="C21" s="1">
        <v>10</v>
      </c>
      <c r="D21" s="1">
        <v>12</v>
      </c>
    </row>
    <row r="23" spans="2:4">
      <c r="B23" s="6" t="s">
        <v>830</v>
      </c>
    </row>
    <row r="26" spans="2:4">
      <c r="B26" s="7" t="s">
        <v>806</v>
      </c>
    </row>
    <row r="27" spans="2:4">
      <c r="B27" s="7" t="s">
        <v>823</v>
      </c>
    </row>
    <row r="28" spans="2:4">
      <c r="B28" s="7" t="s">
        <v>824</v>
      </c>
    </row>
    <row r="29" spans="2:4">
      <c r="B29" s="7" t="s">
        <v>825</v>
      </c>
    </row>
    <row r="30" spans="2:4">
      <c r="B30" s="7"/>
    </row>
    <row r="31" spans="2:4">
      <c r="B31" s="7" t="s">
        <v>826</v>
      </c>
      <c r="D31" s="41">
        <f>COMBIN(14,2)</f>
        <v>91</v>
      </c>
    </row>
    <row r="32" spans="2:4">
      <c r="B32" s="7"/>
    </row>
    <row r="33" spans="2:48">
      <c r="B33" s="7"/>
      <c r="E33" s="62" t="s">
        <v>827</v>
      </c>
      <c r="F33" s="62"/>
      <c r="G33" s="62"/>
      <c r="H33" s="62"/>
      <c r="I33" s="62"/>
      <c r="J33" s="62"/>
      <c r="K33" s="62"/>
      <c r="L33" s="62"/>
      <c r="M33" s="62"/>
      <c r="N33" s="62"/>
      <c r="O33" s="62"/>
      <c r="P33" s="62"/>
      <c r="Q33" s="62"/>
      <c r="R33" s="62"/>
      <c r="S33" s="63" t="s">
        <v>828</v>
      </c>
      <c r="T33" s="63"/>
      <c r="U33" s="63"/>
      <c r="V33" s="63"/>
      <c r="W33" s="63"/>
      <c r="X33" s="63"/>
      <c r="Y33" s="63"/>
      <c r="Z33" s="63"/>
      <c r="AA33" s="63"/>
      <c r="AB33" s="63"/>
      <c r="AC33" s="63"/>
      <c r="AD33" s="63"/>
      <c r="AE33" s="63"/>
      <c r="AF33" s="63"/>
      <c r="AG33" s="61" t="s">
        <v>829</v>
      </c>
      <c r="AH33" s="61"/>
      <c r="AI33" s="61"/>
      <c r="AJ33" s="61"/>
      <c r="AK33" s="61"/>
      <c r="AL33" s="61"/>
      <c r="AM33" s="61"/>
      <c r="AN33" s="61"/>
      <c r="AO33" s="61"/>
      <c r="AP33" s="61"/>
      <c r="AQ33" s="61"/>
      <c r="AR33" s="61"/>
      <c r="AS33" s="61"/>
      <c r="AT33" s="61"/>
    </row>
    <row r="34" spans="2:48" s="7" customFormat="1">
      <c r="B34" s="21" t="s">
        <v>812</v>
      </c>
      <c r="C34" s="21" t="s">
        <v>762</v>
      </c>
      <c r="D34" s="21" t="s">
        <v>763</v>
      </c>
      <c r="E34" s="26">
        <v>1</v>
      </c>
      <c r="F34" s="26">
        <v>2</v>
      </c>
      <c r="G34" s="26">
        <v>3</v>
      </c>
      <c r="H34" s="26">
        <v>4</v>
      </c>
      <c r="I34" s="26">
        <v>5</v>
      </c>
      <c r="J34" s="26">
        <v>6</v>
      </c>
      <c r="K34" s="26">
        <v>7</v>
      </c>
      <c r="L34" s="26">
        <v>8</v>
      </c>
      <c r="M34" s="26">
        <v>9</v>
      </c>
      <c r="N34" s="26">
        <v>10</v>
      </c>
      <c r="O34" s="26">
        <v>11</v>
      </c>
      <c r="P34" s="26">
        <v>12</v>
      </c>
      <c r="Q34" s="26">
        <v>13</v>
      </c>
      <c r="R34" s="26">
        <v>14</v>
      </c>
      <c r="S34" s="27">
        <v>1</v>
      </c>
      <c r="T34" s="27">
        <v>2</v>
      </c>
      <c r="U34" s="27">
        <v>3</v>
      </c>
      <c r="V34" s="27">
        <v>4</v>
      </c>
      <c r="W34" s="27">
        <v>5</v>
      </c>
      <c r="X34" s="27">
        <v>6</v>
      </c>
      <c r="Y34" s="27">
        <v>7</v>
      </c>
      <c r="Z34" s="27">
        <v>8</v>
      </c>
      <c r="AA34" s="27">
        <v>9</v>
      </c>
      <c r="AB34" s="27">
        <v>10</v>
      </c>
      <c r="AC34" s="27">
        <v>11</v>
      </c>
      <c r="AD34" s="27">
        <v>12</v>
      </c>
      <c r="AE34" s="27">
        <v>13</v>
      </c>
      <c r="AF34" s="27">
        <v>14</v>
      </c>
      <c r="AG34" s="28">
        <v>1</v>
      </c>
      <c r="AH34" s="28">
        <v>2</v>
      </c>
      <c r="AI34" s="28">
        <v>3</v>
      </c>
      <c r="AJ34" s="28">
        <v>4</v>
      </c>
      <c r="AK34" s="28">
        <v>5</v>
      </c>
      <c r="AL34" s="28">
        <v>6</v>
      </c>
      <c r="AM34" s="28">
        <v>7</v>
      </c>
      <c r="AN34" s="28">
        <v>8</v>
      </c>
      <c r="AO34" s="28">
        <v>9</v>
      </c>
      <c r="AP34" s="28">
        <v>10</v>
      </c>
      <c r="AQ34" s="28">
        <v>11</v>
      </c>
      <c r="AR34" s="28">
        <v>12</v>
      </c>
      <c r="AS34" s="28">
        <v>13</v>
      </c>
      <c r="AT34" s="28">
        <v>14</v>
      </c>
      <c r="AU34" s="34" t="s">
        <v>764</v>
      </c>
      <c r="AV34" s="19" t="s">
        <v>766</v>
      </c>
    </row>
    <row r="35" spans="2:48">
      <c r="B35" s="21">
        <v>1</v>
      </c>
      <c r="C35" s="23">
        <v>1</v>
      </c>
      <c r="D35" s="22">
        <v>2</v>
      </c>
      <c r="E35" s="24">
        <f t="shared" ref="E35:R44" si="0">ABS(VLOOKUP($C35,$B$8:$D$21,2,0)-VLOOKUP(E$34,$B$8:$D$21,2,0))+ABS(VLOOKUP($C35,$B$8:$D$21,3,0)-VLOOKUP(E$34,$B$8:$D$21,3,0))</f>
        <v>0</v>
      </c>
      <c r="F35" s="24">
        <f t="shared" si="0"/>
        <v>3</v>
      </c>
      <c r="G35" s="24">
        <f t="shared" si="0"/>
        <v>9</v>
      </c>
      <c r="H35" s="24">
        <f t="shared" si="0"/>
        <v>10</v>
      </c>
      <c r="I35" s="24">
        <f t="shared" si="0"/>
        <v>9</v>
      </c>
      <c r="J35" s="24">
        <f t="shared" si="0"/>
        <v>3</v>
      </c>
      <c r="K35" s="24">
        <f t="shared" si="0"/>
        <v>9</v>
      </c>
      <c r="L35" s="24">
        <f t="shared" si="0"/>
        <v>5</v>
      </c>
      <c r="M35" s="24">
        <f t="shared" si="0"/>
        <v>12</v>
      </c>
      <c r="N35" s="24">
        <f t="shared" si="0"/>
        <v>11</v>
      </c>
      <c r="O35" s="24">
        <f t="shared" si="0"/>
        <v>10</v>
      </c>
      <c r="P35" s="24">
        <f t="shared" si="0"/>
        <v>7</v>
      </c>
      <c r="Q35" s="24">
        <f t="shared" si="0"/>
        <v>9</v>
      </c>
      <c r="R35" s="24">
        <f t="shared" si="0"/>
        <v>6</v>
      </c>
      <c r="S35" s="25">
        <f t="shared" ref="S35:AF44" si="1">ABS(VLOOKUP($D35,$B$8:$D$21,2,0)-VLOOKUP(S$34,$B$8:$D$21,2,0))+ABS(VLOOKUP($D35,$B$8:$D$21,3,0)-VLOOKUP(S$34,$B$8:$D$21,3,0))</f>
        <v>3</v>
      </c>
      <c r="T35" s="25">
        <f t="shared" si="1"/>
        <v>0</v>
      </c>
      <c r="U35" s="25">
        <f t="shared" si="1"/>
        <v>6</v>
      </c>
      <c r="V35" s="25">
        <f t="shared" si="1"/>
        <v>7</v>
      </c>
      <c r="W35" s="25">
        <f t="shared" si="1"/>
        <v>6</v>
      </c>
      <c r="X35" s="25">
        <f t="shared" si="1"/>
        <v>4</v>
      </c>
      <c r="Y35" s="25">
        <f t="shared" si="1"/>
        <v>6</v>
      </c>
      <c r="Z35" s="25">
        <f t="shared" si="1"/>
        <v>4</v>
      </c>
      <c r="AA35" s="25">
        <f t="shared" si="1"/>
        <v>9</v>
      </c>
      <c r="AB35" s="25">
        <f t="shared" si="1"/>
        <v>8</v>
      </c>
      <c r="AC35" s="25">
        <f t="shared" si="1"/>
        <v>7</v>
      </c>
      <c r="AD35" s="25">
        <f t="shared" si="1"/>
        <v>4</v>
      </c>
      <c r="AE35" s="25">
        <f t="shared" si="1"/>
        <v>6</v>
      </c>
      <c r="AF35" s="25">
        <f t="shared" si="1"/>
        <v>7</v>
      </c>
      <c r="AG35" s="29">
        <f t="shared" ref="AG35:AG66" si="2">MIN(E35,S35)</f>
        <v>0</v>
      </c>
      <c r="AH35" s="29">
        <f t="shared" ref="AH35:AH66" si="3">MIN(F35,T35)</f>
        <v>0</v>
      </c>
      <c r="AI35" s="29">
        <f t="shared" ref="AI35:AI66" si="4">MIN(G35,U35)</f>
        <v>6</v>
      </c>
      <c r="AJ35" s="29">
        <f t="shared" ref="AJ35:AJ66" si="5">MIN(H35,V35)</f>
        <v>7</v>
      </c>
      <c r="AK35" s="29">
        <f t="shared" ref="AK35:AK66" si="6">MIN(I35,W35)</f>
        <v>6</v>
      </c>
      <c r="AL35" s="29">
        <f t="shared" ref="AL35:AL66" si="7">MIN(J35,X35)</f>
        <v>3</v>
      </c>
      <c r="AM35" s="29">
        <f t="shared" ref="AM35:AM66" si="8">MIN(K35,Y35)</f>
        <v>6</v>
      </c>
      <c r="AN35" s="29">
        <f t="shared" ref="AN35:AN66" si="9">MIN(L35,Z35)</f>
        <v>4</v>
      </c>
      <c r="AO35" s="29">
        <f t="shared" ref="AO35:AO66" si="10">MIN(M35,AA35)</f>
        <v>9</v>
      </c>
      <c r="AP35" s="29">
        <f t="shared" ref="AP35:AP66" si="11">MIN(N35,AB35)</f>
        <v>8</v>
      </c>
      <c r="AQ35" s="29">
        <f t="shared" ref="AQ35:AQ66" si="12">MIN(O35,AC35)</f>
        <v>7</v>
      </c>
      <c r="AR35" s="29">
        <f t="shared" ref="AR35:AR66" si="13">MIN(P35,AD35)</f>
        <v>4</v>
      </c>
      <c r="AS35" s="29">
        <f t="shared" ref="AS35:AS66" si="14">MIN(Q35,AE35)</f>
        <v>6</v>
      </c>
      <c r="AT35" s="29">
        <f t="shared" ref="AT35:AT66" si="15">MIN(R35,AF35)</f>
        <v>6</v>
      </c>
      <c r="AU35" s="34">
        <f t="shared" ref="AU35:AU66" si="16">SUM(AG35:AT35)</f>
        <v>72</v>
      </c>
      <c r="AV35" s="19">
        <f t="shared" ref="AV35:AV66" si="17">B35</f>
        <v>1</v>
      </c>
    </row>
    <row r="36" spans="2:48">
      <c r="B36" s="21">
        <v>2</v>
      </c>
      <c r="C36" s="23">
        <v>1</v>
      </c>
      <c r="D36" s="22">
        <v>3</v>
      </c>
      <c r="E36" s="24">
        <f t="shared" si="0"/>
        <v>0</v>
      </c>
      <c r="F36" s="24">
        <f t="shared" si="0"/>
        <v>3</v>
      </c>
      <c r="G36" s="24">
        <f t="shared" si="0"/>
        <v>9</v>
      </c>
      <c r="H36" s="24">
        <f t="shared" si="0"/>
        <v>10</v>
      </c>
      <c r="I36" s="24">
        <f t="shared" si="0"/>
        <v>9</v>
      </c>
      <c r="J36" s="24">
        <f t="shared" si="0"/>
        <v>3</v>
      </c>
      <c r="K36" s="24">
        <f t="shared" si="0"/>
        <v>9</v>
      </c>
      <c r="L36" s="24">
        <f t="shared" si="0"/>
        <v>5</v>
      </c>
      <c r="M36" s="24">
        <f t="shared" si="0"/>
        <v>12</v>
      </c>
      <c r="N36" s="24">
        <f t="shared" si="0"/>
        <v>11</v>
      </c>
      <c r="O36" s="24">
        <f t="shared" si="0"/>
        <v>10</v>
      </c>
      <c r="P36" s="24">
        <f t="shared" si="0"/>
        <v>7</v>
      </c>
      <c r="Q36" s="24">
        <f t="shared" si="0"/>
        <v>9</v>
      </c>
      <c r="R36" s="24">
        <f t="shared" si="0"/>
        <v>6</v>
      </c>
      <c r="S36" s="25">
        <f t="shared" si="1"/>
        <v>9</v>
      </c>
      <c r="T36" s="25">
        <f t="shared" si="1"/>
        <v>6</v>
      </c>
      <c r="U36" s="25">
        <f t="shared" si="1"/>
        <v>0</v>
      </c>
      <c r="V36" s="25">
        <f t="shared" si="1"/>
        <v>7</v>
      </c>
      <c r="W36" s="25">
        <f t="shared" si="1"/>
        <v>6</v>
      </c>
      <c r="X36" s="25">
        <f t="shared" si="1"/>
        <v>10</v>
      </c>
      <c r="Y36" s="25">
        <f t="shared" si="1"/>
        <v>6</v>
      </c>
      <c r="Z36" s="25">
        <f t="shared" si="1"/>
        <v>6</v>
      </c>
      <c r="AA36" s="25">
        <f t="shared" si="1"/>
        <v>7</v>
      </c>
      <c r="AB36" s="25">
        <f t="shared" si="1"/>
        <v>4</v>
      </c>
      <c r="AC36" s="25">
        <f t="shared" si="1"/>
        <v>3</v>
      </c>
      <c r="AD36" s="25">
        <f t="shared" si="1"/>
        <v>2</v>
      </c>
      <c r="AE36" s="25">
        <f t="shared" si="1"/>
        <v>4</v>
      </c>
      <c r="AF36" s="25">
        <f t="shared" si="1"/>
        <v>7</v>
      </c>
      <c r="AG36" s="29">
        <f t="shared" si="2"/>
        <v>0</v>
      </c>
      <c r="AH36" s="29">
        <f t="shared" si="3"/>
        <v>3</v>
      </c>
      <c r="AI36" s="29">
        <f t="shared" si="4"/>
        <v>0</v>
      </c>
      <c r="AJ36" s="29">
        <f t="shared" si="5"/>
        <v>7</v>
      </c>
      <c r="AK36" s="29">
        <f t="shared" si="6"/>
        <v>6</v>
      </c>
      <c r="AL36" s="29">
        <f t="shared" si="7"/>
        <v>3</v>
      </c>
      <c r="AM36" s="29">
        <f t="shared" si="8"/>
        <v>6</v>
      </c>
      <c r="AN36" s="29">
        <f t="shared" si="9"/>
        <v>5</v>
      </c>
      <c r="AO36" s="29">
        <f t="shared" si="10"/>
        <v>7</v>
      </c>
      <c r="AP36" s="29">
        <f t="shared" si="11"/>
        <v>4</v>
      </c>
      <c r="AQ36" s="29">
        <f t="shared" si="12"/>
        <v>3</v>
      </c>
      <c r="AR36" s="29">
        <f t="shared" si="13"/>
        <v>2</v>
      </c>
      <c r="AS36" s="29">
        <f t="shared" si="14"/>
        <v>4</v>
      </c>
      <c r="AT36" s="29">
        <f t="shared" si="15"/>
        <v>6</v>
      </c>
      <c r="AU36" s="34">
        <f t="shared" si="16"/>
        <v>56</v>
      </c>
      <c r="AV36" s="19">
        <f t="shared" si="17"/>
        <v>2</v>
      </c>
    </row>
    <row r="37" spans="2:48">
      <c r="B37" s="21">
        <v>3</v>
      </c>
      <c r="C37" s="23">
        <v>1</v>
      </c>
      <c r="D37" s="22">
        <v>4</v>
      </c>
      <c r="E37" s="24">
        <f t="shared" si="0"/>
        <v>0</v>
      </c>
      <c r="F37" s="24">
        <f t="shared" si="0"/>
        <v>3</v>
      </c>
      <c r="G37" s="24">
        <f t="shared" si="0"/>
        <v>9</v>
      </c>
      <c r="H37" s="24">
        <f t="shared" si="0"/>
        <v>10</v>
      </c>
      <c r="I37" s="24">
        <f t="shared" si="0"/>
        <v>9</v>
      </c>
      <c r="J37" s="24">
        <f t="shared" si="0"/>
        <v>3</v>
      </c>
      <c r="K37" s="24">
        <f t="shared" si="0"/>
        <v>9</v>
      </c>
      <c r="L37" s="24">
        <f t="shared" si="0"/>
        <v>5</v>
      </c>
      <c r="M37" s="24">
        <f t="shared" si="0"/>
        <v>12</v>
      </c>
      <c r="N37" s="24">
        <f t="shared" si="0"/>
        <v>11</v>
      </c>
      <c r="O37" s="24">
        <f t="shared" si="0"/>
        <v>10</v>
      </c>
      <c r="P37" s="24">
        <f t="shared" si="0"/>
        <v>7</v>
      </c>
      <c r="Q37" s="24">
        <f t="shared" si="0"/>
        <v>9</v>
      </c>
      <c r="R37" s="24">
        <f t="shared" si="0"/>
        <v>6</v>
      </c>
      <c r="S37" s="25">
        <f t="shared" si="1"/>
        <v>10</v>
      </c>
      <c r="T37" s="25">
        <f t="shared" si="1"/>
        <v>7</v>
      </c>
      <c r="U37" s="25">
        <f t="shared" si="1"/>
        <v>7</v>
      </c>
      <c r="V37" s="25">
        <f t="shared" si="1"/>
        <v>0</v>
      </c>
      <c r="W37" s="25">
        <f t="shared" si="1"/>
        <v>1</v>
      </c>
      <c r="X37" s="25">
        <f t="shared" si="1"/>
        <v>11</v>
      </c>
      <c r="Y37" s="25">
        <f t="shared" si="1"/>
        <v>1</v>
      </c>
      <c r="Z37" s="25">
        <f t="shared" si="1"/>
        <v>7</v>
      </c>
      <c r="AA37" s="25">
        <f t="shared" si="1"/>
        <v>2</v>
      </c>
      <c r="AB37" s="25">
        <f t="shared" si="1"/>
        <v>3</v>
      </c>
      <c r="AC37" s="25">
        <f t="shared" si="1"/>
        <v>10</v>
      </c>
      <c r="AD37" s="25">
        <f t="shared" si="1"/>
        <v>9</v>
      </c>
      <c r="AE37" s="25">
        <f t="shared" si="1"/>
        <v>11</v>
      </c>
      <c r="AF37" s="25">
        <f t="shared" si="1"/>
        <v>14</v>
      </c>
      <c r="AG37" s="29">
        <f t="shared" si="2"/>
        <v>0</v>
      </c>
      <c r="AH37" s="29">
        <f t="shared" si="3"/>
        <v>3</v>
      </c>
      <c r="AI37" s="29">
        <f t="shared" si="4"/>
        <v>7</v>
      </c>
      <c r="AJ37" s="29">
        <f t="shared" si="5"/>
        <v>0</v>
      </c>
      <c r="AK37" s="29">
        <f t="shared" si="6"/>
        <v>1</v>
      </c>
      <c r="AL37" s="29">
        <f t="shared" si="7"/>
        <v>3</v>
      </c>
      <c r="AM37" s="29">
        <f t="shared" si="8"/>
        <v>1</v>
      </c>
      <c r="AN37" s="29">
        <f t="shared" si="9"/>
        <v>5</v>
      </c>
      <c r="AO37" s="29">
        <f t="shared" si="10"/>
        <v>2</v>
      </c>
      <c r="AP37" s="29">
        <f t="shared" si="11"/>
        <v>3</v>
      </c>
      <c r="AQ37" s="29">
        <f t="shared" si="12"/>
        <v>10</v>
      </c>
      <c r="AR37" s="29">
        <f t="shared" si="13"/>
        <v>7</v>
      </c>
      <c r="AS37" s="29">
        <f t="shared" si="14"/>
        <v>9</v>
      </c>
      <c r="AT37" s="29">
        <f t="shared" si="15"/>
        <v>6</v>
      </c>
      <c r="AU37" s="34">
        <f t="shared" si="16"/>
        <v>57</v>
      </c>
      <c r="AV37" s="19">
        <f t="shared" si="17"/>
        <v>3</v>
      </c>
    </row>
    <row r="38" spans="2:48">
      <c r="B38" s="21">
        <v>4</v>
      </c>
      <c r="C38" s="23">
        <v>1</v>
      </c>
      <c r="D38" s="22">
        <v>5</v>
      </c>
      <c r="E38" s="24">
        <f t="shared" si="0"/>
        <v>0</v>
      </c>
      <c r="F38" s="24">
        <f t="shared" si="0"/>
        <v>3</v>
      </c>
      <c r="G38" s="24">
        <f t="shared" si="0"/>
        <v>9</v>
      </c>
      <c r="H38" s="24">
        <f t="shared" si="0"/>
        <v>10</v>
      </c>
      <c r="I38" s="24">
        <f t="shared" si="0"/>
        <v>9</v>
      </c>
      <c r="J38" s="24">
        <f t="shared" si="0"/>
        <v>3</v>
      </c>
      <c r="K38" s="24">
        <f t="shared" si="0"/>
        <v>9</v>
      </c>
      <c r="L38" s="24">
        <f t="shared" si="0"/>
        <v>5</v>
      </c>
      <c r="M38" s="24">
        <f t="shared" si="0"/>
        <v>12</v>
      </c>
      <c r="N38" s="24">
        <f t="shared" si="0"/>
        <v>11</v>
      </c>
      <c r="O38" s="24">
        <f t="shared" si="0"/>
        <v>10</v>
      </c>
      <c r="P38" s="24">
        <f t="shared" si="0"/>
        <v>7</v>
      </c>
      <c r="Q38" s="24">
        <f t="shared" si="0"/>
        <v>9</v>
      </c>
      <c r="R38" s="24">
        <f t="shared" si="0"/>
        <v>6</v>
      </c>
      <c r="S38" s="25">
        <f t="shared" si="1"/>
        <v>9</v>
      </c>
      <c r="T38" s="25">
        <f t="shared" si="1"/>
        <v>6</v>
      </c>
      <c r="U38" s="25">
        <f t="shared" si="1"/>
        <v>6</v>
      </c>
      <c r="V38" s="25">
        <f t="shared" si="1"/>
        <v>1</v>
      </c>
      <c r="W38" s="25">
        <f t="shared" si="1"/>
        <v>0</v>
      </c>
      <c r="X38" s="25">
        <f t="shared" si="1"/>
        <v>10</v>
      </c>
      <c r="Y38" s="25">
        <f t="shared" si="1"/>
        <v>0</v>
      </c>
      <c r="Z38" s="25">
        <f t="shared" si="1"/>
        <v>6</v>
      </c>
      <c r="AA38" s="25">
        <f t="shared" si="1"/>
        <v>3</v>
      </c>
      <c r="AB38" s="25">
        <f t="shared" si="1"/>
        <v>2</v>
      </c>
      <c r="AC38" s="25">
        <f t="shared" si="1"/>
        <v>9</v>
      </c>
      <c r="AD38" s="25">
        <f t="shared" si="1"/>
        <v>8</v>
      </c>
      <c r="AE38" s="25">
        <f t="shared" si="1"/>
        <v>10</v>
      </c>
      <c r="AF38" s="25">
        <f t="shared" si="1"/>
        <v>13</v>
      </c>
      <c r="AG38" s="29">
        <f t="shared" si="2"/>
        <v>0</v>
      </c>
      <c r="AH38" s="29">
        <f t="shared" si="3"/>
        <v>3</v>
      </c>
      <c r="AI38" s="29">
        <f t="shared" si="4"/>
        <v>6</v>
      </c>
      <c r="AJ38" s="29">
        <f t="shared" si="5"/>
        <v>1</v>
      </c>
      <c r="AK38" s="29">
        <f t="shared" si="6"/>
        <v>0</v>
      </c>
      <c r="AL38" s="29">
        <f t="shared" si="7"/>
        <v>3</v>
      </c>
      <c r="AM38" s="29">
        <f t="shared" si="8"/>
        <v>0</v>
      </c>
      <c r="AN38" s="29">
        <f t="shared" si="9"/>
        <v>5</v>
      </c>
      <c r="AO38" s="29">
        <f t="shared" si="10"/>
        <v>3</v>
      </c>
      <c r="AP38" s="29">
        <f t="shared" si="11"/>
        <v>2</v>
      </c>
      <c r="AQ38" s="29">
        <f t="shared" si="12"/>
        <v>9</v>
      </c>
      <c r="AR38" s="29">
        <f t="shared" si="13"/>
        <v>7</v>
      </c>
      <c r="AS38" s="29">
        <f t="shared" si="14"/>
        <v>9</v>
      </c>
      <c r="AT38" s="29">
        <f t="shared" si="15"/>
        <v>6</v>
      </c>
      <c r="AU38" s="34">
        <f t="shared" si="16"/>
        <v>54</v>
      </c>
      <c r="AV38" s="19">
        <f t="shared" si="17"/>
        <v>4</v>
      </c>
    </row>
    <row r="39" spans="2:48">
      <c r="B39" s="21">
        <v>5</v>
      </c>
      <c r="C39" s="23">
        <v>1</v>
      </c>
      <c r="D39" s="22">
        <v>6</v>
      </c>
      <c r="E39" s="24">
        <f t="shared" si="0"/>
        <v>0</v>
      </c>
      <c r="F39" s="24">
        <f t="shared" si="0"/>
        <v>3</v>
      </c>
      <c r="G39" s="24">
        <f t="shared" si="0"/>
        <v>9</v>
      </c>
      <c r="H39" s="24">
        <f t="shared" si="0"/>
        <v>10</v>
      </c>
      <c r="I39" s="24">
        <f t="shared" si="0"/>
        <v>9</v>
      </c>
      <c r="J39" s="24">
        <f t="shared" si="0"/>
        <v>3</v>
      </c>
      <c r="K39" s="24">
        <f t="shared" si="0"/>
        <v>9</v>
      </c>
      <c r="L39" s="24">
        <f t="shared" si="0"/>
        <v>5</v>
      </c>
      <c r="M39" s="24">
        <f t="shared" si="0"/>
        <v>12</v>
      </c>
      <c r="N39" s="24">
        <f t="shared" si="0"/>
        <v>11</v>
      </c>
      <c r="O39" s="24">
        <f t="shared" si="0"/>
        <v>10</v>
      </c>
      <c r="P39" s="24">
        <f t="shared" si="0"/>
        <v>7</v>
      </c>
      <c r="Q39" s="24">
        <f t="shared" si="0"/>
        <v>9</v>
      </c>
      <c r="R39" s="24">
        <f t="shared" si="0"/>
        <v>6</v>
      </c>
      <c r="S39" s="25">
        <f t="shared" si="1"/>
        <v>3</v>
      </c>
      <c r="T39" s="25">
        <f t="shared" si="1"/>
        <v>4</v>
      </c>
      <c r="U39" s="25">
        <f t="shared" si="1"/>
        <v>10</v>
      </c>
      <c r="V39" s="25">
        <f t="shared" si="1"/>
        <v>11</v>
      </c>
      <c r="W39" s="25">
        <f t="shared" si="1"/>
        <v>10</v>
      </c>
      <c r="X39" s="25">
        <f t="shared" si="1"/>
        <v>0</v>
      </c>
      <c r="Y39" s="25">
        <f t="shared" si="1"/>
        <v>10</v>
      </c>
      <c r="Z39" s="25">
        <f t="shared" si="1"/>
        <v>4</v>
      </c>
      <c r="AA39" s="25">
        <f t="shared" si="1"/>
        <v>13</v>
      </c>
      <c r="AB39" s="25">
        <f t="shared" si="1"/>
        <v>12</v>
      </c>
      <c r="AC39" s="25">
        <f t="shared" si="1"/>
        <v>11</v>
      </c>
      <c r="AD39" s="25">
        <f t="shared" si="1"/>
        <v>8</v>
      </c>
      <c r="AE39" s="25">
        <f t="shared" si="1"/>
        <v>10</v>
      </c>
      <c r="AF39" s="25">
        <f t="shared" si="1"/>
        <v>9</v>
      </c>
      <c r="AG39" s="29">
        <f t="shared" si="2"/>
        <v>0</v>
      </c>
      <c r="AH39" s="29">
        <f t="shared" si="3"/>
        <v>3</v>
      </c>
      <c r="AI39" s="29">
        <f t="shared" si="4"/>
        <v>9</v>
      </c>
      <c r="AJ39" s="29">
        <f t="shared" si="5"/>
        <v>10</v>
      </c>
      <c r="AK39" s="29">
        <f t="shared" si="6"/>
        <v>9</v>
      </c>
      <c r="AL39" s="29">
        <f t="shared" si="7"/>
        <v>0</v>
      </c>
      <c r="AM39" s="29">
        <f t="shared" si="8"/>
        <v>9</v>
      </c>
      <c r="AN39" s="29">
        <f t="shared" si="9"/>
        <v>4</v>
      </c>
      <c r="AO39" s="29">
        <f t="shared" si="10"/>
        <v>12</v>
      </c>
      <c r="AP39" s="29">
        <f t="shared" si="11"/>
        <v>11</v>
      </c>
      <c r="AQ39" s="29">
        <f t="shared" si="12"/>
        <v>10</v>
      </c>
      <c r="AR39" s="29">
        <f t="shared" si="13"/>
        <v>7</v>
      </c>
      <c r="AS39" s="29">
        <f t="shared" si="14"/>
        <v>9</v>
      </c>
      <c r="AT39" s="29">
        <f t="shared" si="15"/>
        <v>6</v>
      </c>
      <c r="AU39" s="34">
        <f t="shared" si="16"/>
        <v>99</v>
      </c>
      <c r="AV39" s="19">
        <f t="shared" si="17"/>
        <v>5</v>
      </c>
    </row>
    <row r="40" spans="2:48">
      <c r="B40" s="21">
        <v>6</v>
      </c>
      <c r="C40" s="23">
        <v>1</v>
      </c>
      <c r="D40" s="22">
        <v>7</v>
      </c>
      <c r="E40" s="24">
        <f t="shared" si="0"/>
        <v>0</v>
      </c>
      <c r="F40" s="24">
        <f t="shared" si="0"/>
        <v>3</v>
      </c>
      <c r="G40" s="24">
        <f t="shared" si="0"/>
        <v>9</v>
      </c>
      <c r="H40" s="24">
        <f t="shared" si="0"/>
        <v>10</v>
      </c>
      <c r="I40" s="24">
        <f t="shared" si="0"/>
        <v>9</v>
      </c>
      <c r="J40" s="24">
        <f t="shared" si="0"/>
        <v>3</v>
      </c>
      <c r="K40" s="24">
        <f t="shared" si="0"/>
        <v>9</v>
      </c>
      <c r="L40" s="24">
        <f t="shared" si="0"/>
        <v>5</v>
      </c>
      <c r="M40" s="24">
        <f t="shared" si="0"/>
        <v>12</v>
      </c>
      <c r="N40" s="24">
        <f t="shared" si="0"/>
        <v>11</v>
      </c>
      <c r="O40" s="24">
        <f t="shared" si="0"/>
        <v>10</v>
      </c>
      <c r="P40" s="24">
        <f t="shared" si="0"/>
        <v>7</v>
      </c>
      <c r="Q40" s="24">
        <f t="shared" si="0"/>
        <v>9</v>
      </c>
      <c r="R40" s="24">
        <f t="shared" si="0"/>
        <v>6</v>
      </c>
      <c r="S40" s="25">
        <f t="shared" si="1"/>
        <v>9</v>
      </c>
      <c r="T40" s="25">
        <f t="shared" si="1"/>
        <v>6</v>
      </c>
      <c r="U40" s="25">
        <f t="shared" si="1"/>
        <v>6</v>
      </c>
      <c r="V40" s="25">
        <f t="shared" si="1"/>
        <v>1</v>
      </c>
      <c r="W40" s="25">
        <f t="shared" si="1"/>
        <v>0</v>
      </c>
      <c r="X40" s="25">
        <f t="shared" si="1"/>
        <v>10</v>
      </c>
      <c r="Y40" s="25">
        <f t="shared" si="1"/>
        <v>0</v>
      </c>
      <c r="Z40" s="25">
        <f t="shared" si="1"/>
        <v>6</v>
      </c>
      <c r="AA40" s="25">
        <f t="shared" si="1"/>
        <v>3</v>
      </c>
      <c r="AB40" s="25">
        <f t="shared" si="1"/>
        <v>2</v>
      </c>
      <c r="AC40" s="25">
        <f t="shared" si="1"/>
        <v>9</v>
      </c>
      <c r="AD40" s="25">
        <f t="shared" si="1"/>
        <v>8</v>
      </c>
      <c r="AE40" s="25">
        <f t="shared" si="1"/>
        <v>10</v>
      </c>
      <c r="AF40" s="25">
        <f t="shared" si="1"/>
        <v>13</v>
      </c>
      <c r="AG40" s="29">
        <f t="shared" si="2"/>
        <v>0</v>
      </c>
      <c r="AH40" s="29">
        <f t="shared" si="3"/>
        <v>3</v>
      </c>
      <c r="AI40" s="29">
        <f t="shared" si="4"/>
        <v>6</v>
      </c>
      <c r="AJ40" s="29">
        <f t="shared" si="5"/>
        <v>1</v>
      </c>
      <c r="AK40" s="29">
        <f t="shared" si="6"/>
        <v>0</v>
      </c>
      <c r="AL40" s="29">
        <f t="shared" si="7"/>
        <v>3</v>
      </c>
      <c r="AM40" s="29">
        <f t="shared" si="8"/>
        <v>0</v>
      </c>
      <c r="AN40" s="29">
        <f t="shared" si="9"/>
        <v>5</v>
      </c>
      <c r="AO40" s="29">
        <f t="shared" si="10"/>
        <v>3</v>
      </c>
      <c r="AP40" s="29">
        <f t="shared" si="11"/>
        <v>2</v>
      </c>
      <c r="AQ40" s="29">
        <f t="shared" si="12"/>
        <v>9</v>
      </c>
      <c r="AR40" s="29">
        <f t="shared" si="13"/>
        <v>7</v>
      </c>
      <c r="AS40" s="29">
        <f t="shared" si="14"/>
        <v>9</v>
      </c>
      <c r="AT40" s="29">
        <f t="shared" si="15"/>
        <v>6</v>
      </c>
      <c r="AU40" s="34">
        <f t="shared" si="16"/>
        <v>54</v>
      </c>
      <c r="AV40" s="19">
        <f t="shared" si="17"/>
        <v>6</v>
      </c>
    </row>
    <row r="41" spans="2:48">
      <c r="B41" s="21">
        <v>7</v>
      </c>
      <c r="C41" s="23">
        <v>1</v>
      </c>
      <c r="D41" s="22">
        <v>8</v>
      </c>
      <c r="E41" s="24">
        <f t="shared" si="0"/>
        <v>0</v>
      </c>
      <c r="F41" s="24">
        <f t="shared" si="0"/>
        <v>3</v>
      </c>
      <c r="G41" s="24">
        <f t="shared" si="0"/>
        <v>9</v>
      </c>
      <c r="H41" s="24">
        <f t="shared" si="0"/>
        <v>10</v>
      </c>
      <c r="I41" s="24">
        <f t="shared" si="0"/>
        <v>9</v>
      </c>
      <c r="J41" s="24">
        <f t="shared" si="0"/>
        <v>3</v>
      </c>
      <c r="K41" s="24">
        <f t="shared" si="0"/>
        <v>9</v>
      </c>
      <c r="L41" s="24">
        <f t="shared" si="0"/>
        <v>5</v>
      </c>
      <c r="M41" s="24">
        <f t="shared" si="0"/>
        <v>12</v>
      </c>
      <c r="N41" s="24">
        <f t="shared" si="0"/>
        <v>11</v>
      </c>
      <c r="O41" s="24">
        <f t="shared" si="0"/>
        <v>10</v>
      </c>
      <c r="P41" s="24">
        <f t="shared" si="0"/>
        <v>7</v>
      </c>
      <c r="Q41" s="24">
        <f t="shared" si="0"/>
        <v>9</v>
      </c>
      <c r="R41" s="24">
        <f t="shared" si="0"/>
        <v>6</v>
      </c>
      <c r="S41" s="25">
        <f t="shared" si="1"/>
        <v>5</v>
      </c>
      <c r="T41" s="25">
        <f t="shared" si="1"/>
        <v>4</v>
      </c>
      <c r="U41" s="25">
        <f t="shared" si="1"/>
        <v>6</v>
      </c>
      <c r="V41" s="25">
        <f t="shared" si="1"/>
        <v>7</v>
      </c>
      <c r="W41" s="25">
        <f t="shared" si="1"/>
        <v>6</v>
      </c>
      <c r="X41" s="25">
        <f t="shared" si="1"/>
        <v>4</v>
      </c>
      <c r="Y41" s="25">
        <f t="shared" si="1"/>
        <v>6</v>
      </c>
      <c r="Z41" s="25">
        <f t="shared" si="1"/>
        <v>0</v>
      </c>
      <c r="AA41" s="25">
        <f t="shared" si="1"/>
        <v>9</v>
      </c>
      <c r="AB41" s="25">
        <f t="shared" si="1"/>
        <v>8</v>
      </c>
      <c r="AC41" s="25">
        <f t="shared" si="1"/>
        <v>7</v>
      </c>
      <c r="AD41" s="25">
        <f t="shared" si="1"/>
        <v>6</v>
      </c>
      <c r="AE41" s="25">
        <f t="shared" si="1"/>
        <v>8</v>
      </c>
      <c r="AF41" s="25">
        <f t="shared" si="1"/>
        <v>11</v>
      </c>
      <c r="AG41" s="29">
        <f t="shared" si="2"/>
        <v>0</v>
      </c>
      <c r="AH41" s="29">
        <f t="shared" si="3"/>
        <v>3</v>
      </c>
      <c r="AI41" s="29">
        <f t="shared" si="4"/>
        <v>6</v>
      </c>
      <c r="AJ41" s="29">
        <f t="shared" si="5"/>
        <v>7</v>
      </c>
      <c r="AK41" s="29">
        <f t="shared" si="6"/>
        <v>6</v>
      </c>
      <c r="AL41" s="29">
        <f t="shared" si="7"/>
        <v>3</v>
      </c>
      <c r="AM41" s="29">
        <f t="shared" si="8"/>
        <v>6</v>
      </c>
      <c r="AN41" s="29">
        <f t="shared" si="9"/>
        <v>0</v>
      </c>
      <c r="AO41" s="29">
        <f t="shared" si="10"/>
        <v>9</v>
      </c>
      <c r="AP41" s="29">
        <f t="shared" si="11"/>
        <v>8</v>
      </c>
      <c r="AQ41" s="29">
        <f t="shared" si="12"/>
        <v>7</v>
      </c>
      <c r="AR41" s="29">
        <f t="shared" si="13"/>
        <v>6</v>
      </c>
      <c r="AS41" s="29">
        <f t="shared" si="14"/>
        <v>8</v>
      </c>
      <c r="AT41" s="29">
        <f t="shared" si="15"/>
        <v>6</v>
      </c>
      <c r="AU41" s="34">
        <f t="shared" si="16"/>
        <v>75</v>
      </c>
      <c r="AV41" s="19">
        <f t="shared" si="17"/>
        <v>7</v>
      </c>
    </row>
    <row r="42" spans="2:48">
      <c r="B42" s="21">
        <v>8</v>
      </c>
      <c r="C42" s="23">
        <v>1</v>
      </c>
      <c r="D42" s="22">
        <v>9</v>
      </c>
      <c r="E42" s="24">
        <f t="shared" si="0"/>
        <v>0</v>
      </c>
      <c r="F42" s="24">
        <f t="shared" si="0"/>
        <v>3</v>
      </c>
      <c r="G42" s="24">
        <f t="shared" si="0"/>
        <v>9</v>
      </c>
      <c r="H42" s="24">
        <f t="shared" si="0"/>
        <v>10</v>
      </c>
      <c r="I42" s="24">
        <f t="shared" si="0"/>
        <v>9</v>
      </c>
      <c r="J42" s="24">
        <f t="shared" si="0"/>
        <v>3</v>
      </c>
      <c r="K42" s="24">
        <f t="shared" si="0"/>
        <v>9</v>
      </c>
      <c r="L42" s="24">
        <f t="shared" si="0"/>
        <v>5</v>
      </c>
      <c r="M42" s="24">
        <f t="shared" si="0"/>
        <v>12</v>
      </c>
      <c r="N42" s="24">
        <f t="shared" si="0"/>
        <v>11</v>
      </c>
      <c r="O42" s="24">
        <f t="shared" si="0"/>
        <v>10</v>
      </c>
      <c r="P42" s="24">
        <f t="shared" si="0"/>
        <v>7</v>
      </c>
      <c r="Q42" s="24">
        <f t="shared" si="0"/>
        <v>9</v>
      </c>
      <c r="R42" s="24">
        <f t="shared" si="0"/>
        <v>6</v>
      </c>
      <c r="S42" s="25">
        <f t="shared" si="1"/>
        <v>12</v>
      </c>
      <c r="T42" s="25">
        <f t="shared" si="1"/>
        <v>9</v>
      </c>
      <c r="U42" s="25">
        <f t="shared" si="1"/>
        <v>7</v>
      </c>
      <c r="V42" s="25">
        <f t="shared" si="1"/>
        <v>2</v>
      </c>
      <c r="W42" s="25">
        <f t="shared" si="1"/>
        <v>3</v>
      </c>
      <c r="X42" s="25">
        <f t="shared" si="1"/>
        <v>13</v>
      </c>
      <c r="Y42" s="25">
        <f t="shared" si="1"/>
        <v>3</v>
      </c>
      <c r="Z42" s="25">
        <f t="shared" si="1"/>
        <v>9</v>
      </c>
      <c r="AA42" s="25">
        <f t="shared" si="1"/>
        <v>0</v>
      </c>
      <c r="AB42" s="25">
        <f t="shared" si="1"/>
        <v>3</v>
      </c>
      <c r="AC42" s="25">
        <f t="shared" si="1"/>
        <v>10</v>
      </c>
      <c r="AD42" s="25">
        <f t="shared" si="1"/>
        <v>9</v>
      </c>
      <c r="AE42" s="25">
        <f t="shared" si="1"/>
        <v>11</v>
      </c>
      <c r="AF42" s="25">
        <f t="shared" si="1"/>
        <v>14</v>
      </c>
      <c r="AG42" s="29">
        <f t="shared" si="2"/>
        <v>0</v>
      </c>
      <c r="AH42" s="29">
        <f t="shared" si="3"/>
        <v>3</v>
      </c>
      <c r="AI42" s="29">
        <f t="shared" si="4"/>
        <v>7</v>
      </c>
      <c r="AJ42" s="29">
        <f t="shared" si="5"/>
        <v>2</v>
      </c>
      <c r="AK42" s="29">
        <f t="shared" si="6"/>
        <v>3</v>
      </c>
      <c r="AL42" s="29">
        <f t="shared" si="7"/>
        <v>3</v>
      </c>
      <c r="AM42" s="29">
        <f t="shared" si="8"/>
        <v>3</v>
      </c>
      <c r="AN42" s="29">
        <f t="shared" si="9"/>
        <v>5</v>
      </c>
      <c r="AO42" s="29">
        <f t="shared" si="10"/>
        <v>0</v>
      </c>
      <c r="AP42" s="29">
        <f t="shared" si="11"/>
        <v>3</v>
      </c>
      <c r="AQ42" s="29">
        <f t="shared" si="12"/>
        <v>10</v>
      </c>
      <c r="AR42" s="29">
        <f t="shared" si="13"/>
        <v>7</v>
      </c>
      <c r="AS42" s="29">
        <f t="shared" si="14"/>
        <v>9</v>
      </c>
      <c r="AT42" s="29">
        <f t="shared" si="15"/>
        <v>6</v>
      </c>
      <c r="AU42" s="34">
        <f t="shared" si="16"/>
        <v>61</v>
      </c>
      <c r="AV42" s="19">
        <f t="shared" si="17"/>
        <v>8</v>
      </c>
    </row>
    <row r="43" spans="2:48">
      <c r="B43" s="21">
        <v>9</v>
      </c>
      <c r="C43" s="23">
        <v>1</v>
      </c>
      <c r="D43" s="22">
        <v>10</v>
      </c>
      <c r="E43" s="24">
        <f t="shared" si="0"/>
        <v>0</v>
      </c>
      <c r="F43" s="24">
        <f t="shared" si="0"/>
        <v>3</v>
      </c>
      <c r="G43" s="24">
        <f t="shared" si="0"/>
        <v>9</v>
      </c>
      <c r="H43" s="24">
        <f t="shared" si="0"/>
        <v>10</v>
      </c>
      <c r="I43" s="24">
        <f t="shared" si="0"/>
        <v>9</v>
      </c>
      <c r="J43" s="24">
        <f t="shared" si="0"/>
        <v>3</v>
      </c>
      <c r="K43" s="24">
        <f t="shared" si="0"/>
        <v>9</v>
      </c>
      <c r="L43" s="24">
        <f t="shared" si="0"/>
        <v>5</v>
      </c>
      <c r="M43" s="24">
        <f t="shared" si="0"/>
        <v>12</v>
      </c>
      <c r="N43" s="24">
        <f t="shared" si="0"/>
        <v>11</v>
      </c>
      <c r="O43" s="24">
        <f t="shared" si="0"/>
        <v>10</v>
      </c>
      <c r="P43" s="24">
        <f t="shared" si="0"/>
        <v>7</v>
      </c>
      <c r="Q43" s="24">
        <f t="shared" si="0"/>
        <v>9</v>
      </c>
      <c r="R43" s="24">
        <f t="shared" si="0"/>
        <v>6</v>
      </c>
      <c r="S43" s="25">
        <f t="shared" si="1"/>
        <v>11</v>
      </c>
      <c r="T43" s="25">
        <f t="shared" si="1"/>
        <v>8</v>
      </c>
      <c r="U43" s="25">
        <f t="shared" si="1"/>
        <v>4</v>
      </c>
      <c r="V43" s="25">
        <f t="shared" si="1"/>
        <v>3</v>
      </c>
      <c r="W43" s="25">
        <f t="shared" si="1"/>
        <v>2</v>
      </c>
      <c r="X43" s="25">
        <f t="shared" si="1"/>
        <v>12</v>
      </c>
      <c r="Y43" s="25">
        <f t="shared" si="1"/>
        <v>2</v>
      </c>
      <c r="Z43" s="25">
        <f t="shared" si="1"/>
        <v>8</v>
      </c>
      <c r="AA43" s="25">
        <f t="shared" si="1"/>
        <v>3</v>
      </c>
      <c r="AB43" s="25">
        <f t="shared" si="1"/>
        <v>0</v>
      </c>
      <c r="AC43" s="25">
        <f t="shared" si="1"/>
        <v>7</v>
      </c>
      <c r="AD43" s="25">
        <f t="shared" si="1"/>
        <v>6</v>
      </c>
      <c r="AE43" s="25">
        <f t="shared" si="1"/>
        <v>8</v>
      </c>
      <c r="AF43" s="25">
        <f t="shared" si="1"/>
        <v>11</v>
      </c>
      <c r="AG43" s="29">
        <f t="shared" si="2"/>
        <v>0</v>
      </c>
      <c r="AH43" s="29">
        <f t="shared" si="3"/>
        <v>3</v>
      </c>
      <c r="AI43" s="29">
        <f t="shared" si="4"/>
        <v>4</v>
      </c>
      <c r="AJ43" s="29">
        <f t="shared" si="5"/>
        <v>3</v>
      </c>
      <c r="AK43" s="29">
        <f t="shared" si="6"/>
        <v>2</v>
      </c>
      <c r="AL43" s="29">
        <f t="shared" si="7"/>
        <v>3</v>
      </c>
      <c r="AM43" s="29">
        <f t="shared" si="8"/>
        <v>2</v>
      </c>
      <c r="AN43" s="29">
        <f t="shared" si="9"/>
        <v>5</v>
      </c>
      <c r="AO43" s="29">
        <f t="shared" si="10"/>
        <v>3</v>
      </c>
      <c r="AP43" s="29">
        <f t="shared" si="11"/>
        <v>0</v>
      </c>
      <c r="AQ43" s="29">
        <f t="shared" si="12"/>
        <v>7</v>
      </c>
      <c r="AR43" s="29">
        <f t="shared" si="13"/>
        <v>6</v>
      </c>
      <c r="AS43" s="29">
        <f t="shared" si="14"/>
        <v>8</v>
      </c>
      <c r="AT43" s="29">
        <f t="shared" si="15"/>
        <v>6</v>
      </c>
      <c r="AU43" s="34">
        <f t="shared" si="16"/>
        <v>52</v>
      </c>
      <c r="AV43" s="19">
        <f t="shared" si="17"/>
        <v>9</v>
      </c>
    </row>
    <row r="44" spans="2:48">
      <c r="B44" s="21">
        <v>10</v>
      </c>
      <c r="C44" s="23">
        <v>1</v>
      </c>
      <c r="D44" s="22">
        <v>11</v>
      </c>
      <c r="E44" s="24">
        <f t="shared" si="0"/>
        <v>0</v>
      </c>
      <c r="F44" s="24">
        <f t="shared" si="0"/>
        <v>3</v>
      </c>
      <c r="G44" s="24">
        <f t="shared" si="0"/>
        <v>9</v>
      </c>
      <c r="H44" s="24">
        <f t="shared" si="0"/>
        <v>10</v>
      </c>
      <c r="I44" s="24">
        <f t="shared" si="0"/>
        <v>9</v>
      </c>
      <c r="J44" s="24">
        <f t="shared" si="0"/>
        <v>3</v>
      </c>
      <c r="K44" s="24">
        <f t="shared" si="0"/>
        <v>9</v>
      </c>
      <c r="L44" s="24">
        <f t="shared" si="0"/>
        <v>5</v>
      </c>
      <c r="M44" s="24">
        <f t="shared" si="0"/>
        <v>12</v>
      </c>
      <c r="N44" s="24">
        <f t="shared" si="0"/>
        <v>11</v>
      </c>
      <c r="O44" s="24">
        <f t="shared" si="0"/>
        <v>10</v>
      </c>
      <c r="P44" s="24">
        <f t="shared" si="0"/>
        <v>7</v>
      </c>
      <c r="Q44" s="24">
        <f t="shared" si="0"/>
        <v>9</v>
      </c>
      <c r="R44" s="24">
        <f t="shared" si="0"/>
        <v>6</v>
      </c>
      <c r="S44" s="25">
        <f t="shared" si="1"/>
        <v>10</v>
      </c>
      <c r="T44" s="25">
        <f t="shared" si="1"/>
        <v>7</v>
      </c>
      <c r="U44" s="25">
        <f t="shared" si="1"/>
        <v>3</v>
      </c>
      <c r="V44" s="25">
        <f t="shared" si="1"/>
        <v>10</v>
      </c>
      <c r="W44" s="25">
        <f t="shared" si="1"/>
        <v>9</v>
      </c>
      <c r="X44" s="25">
        <f t="shared" si="1"/>
        <v>11</v>
      </c>
      <c r="Y44" s="25">
        <f t="shared" si="1"/>
        <v>9</v>
      </c>
      <c r="Z44" s="25">
        <f t="shared" si="1"/>
        <v>7</v>
      </c>
      <c r="AA44" s="25">
        <f t="shared" si="1"/>
        <v>10</v>
      </c>
      <c r="AB44" s="25">
        <f t="shared" si="1"/>
        <v>7</v>
      </c>
      <c r="AC44" s="25">
        <f t="shared" si="1"/>
        <v>0</v>
      </c>
      <c r="AD44" s="25">
        <f t="shared" si="1"/>
        <v>3</v>
      </c>
      <c r="AE44" s="25">
        <f t="shared" si="1"/>
        <v>1</v>
      </c>
      <c r="AF44" s="25">
        <f t="shared" si="1"/>
        <v>4</v>
      </c>
      <c r="AG44" s="29">
        <f t="shared" si="2"/>
        <v>0</v>
      </c>
      <c r="AH44" s="29">
        <f t="shared" si="3"/>
        <v>3</v>
      </c>
      <c r="AI44" s="29">
        <f t="shared" si="4"/>
        <v>3</v>
      </c>
      <c r="AJ44" s="29">
        <f t="shared" si="5"/>
        <v>10</v>
      </c>
      <c r="AK44" s="29">
        <f t="shared" si="6"/>
        <v>9</v>
      </c>
      <c r="AL44" s="29">
        <f t="shared" si="7"/>
        <v>3</v>
      </c>
      <c r="AM44" s="29">
        <f t="shared" si="8"/>
        <v>9</v>
      </c>
      <c r="AN44" s="29">
        <f t="shared" si="9"/>
        <v>5</v>
      </c>
      <c r="AO44" s="29">
        <f t="shared" si="10"/>
        <v>10</v>
      </c>
      <c r="AP44" s="29">
        <f t="shared" si="11"/>
        <v>7</v>
      </c>
      <c r="AQ44" s="29">
        <f t="shared" si="12"/>
        <v>0</v>
      </c>
      <c r="AR44" s="29">
        <f t="shared" si="13"/>
        <v>3</v>
      </c>
      <c r="AS44" s="29">
        <f t="shared" si="14"/>
        <v>1</v>
      </c>
      <c r="AT44" s="29">
        <f t="shared" si="15"/>
        <v>4</v>
      </c>
      <c r="AU44" s="34">
        <f t="shared" si="16"/>
        <v>67</v>
      </c>
      <c r="AV44" s="19">
        <f t="shared" si="17"/>
        <v>10</v>
      </c>
    </row>
    <row r="45" spans="2:48">
      <c r="B45" s="21">
        <v>11</v>
      </c>
      <c r="C45" s="23">
        <v>1</v>
      </c>
      <c r="D45" s="22">
        <v>12</v>
      </c>
      <c r="E45" s="24">
        <f t="shared" ref="E45:R54" si="18">ABS(VLOOKUP($C45,$B$8:$D$21,2,0)-VLOOKUP(E$34,$B$8:$D$21,2,0))+ABS(VLOOKUP($C45,$B$8:$D$21,3,0)-VLOOKUP(E$34,$B$8:$D$21,3,0))</f>
        <v>0</v>
      </c>
      <c r="F45" s="24">
        <f t="shared" si="18"/>
        <v>3</v>
      </c>
      <c r="G45" s="24">
        <f t="shared" si="18"/>
        <v>9</v>
      </c>
      <c r="H45" s="24">
        <f t="shared" si="18"/>
        <v>10</v>
      </c>
      <c r="I45" s="24">
        <f t="shared" si="18"/>
        <v>9</v>
      </c>
      <c r="J45" s="24">
        <f t="shared" si="18"/>
        <v>3</v>
      </c>
      <c r="K45" s="24">
        <f t="shared" si="18"/>
        <v>9</v>
      </c>
      <c r="L45" s="24">
        <f t="shared" si="18"/>
        <v>5</v>
      </c>
      <c r="M45" s="24">
        <f t="shared" si="18"/>
        <v>12</v>
      </c>
      <c r="N45" s="24">
        <f t="shared" si="18"/>
        <v>11</v>
      </c>
      <c r="O45" s="24">
        <f t="shared" si="18"/>
        <v>10</v>
      </c>
      <c r="P45" s="24">
        <f t="shared" si="18"/>
        <v>7</v>
      </c>
      <c r="Q45" s="24">
        <f t="shared" si="18"/>
        <v>9</v>
      </c>
      <c r="R45" s="24">
        <f t="shared" si="18"/>
        <v>6</v>
      </c>
      <c r="S45" s="25">
        <f t="shared" ref="S45:AF54" si="19">ABS(VLOOKUP($D45,$B$8:$D$21,2,0)-VLOOKUP(S$34,$B$8:$D$21,2,0))+ABS(VLOOKUP($D45,$B$8:$D$21,3,0)-VLOOKUP(S$34,$B$8:$D$21,3,0))</f>
        <v>7</v>
      </c>
      <c r="T45" s="25">
        <f t="shared" si="19"/>
        <v>4</v>
      </c>
      <c r="U45" s="25">
        <f t="shared" si="19"/>
        <v>2</v>
      </c>
      <c r="V45" s="25">
        <f t="shared" si="19"/>
        <v>9</v>
      </c>
      <c r="W45" s="25">
        <f t="shared" si="19"/>
        <v>8</v>
      </c>
      <c r="X45" s="25">
        <f t="shared" si="19"/>
        <v>8</v>
      </c>
      <c r="Y45" s="25">
        <f t="shared" si="19"/>
        <v>8</v>
      </c>
      <c r="Z45" s="25">
        <f t="shared" si="19"/>
        <v>6</v>
      </c>
      <c r="AA45" s="25">
        <f t="shared" si="19"/>
        <v>9</v>
      </c>
      <c r="AB45" s="25">
        <f t="shared" si="19"/>
        <v>6</v>
      </c>
      <c r="AC45" s="25">
        <f t="shared" si="19"/>
        <v>3</v>
      </c>
      <c r="AD45" s="25">
        <f t="shared" si="19"/>
        <v>0</v>
      </c>
      <c r="AE45" s="25">
        <f t="shared" si="19"/>
        <v>2</v>
      </c>
      <c r="AF45" s="25">
        <f t="shared" si="19"/>
        <v>5</v>
      </c>
      <c r="AG45" s="29">
        <f t="shared" si="2"/>
        <v>0</v>
      </c>
      <c r="AH45" s="29">
        <f t="shared" si="3"/>
        <v>3</v>
      </c>
      <c r="AI45" s="29">
        <f t="shared" si="4"/>
        <v>2</v>
      </c>
      <c r="AJ45" s="29">
        <f t="shared" si="5"/>
        <v>9</v>
      </c>
      <c r="AK45" s="29">
        <f t="shared" si="6"/>
        <v>8</v>
      </c>
      <c r="AL45" s="29">
        <f t="shared" si="7"/>
        <v>3</v>
      </c>
      <c r="AM45" s="29">
        <f t="shared" si="8"/>
        <v>8</v>
      </c>
      <c r="AN45" s="29">
        <f t="shared" si="9"/>
        <v>5</v>
      </c>
      <c r="AO45" s="29">
        <f t="shared" si="10"/>
        <v>9</v>
      </c>
      <c r="AP45" s="29">
        <f t="shared" si="11"/>
        <v>6</v>
      </c>
      <c r="AQ45" s="29">
        <f t="shared" si="12"/>
        <v>3</v>
      </c>
      <c r="AR45" s="29">
        <f t="shared" si="13"/>
        <v>0</v>
      </c>
      <c r="AS45" s="29">
        <f t="shared" si="14"/>
        <v>2</v>
      </c>
      <c r="AT45" s="29">
        <f t="shared" si="15"/>
        <v>5</v>
      </c>
      <c r="AU45" s="34">
        <f t="shared" si="16"/>
        <v>63</v>
      </c>
      <c r="AV45" s="19">
        <f t="shared" si="17"/>
        <v>11</v>
      </c>
    </row>
    <row r="46" spans="2:48">
      <c r="B46" s="21">
        <v>12</v>
      </c>
      <c r="C46" s="23">
        <v>1</v>
      </c>
      <c r="D46" s="22">
        <v>13</v>
      </c>
      <c r="E46" s="24">
        <f t="shared" si="18"/>
        <v>0</v>
      </c>
      <c r="F46" s="24">
        <f t="shared" si="18"/>
        <v>3</v>
      </c>
      <c r="G46" s="24">
        <f t="shared" si="18"/>
        <v>9</v>
      </c>
      <c r="H46" s="24">
        <f t="shared" si="18"/>
        <v>10</v>
      </c>
      <c r="I46" s="24">
        <f t="shared" si="18"/>
        <v>9</v>
      </c>
      <c r="J46" s="24">
        <f t="shared" si="18"/>
        <v>3</v>
      </c>
      <c r="K46" s="24">
        <f t="shared" si="18"/>
        <v>9</v>
      </c>
      <c r="L46" s="24">
        <f t="shared" si="18"/>
        <v>5</v>
      </c>
      <c r="M46" s="24">
        <f t="shared" si="18"/>
        <v>12</v>
      </c>
      <c r="N46" s="24">
        <f t="shared" si="18"/>
        <v>11</v>
      </c>
      <c r="O46" s="24">
        <f t="shared" si="18"/>
        <v>10</v>
      </c>
      <c r="P46" s="24">
        <f t="shared" si="18"/>
        <v>7</v>
      </c>
      <c r="Q46" s="24">
        <f t="shared" si="18"/>
        <v>9</v>
      </c>
      <c r="R46" s="24">
        <f t="shared" si="18"/>
        <v>6</v>
      </c>
      <c r="S46" s="25">
        <f t="shared" si="19"/>
        <v>9</v>
      </c>
      <c r="T46" s="25">
        <f t="shared" si="19"/>
        <v>6</v>
      </c>
      <c r="U46" s="25">
        <f t="shared" si="19"/>
        <v>4</v>
      </c>
      <c r="V46" s="25">
        <f t="shared" si="19"/>
        <v>11</v>
      </c>
      <c r="W46" s="25">
        <f t="shared" si="19"/>
        <v>10</v>
      </c>
      <c r="X46" s="25">
        <f t="shared" si="19"/>
        <v>10</v>
      </c>
      <c r="Y46" s="25">
        <f t="shared" si="19"/>
        <v>10</v>
      </c>
      <c r="Z46" s="25">
        <f t="shared" si="19"/>
        <v>8</v>
      </c>
      <c r="AA46" s="25">
        <f t="shared" si="19"/>
        <v>11</v>
      </c>
      <c r="AB46" s="25">
        <f t="shared" si="19"/>
        <v>8</v>
      </c>
      <c r="AC46" s="25">
        <f t="shared" si="19"/>
        <v>1</v>
      </c>
      <c r="AD46" s="25">
        <f t="shared" si="19"/>
        <v>2</v>
      </c>
      <c r="AE46" s="25">
        <f t="shared" si="19"/>
        <v>0</v>
      </c>
      <c r="AF46" s="25">
        <f t="shared" si="19"/>
        <v>3</v>
      </c>
      <c r="AG46" s="29">
        <f t="shared" si="2"/>
        <v>0</v>
      </c>
      <c r="AH46" s="29">
        <f t="shared" si="3"/>
        <v>3</v>
      </c>
      <c r="AI46" s="29">
        <f t="shared" si="4"/>
        <v>4</v>
      </c>
      <c r="AJ46" s="29">
        <f t="shared" si="5"/>
        <v>10</v>
      </c>
      <c r="AK46" s="29">
        <f t="shared" si="6"/>
        <v>9</v>
      </c>
      <c r="AL46" s="29">
        <f t="shared" si="7"/>
        <v>3</v>
      </c>
      <c r="AM46" s="29">
        <f t="shared" si="8"/>
        <v>9</v>
      </c>
      <c r="AN46" s="29">
        <f t="shared" si="9"/>
        <v>5</v>
      </c>
      <c r="AO46" s="29">
        <f t="shared" si="10"/>
        <v>11</v>
      </c>
      <c r="AP46" s="29">
        <f t="shared" si="11"/>
        <v>8</v>
      </c>
      <c r="AQ46" s="29">
        <f t="shared" si="12"/>
        <v>1</v>
      </c>
      <c r="AR46" s="29">
        <f t="shared" si="13"/>
        <v>2</v>
      </c>
      <c r="AS46" s="29">
        <f t="shared" si="14"/>
        <v>0</v>
      </c>
      <c r="AT46" s="29">
        <f t="shared" si="15"/>
        <v>3</v>
      </c>
      <c r="AU46" s="34">
        <f t="shared" si="16"/>
        <v>68</v>
      </c>
      <c r="AV46" s="19">
        <f t="shared" si="17"/>
        <v>12</v>
      </c>
    </row>
    <row r="47" spans="2:48">
      <c r="B47" s="21">
        <v>13</v>
      </c>
      <c r="C47" s="23">
        <v>1</v>
      </c>
      <c r="D47" s="22">
        <v>14</v>
      </c>
      <c r="E47" s="24">
        <f t="shared" si="18"/>
        <v>0</v>
      </c>
      <c r="F47" s="24">
        <f t="shared" si="18"/>
        <v>3</v>
      </c>
      <c r="G47" s="24">
        <f t="shared" si="18"/>
        <v>9</v>
      </c>
      <c r="H47" s="24">
        <f t="shared" si="18"/>
        <v>10</v>
      </c>
      <c r="I47" s="24">
        <f t="shared" si="18"/>
        <v>9</v>
      </c>
      <c r="J47" s="24">
        <f t="shared" si="18"/>
        <v>3</v>
      </c>
      <c r="K47" s="24">
        <f t="shared" si="18"/>
        <v>9</v>
      </c>
      <c r="L47" s="24">
        <f t="shared" si="18"/>
        <v>5</v>
      </c>
      <c r="M47" s="24">
        <f t="shared" si="18"/>
        <v>12</v>
      </c>
      <c r="N47" s="24">
        <f t="shared" si="18"/>
        <v>11</v>
      </c>
      <c r="O47" s="24">
        <f t="shared" si="18"/>
        <v>10</v>
      </c>
      <c r="P47" s="24">
        <f t="shared" si="18"/>
        <v>7</v>
      </c>
      <c r="Q47" s="24">
        <f t="shared" si="18"/>
        <v>9</v>
      </c>
      <c r="R47" s="24">
        <f t="shared" si="18"/>
        <v>6</v>
      </c>
      <c r="S47" s="25">
        <f t="shared" si="19"/>
        <v>6</v>
      </c>
      <c r="T47" s="25">
        <f t="shared" si="19"/>
        <v>7</v>
      </c>
      <c r="U47" s="25">
        <f t="shared" si="19"/>
        <v>7</v>
      </c>
      <c r="V47" s="25">
        <f t="shared" si="19"/>
        <v>14</v>
      </c>
      <c r="W47" s="25">
        <f t="shared" si="19"/>
        <v>13</v>
      </c>
      <c r="X47" s="25">
        <f t="shared" si="19"/>
        <v>9</v>
      </c>
      <c r="Y47" s="25">
        <f t="shared" si="19"/>
        <v>13</v>
      </c>
      <c r="Z47" s="25">
        <f t="shared" si="19"/>
        <v>11</v>
      </c>
      <c r="AA47" s="25">
        <f t="shared" si="19"/>
        <v>14</v>
      </c>
      <c r="AB47" s="25">
        <f t="shared" si="19"/>
        <v>11</v>
      </c>
      <c r="AC47" s="25">
        <f t="shared" si="19"/>
        <v>4</v>
      </c>
      <c r="AD47" s="25">
        <f t="shared" si="19"/>
        <v>5</v>
      </c>
      <c r="AE47" s="25">
        <f t="shared" si="19"/>
        <v>3</v>
      </c>
      <c r="AF47" s="25">
        <f t="shared" si="19"/>
        <v>0</v>
      </c>
      <c r="AG47" s="29">
        <f t="shared" si="2"/>
        <v>0</v>
      </c>
      <c r="AH47" s="29">
        <f t="shared" si="3"/>
        <v>3</v>
      </c>
      <c r="AI47" s="29">
        <f t="shared" si="4"/>
        <v>7</v>
      </c>
      <c r="AJ47" s="29">
        <f t="shared" si="5"/>
        <v>10</v>
      </c>
      <c r="AK47" s="29">
        <f t="shared" si="6"/>
        <v>9</v>
      </c>
      <c r="AL47" s="29">
        <f t="shared" si="7"/>
        <v>3</v>
      </c>
      <c r="AM47" s="29">
        <f t="shared" si="8"/>
        <v>9</v>
      </c>
      <c r="AN47" s="29">
        <f t="shared" si="9"/>
        <v>5</v>
      </c>
      <c r="AO47" s="29">
        <f t="shared" si="10"/>
        <v>12</v>
      </c>
      <c r="AP47" s="29">
        <f t="shared" si="11"/>
        <v>11</v>
      </c>
      <c r="AQ47" s="29">
        <f t="shared" si="12"/>
        <v>4</v>
      </c>
      <c r="AR47" s="29">
        <f t="shared" si="13"/>
        <v>5</v>
      </c>
      <c r="AS47" s="29">
        <f t="shared" si="14"/>
        <v>3</v>
      </c>
      <c r="AT47" s="29">
        <f t="shared" si="15"/>
        <v>0</v>
      </c>
      <c r="AU47" s="34">
        <f t="shared" si="16"/>
        <v>81</v>
      </c>
      <c r="AV47" s="19">
        <f t="shared" si="17"/>
        <v>13</v>
      </c>
    </row>
    <row r="48" spans="2:48">
      <c r="B48" s="21">
        <v>14</v>
      </c>
      <c r="C48" s="23">
        <v>2</v>
      </c>
      <c r="D48" s="22">
        <v>3</v>
      </c>
      <c r="E48" s="24">
        <f t="shared" si="18"/>
        <v>3</v>
      </c>
      <c r="F48" s="24">
        <f t="shared" si="18"/>
        <v>0</v>
      </c>
      <c r="G48" s="24">
        <f t="shared" si="18"/>
        <v>6</v>
      </c>
      <c r="H48" s="24">
        <f t="shared" si="18"/>
        <v>7</v>
      </c>
      <c r="I48" s="24">
        <f t="shared" si="18"/>
        <v>6</v>
      </c>
      <c r="J48" s="24">
        <f t="shared" si="18"/>
        <v>4</v>
      </c>
      <c r="K48" s="24">
        <f t="shared" si="18"/>
        <v>6</v>
      </c>
      <c r="L48" s="24">
        <f t="shared" si="18"/>
        <v>4</v>
      </c>
      <c r="M48" s="24">
        <f t="shared" si="18"/>
        <v>9</v>
      </c>
      <c r="N48" s="24">
        <f t="shared" si="18"/>
        <v>8</v>
      </c>
      <c r="O48" s="24">
        <f t="shared" si="18"/>
        <v>7</v>
      </c>
      <c r="P48" s="24">
        <f t="shared" si="18"/>
        <v>4</v>
      </c>
      <c r="Q48" s="24">
        <f t="shared" si="18"/>
        <v>6</v>
      </c>
      <c r="R48" s="24">
        <f t="shared" si="18"/>
        <v>7</v>
      </c>
      <c r="S48" s="25">
        <f t="shared" si="19"/>
        <v>9</v>
      </c>
      <c r="T48" s="25">
        <f t="shared" si="19"/>
        <v>6</v>
      </c>
      <c r="U48" s="25">
        <f t="shared" si="19"/>
        <v>0</v>
      </c>
      <c r="V48" s="25">
        <f t="shared" si="19"/>
        <v>7</v>
      </c>
      <c r="W48" s="25">
        <f t="shared" si="19"/>
        <v>6</v>
      </c>
      <c r="X48" s="25">
        <f t="shared" si="19"/>
        <v>10</v>
      </c>
      <c r="Y48" s="25">
        <f t="shared" si="19"/>
        <v>6</v>
      </c>
      <c r="Z48" s="25">
        <f t="shared" si="19"/>
        <v>6</v>
      </c>
      <c r="AA48" s="25">
        <f t="shared" si="19"/>
        <v>7</v>
      </c>
      <c r="AB48" s="25">
        <f t="shared" si="19"/>
        <v>4</v>
      </c>
      <c r="AC48" s="25">
        <f t="shared" si="19"/>
        <v>3</v>
      </c>
      <c r="AD48" s="25">
        <f t="shared" si="19"/>
        <v>2</v>
      </c>
      <c r="AE48" s="25">
        <f t="shared" si="19"/>
        <v>4</v>
      </c>
      <c r="AF48" s="25">
        <f t="shared" si="19"/>
        <v>7</v>
      </c>
      <c r="AG48" s="29">
        <f t="shared" si="2"/>
        <v>3</v>
      </c>
      <c r="AH48" s="29">
        <f t="shared" si="3"/>
        <v>0</v>
      </c>
      <c r="AI48" s="29">
        <f t="shared" si="4"/>
        <v>0</v>
      </c>
      <c r="AJ48" s="29">
        <f t="shared" si="5"/>
        <v>7</v>
      </c>
      <c r="AK48" s="29">
        <f t="shared" si="6"/>
        <v>6</v>
      </c>
      <c r="AL48" s="29">
        <f t="shared" si="7"/>
        <v>4</v>
      </c>
      <c r="AM48" s="29">
        <f t="shared" si="8"/>
        <v>6</v>
      </c>
      <c r="AN48" s="29">
        <f t="shared" si="9"/>
        <v>4</v>
      </c>
      <c r="AO48" s="29">
        <f t="shared" si="10"/>
        <v>7</v>
      </c>
      <c r="AP48" s="29">
        <f t="shared" si="11"/>
        <v>4</v>
      </c>
      <c r="AQ48" s="29">
        <f t="shared" si="12"/>
        <v>3</v>
      </c>
      <c r="AR48" s="29">
        <f t="shared" si="13"/>
        <v>2</v>
      </c>
      <c r="AS48" s="29">
        <f t="shared" si="14"/>
        <v>4</v>
      </c>
      <c r="AT48" s="29">
        <f t="shared" si="15"/>
        <v>7</v>
      </c>
      <c r="AU48" s="34">
        <f t="shared" si="16"/>
        <v>57</v>
      </c>
      <c r="AV48" s="19">
        <f t="shared" si="17"/>
        <v>14</v>
      </c>
    </row>
    <row r="49" spans="2:48">
      <c r="B49" s="21">
        <v>15</v>
      </c>
      <c r="C49" s="23">
        <v>2</v>
      </c>
      <c r="D49" s="22">
        <v>4</v>
      </c>
      <c r="E49" s="24">
        <f t="shared" si="18"/>
        <v>3</v>
      </c>
      <c r="F49" s="24">
        <f t="shared" si="18"/>
        <v>0</v>
      </c>
      <c r="G49" s="24">
        <f t="shared" si="18"/>
        <v>6</v>
      </c>
      <c r="H49" s="24">
        <f t="shared" si="18"/>
        <v>7</v>
      </c>
      <c r="I49" s="24">
        <f t="shared" si="18"/>
        <v>6</v>
      </c>
      <c r="J49" s="24">
        <f t="shared" si="18"/>
        <v>4</v>
      </c>
      <c r="K49" s="24">
        <f t="shared" si="18"/>
        <v>6</v>
      </c>
      <c r="L49" s="24">
        <f t="shared" si="18"/>
        <v>4</v>
      </c>
      <c r="M49" s="24">
        <f t="shared" si="18"/>
        <v>9</v>
      </c>
      <c r="N49" s="24">
        <f t="shared" si="18"/>
        <v>8</v>
      </c>
      <c r="O49" s="24">
        <f t="shared" si="18"/>
        <v>7</v>
      </c>
      <c r="P49" s="24">
        <f t="shared" si="18"/>
        <v>4</v>
      </c>
      <c r="Q49" s="24">
        <f t="shared" si="18"/>
        <v>6</v>
      </c>
      <c r="R49" s="24">
        <f t="shared" si="18"/>
        <v>7</v>
      </c>
      <c r="S49" s="25">
        <f t="shared" si="19"/>
        <v>10</v>
      </c>
      <c r="T49" s="25">
        <f t="shared" si="19"/>
        <v>7</v>
      </c>
      <c r="U49" s="25">
        <f t="shared" si="19"/>
        <v>7</v>
      </c>
      <c r="V49" s="25">
        <f t="shared" si="19"/>
        <v>0</v>
      </c>
      <c r="W49" s="25">
        <f t="shared" si="19"/>
        <v>1</v>
      </c>
      <c r="X49" s="25">
        <f t="shared" si="19"/>
        <v>11</v>
      </c>
      <c r="Y49" s="25">
        <f t="shared" si="19"/>
        <v>1</v>
      </c>
      <c r="Z49" s="25">
        <f t="shared" si="19"/>
        <v>7</v>
      </c>
      <c r="AA49" s="25">
        <f t="shared" si="19"/>
        <v>2</v>
      </c>
      <c r="AB49" s="25">
        <f t="shared" si="19"/>
        <v>3</v>
      </c>
      <c r="AC49" s="25">
        <f t="shared" si="19"/>
        <v>10</v>
      </c>
      <c r="AD49" s="25">
        <f t="shared" si="19"/>
        <v>9</v>
      </c>
      <c r="AE49" s="25">
        <f t="shared" si="19"/>
        <v>11</v>
      </c>
      <c r="AF49" s="25">
        <f t="shared" si="19"/>
        <v>14</v>
      </c>
      <c r="AG49" s="29">
        <f t="shared" si="2"/>
        <v>3</v>
      </c>
      <c r="AH49" s="29">
        <f t="shared" si="3"/>
        <v>0</v>
      </c>
      <c r="AI49" s="29">
        <f t="shared" si="4"/>
        <v>6</v>
      </c>
      <c r="AJ49" s="29">
        <f t="shared" si="5"/>
        <v>0</v>
      </c>
      <c r="AK49" s="29">
        <f t="shared" si="6"/>
        <v>1</v>
      </c>
      <c r="AL49" s="29">
        <f t="shared" si="7"/>
        <v>4</v>
      </c>
      <c r="AM49" s="29">
        <f t="shared" si="8"/>
        <v>1</v>
      </c>
      <c r="AN49" s="29">
        <f t="shared" si="9"/>
        <v>4</v>
      </c>
      <c r="AO49" s="29">
        <f t="shared" si="10"/>
        <v>2</v>
      </c>
      <c r="AP49" s="29">
        <f t="shared" si="11"/>
        <v>3</v>
      </c>
      <c r="AQ49" s="29">
        <f t="shared" si="12"/>
        <v>7</v>
      </c>
      <c r="AR49" s="29">
        <f t="shared" si="13"/>
        <v>4</v>
      </c>
      <c r="AS49" s="29">
        <f t="shared" si="14"/>
        <v>6</v>
      </c>
      <c r="AT49" s="29">
        <f t="shared" si="15"/>
        <v>7</v>
      </c>
      <c r="AU49" s="34">
        <f t="shared" si="16"/>
        <v>48</v>
      </c>
      <c r="AV49" s="19">
        <f t="shared" si="17"/>
        <v>15</v>
      </c>
    </row>
    <row r="50" spans="2:48">
      <c r="B50" s="21">
        <v>16</v>
      </c>
      <c r="C50" s="23">
        <v>2</v>
      </c>
      <c r="D50" s="22">
        <v>5</v>
      </c>
      <c r="E50" s="24">
        <f t="shared" si="18"/>
        <v>3</v>
      </c>
      <c r="F50" s="24">
        <f t="shared" si="18"/>
        <v>0</v>
      </c>
      <c r="G50" s="24">
        <f t="shared" si="18"/>
        <v>6</v>
      </c>
      <c r="H50" s="24">
        <f t="shared" si="18"/>
        <v>7</v>
      </c>
      <c r="I50" s="24">
        <f t="shared" si="18"/>
        <v>6</v>
      </c>
      <c r="J50" s="24">
        <f t="shared" si="18"/>
        <v>4</v>
      </c>
      <c r="K50" s="24">
        <f t="shared" si="18"/>
        <v>6</v>
      </c>
      <c r="L50" s="24">
        <f t="shared" si="18"/>
        <v>4</v>
      </c>
      <c r="M50" s="24">
        <f t="shared" si="18"/>
        <v>9</v>
      </c>
      <c r="N50" s="24">
        <f t="shared" si="18"/>
        <v>8</v>
      </c>
      <c r="O50" s="24">
        <f t="shared" si="18"/>
        <v>7</v>
      </c>
      <c r="P50" s="24">
        <f t="shared" si="18"/>
        <v>4</v>
      </c>
      <c r="Q50" s="24">
        <f t="shared" si="18"/>
        <v>6</v>
      </c>
      <c r="R50" s="24">
        <f t="shared" si="18"/>
        <v>7</v>
      </c>
      <c r="S50" s="25">
        <f t="shared" si="19"/>
        <v>9</v>
      </c>
      <c r="T50" s="25">
        <f t="shared" si="19"/>
        <v>6</v>
      </c>
      <c r="U50" s="25">
        <f t="shared" si="19"/>
        <v>6</v>
      </c>
      <c r="V50" s="25">
        <f t="shared" si="19"/>
        <v>1</v>
      </c>
      <c r="W50" s="25">
        <f t="shared" si="19"/>
        <v>0</v>
      </c>
      <c r="X50" s="25">
        <f t="shared" si="19"/>
        <v>10</v>
      </c>
      <c r="Y50" s="25">
        <f t="shared" si="19"/>
        <v>0</v>
      </c>
      <c r="Z50" s="25">
        <f t="shared" si="19"/>
        <v>6</v>
      </c>
      <c r="AA50" s="25">
        <f t="shared" si="19"/>
        <v>3</v>
      </c>
      <c r="AB50" s="25">
        <f t="shared" si="19"/>
        <v>2</v>
      </c>
      <c r="AC50" s="25">
        <f t="shared" si="19"/>
        <v>9</v>
      </c>
      <c r="AD50" s="25">
        <f t="shared" si="19"/>
        <v>8</v>
      </c>
      <c r="AE50" s="25">
        <f t="shared" si="19"/>
        <v>10</v>
      </c>
      <c r="AF50" s="25">
        <f t="shared" si="19"/>
        <v>13</v>
      </c>
      <c r="AG50" s="29">
        <f t="shared" si="2"/>
        <v>3</v>
      </c>
      <c r="AH50" s="29">
        <f t="shared" si="3"/>
        <v>0</v>
      </c>
      <c r="AI50" s="29">
        <f t="shared" si="4"/>
        <v>6</v>
      </c>
      <c r="AJ50" s="29">
        <f t="shared" si="5"/>
        <v>1</v>
      </c>
      <c r="AK50" s="29">
        <f t="shared" si="6"/>
        <v>0</v>
      </c>
      <c r="AL50" s="29">
        <f t="shared" si="7"/>
        <v>4</v>
      </c>
      <c r="AM50" s="29">
        <f t="shared" si="8"/>
        <v>0</v>
      </c>
      <c r="AN50" s="29">
        <f t="shared" si="9"/>
        <v>4</v>
      </c>
      <c r="AO50" s="29">
        <f t="shared" si="10"/>
        <v>3</v>
      </c>
      <c r="AP50" s="29">
        <f t="shared" si="11"/>
        <v>2</v>
      </c>
      <c r="AQ50" s="29">
        <f t="shared" si="12"/>
        <v>7</v>
      </c>
      <c r="AR50" s="29">
        <f t="shared" si="13"/>
        <v>4</v>
      </c>
      <c r="AS50" s="29">
        <f t="shared" si="14"/>
        <v>6</v>
      </c>
      <c r="AT50" s="29">
        <f t="shared" si="15"/>
        <v>7</v>
      </c>
      <c r="AU50" s="34">
        <f t="shared" si="16"/>
        <v>47</v>
      </c>
      <c r="AV50" s="19">
        <f t="shared" si="17"/>
        <v>16</v>
      </c>
    </row>
    <row r="51" spans="2:48">
      <c r="B51" s="21">
        <v>17</v>
      </c>
      <c r="C51" s="23">
        <v>2</v>
      </c>
      <c r="D51" s="22">
        <v>6</v>
      </c>
      <c r="E51" s="24">
        <f t="shared" si="18"/>
        <v>3</v>
      </c>
      <c r="F51" s="24">
        <f t="shared" si="18"/>
        <v>0</v>
      </c>
      <c r="G51" s="24">
        <f t="shared" si="18"/>
        <v>6</v>
      </c>
      <c r="H51" s="24">
        <f t="shared" si="18"/>
        <v>7</v>
      </c>
      <c r="I51" s="24">
        <f t="shared" si="18"/>
        <v>6</v>
      </c>
      <c r="J51" s="24">
        <f t="shared" si="18"/>
        <v>4</v>
      </c>
      <c r="K51" s="24">
        <f t="shared" si="18"/>
        <v>6</v>
      </c>
      <c r="L51" s="24">
        <f t="shared" si="18"/>
        <v>4</v>
      </c>
      <c r="M51" s="24">
        <f t="shared" si="18"/>
        <v>9</v>
      </c>
      <c r="N51" s="24">
        <f t="shared" si="18"/>
        <v>8</v>
      </c>
      <c r="O51" s="24">
        <f t="shared" si="18"/>
        <v>7</v>
      </c>
      <c r="P51" s="24">
        <f t="shared" si="18"/>
        <v>4</v>
      </c>
      <c r="Q51" s="24">
        <f t="shared" si="18"/>
        <v>6</v>
      </c>
      <c r="R51" s="24">
        <f t="shared" si="18"/>
        <v>7</v>
      </c>
      <c r="S51" s="25">
        <f t="shared" si="19"/>
        <v>3</v>
      </c>
      <c r="T51" s="25">
        <f t="shared" si="19"/>
        <v>4</v>
      </c>
      <c r="U51" s="25">
        <f t="shared" si="19"/>
        <v>10</v>
      </c>
      <c r="V51" s="25">
        <f t="shared" si="19"/>
        <v>11</v>
      </c>
      <c r="W51" s="25">
        <f t="shared" si="19"/>
        <v>10</v>
      </c>
      <c r="X51" s="25">
        <f t="shared" si="19"/>
        <v>0</v>
      </c>
      <c r="Y51" s="25">
        <f t="shared" si="19"/>
        <v>10</v>
      </c>
      <c r="Z51" s="25">
        <f t="shared" si="19"/>
        <v>4</v>
      </c>
      <c r="AA51" s="25">
        <f t="shared" si="19"/>
        <v>13</v>
      </c>
      <c r="AB51" s="25">
        <f t="shared" si="19"/>
        <v>12</v>
      </c>
      <c r="AC51" s="25">
        <f t="shared" si="19"/>
        <v>11</v>
      </c>
      <c r="AD51" s="25">
        <f t="shared" si="19"/>
        <v>8</v>
      </c>
      <c r="AE51" s="25">
        <f t="shared" si="19"/>
        <v>10</v>
      </c>
      <c r="AF51" s="25">
        <f t="shared" si="19"/>
        <v>9</v>
      </c>
      <c r="AG51" s="29">
        <f t="shared" si="2"/>
        <v>3</v>
      </c>
      <c r="AH51" s="29">
        <f t="shared" si="3"/>
        <v>0</v>
      </c>
      <c r="AI51" s="29">
        <f t="shared" si="4"/>
        <v>6</v>
      </c>
      <c r="AJ51" s="29">
        <f t="shared" si="5"/>
        <v>7</v>
      </c>
      <c r="AK51" s="29">
        <f t="shared" si="6"/>
        <v>6</v>
      </c>
      <c r="AL51" s="29">
        <f t="shared" si="7"/>
        <v>0</v>
      </c>
      <c r="AM51" s="29">
        <f t="shared" si="8"/>
        <v>6</v>
      </c>
      <c r="AN51" s="29">
        <f t="shared" si="9"/>
        <v>4</v>
      </c>
      <c r="AO51" s="29">
        <f t="shared" si="10"/>
        <v>9</v>
      </c>
      <c r="AP51" s="29">
        <f t="shared" si="11"/>
        <v>8</v>
      </c>
      <c r="AQ51" s="29">
        <f t="shared" si="12"/>
        <v>7</v>
      </c>
      <c r="AR51" s="29">
        <f t="shared" si="13"/>
        <v>4</v>
      </c>
      <c r="AS51" s="29">
        <f t="shared" si="14"/>
        <v>6</v>
      </c>
      <c r="AT51" s="29">
        <f t="shared" si="15"/>
        <v>7</v>
      </c>
      <c r="AU51" s="34">
        <f t="shared" si="16"/>
        <v>73</v>
      </c>
      <c r="AV51" s="19">
        <f t="shared" si="17"/>
        <v>17</v>
      </c>
    </row>
    <row r="52" spans="2:48">
      <c r="B52" s="21">
        <v>18</v>
      </c>
      <c r="C52" s="23">
        <v>2</v>
      </c>
      <c r="D52" s="22">
        <v>7</v>
      </c>
      <c r="E52" s="24">
        <f t="shared" si="18"/>
        <v>3</v>
      </c>
      <c r="F52" s="24">
        <f t="shared" si="18"/>
        <v>0</v>
      </c>
      <c r="G52" s="24">
        <f t="shared" si="18"/>
        <v>6</v>
      </c>
      <c r="H52" s="24">
        <f t="shared" si="18"/>
        <v>7</v>
      </c>
      <c r="I52" s="24">
        <f t="shared" si="18"/>
        <v>6</v>
      </c>
      <c r="J52" s="24">
        <f t="shared" si="18"/>
        <v>4</v>
      </c>
      <c r="K52" s="24">
        <f t="shared" si="18"/>
        <v>6</v>
      </c>
      <c r="L52" s="24">
        <f t="shared" si="18"/>
        <v>4</v>
      </c>
      <c r="M52" s="24">
        <f t="shared" si="18"/>
        <v>9</v>
      </c>
      <c r="N52" s="24">
        <f t="shared" si="18"/>
        <v>8</v>
      </c>
      <c r="O52" s="24">
        <f t="shared" si="18"/>
        <v>7</v>
      </c>
      <c r="P52" s="24">
        <f t="shared" si="18"/>
        <v>4</v>
      </c>
      <c r="Q52" s="24">
        <f t="shared" si="18"/>
        <v>6</v>
      </c>
      <c r="R52" s="24">
        <f t="shared" si="18"/>
        <v>7</v>
      </c>
      <c r="S52" s="25">
        <f t="shared" si="19"/>
        <v>9</v>
      </c>
      <c r="T52" s="25">
        <f t="shared" si="19"/>
        <v>6</v>
      </c>
      <c r="U52" s="25">
        <f t="shared" si="19"/>
        <v>6</v>
      </c>
      <c r="V52" s="25">
        <f t="shared" si="19"/>
        <v>1</v>
      </c>
      <c r="W52" s="25">
        <f t="shared" si="19"/>
        <v>0</v>
      </c>
      <c r="X52" s="25">
        <f t="shared" si="19"/>
        <v>10</v>
      </c>
      <c r="Y52" s="25">
        <f t="shared" si="19"/>
        <v>0</v>
      </c>
      <c r="Z52" s="25">
        <f t="shared" si="19"/>
        <v>6</v>
      </c>
      <c r="AA52" s="25">
        <f t="shared" si="19"/>
        <v>3</v>
      </c>
      <c r="AB52" s="25">
        <f t="shared" si="19"/>
        <v>2</v>
      </c>
      <c r="AC52" s="25">
        <f t="shared" si="19"/>
        <v>9</v>
      </c>
      <c r="AD52" s="25">
        <f t="shared" si="19"/>
        <v>8</v>
      </c>
      <c r="AE52" s="25">
        <f t="shared" si="19"/>
        <v>10</v>
      </c>
      <c r="AF52" s="25">
        <f t="shared" si="19"/>
        <v>13</v>
      </c>
      <c r="AG52" s="29">
        <f t="shared" si="2"/>
        <v>3</v>
      </c>
      <c r="AH52" s="29">
        <f t="shared" si="3"/>
        <v>0</v>
      </c>
      <c r="AI52" s="29">
        <f t="shared" si="4"/>
        <v>6</v>
      </c>
      <c r="AJ52" s="29">
        <f t="shared" si="5"/>
        <v>1</v>
      </c>
      <c r="AK52" s="29">
        <f t="shared" si="6"/>
        <v>0</v>
      </c>
      <c r="AL52" s="29">
        <f t="shared" si="7"/>
        <v>4</v>
      </c>
      <c r="AM52" s="29">
        <f t="shared" si="8"/>
        <v>0</v>
      </c>
      <c r="AN52" s="29">
        <f t="shared" si="9"/>
        <v>4</v>
      </c>
      <c r="AO52" s="29">
        <f t="shared" si="10"/>
        <v>3</v>
      </c>
      <c r="AP52" s="29">
        <f t="shared" si="11"/>
        <v>2</v>
      </c>
      <c r="AQ52" s="29">
        <f t="shared" si="12"/>
        <v>7</v>
      </c>
      <c r="AR52" s="29">
        <f t="shared" si="13"/>
        <v>4</v>
      </c>
      <c r="AS52" s="29">
        <f t="shared" si="14"/>
        <v>6</v>
      </c>
      <c r="AT52" s="29">
        <f t="shared" si="15"/>
        <v>7</v>
      </c>
      <c r="AU52" s="34">
        <f t="shared" si="16"/>
        <v>47</v>
      </c>
      <c r="AV52" s="19">
        <f t="shared" si="17"/>
        <v>18</v>
      </c>
    </row>
    <row r="53" spans="2:48">
      <c r="B53" s="21">
        <v>19</v>
      </c>
      <c r="C53" s="23">
        <v>2</v>
      </c>
      <c r="D53" s="22">
        <v>8</v>
      </c>
      <c r="E53" s="24">
        <f t="shared" si="18"/>
        <v>3</v>
      </c>
      <c r="F53" s="24">
        <f t="shared" si="18"/>
        <v>0</v>
      </c>
      <c r="G53" s="24">
        <f t="shared" si="18"/>
        <v>6</v>
      </c>
      <c r="H53" s="24">
        <f t="shared" si="18"/>
        <v>7</v>
      </c>
      <c r="I53" s="24">
        <f t="shared" si="18"/>
        <v>6</v>
      </c>
      <c r="J53" s="24">
        <f t="shared" si="18"/>
        <v>4</v>
      </c>
      <c r="K53" s="24">
        <f t="shared" si="18"/>
        <v>6</v>
      </c>
      <c r="L53" s="24">
        <f t="shared" si="18"/>
        <v>4</v>
      </c>
      <c r="M53" s="24">
        <f t="shared" si="18"/>
        <v>9</v>
      </c>
      <c r="N53" s="24">
        <f t="shared" si="18"/>
        <v>8</v>
      </c>
      <c r="O53" s="24">
        <f t="shared" si="18"/>
        <v>7</v>
      </c>
      <c r="P53" s="24">
        <f t="shared" si="18"/>
        <v>4</v>
      </c>
      <c r="Q53" s="24">
        <f t="shared" si="18"/>
        <v>6</v>
      </c>
      <c r="R53" s="24">
        <f t="shared" si="18"/>
        <v>7</v>
      </c>
      <c r="S53" s="25">
        <f t="shared" si="19"/>
        <v>5</v>
      </c>
      <c r="T53" s="25">
        <f t="shared" si="19"/>
        <v>4</v>
      </c>
      <c r="U53" s="25">
        <f t="shared" si="19"/>
        <v>6</v>
      </c>
      <c r="V53" s="25">
        <f t="shared" si="19"/>
        <v>7</v>
      </c>
      <c r="W53" s="25">
        <f t="shared" si="19"/>
        <v>6</v>
      </c>
      <c r="X53" s="25">
        <f t="shared" si="19"/>
        <v>4</v>
      </c>
      <c r="Y53" s="25">
        <f t="shared" si="19"/>
        <v>6</v>
      </c>
      <c r="Z53" s="25">
        <f t="shared" si="19"/>
        <v>0</v>
      </c>
      <c r="AA53" s="25">
        <f t="shared" si="19"/>
        <v>9</v>
      </c>
      <c r="AB53" s="25">
        <f t="shared" si="19"/>
        <v>8</v>
      </c>
      <c r="AC53" s="25">
        <f t="shared" si="19"/>
        <v>7</v>
      </c>
      <c r="AD53" s="25">
        <f t="shared" si="19"/>
        <v>6</v>
      </c>
      <c r="AE53" s="25">
        <f t="shared" si="19"/>
        <v>8</v>
      </c>
      <c r="AF53" s="25">
        <f t="shared" si="19"/>
        <v>11</v>
      </c>
      <c r="AG53" s="29">
        <f t="shared" si="2"/>
        <v>3</v>
      </c>
      <c r="AH53" s="29">
        <f t="shared" si="3"/>
        <v>0</v>
      </c>
      <c r="AI53" s="29">
        <f t="shared" si="4"/>
        <v>6</v>
      </c>
      <c r="AJ53" s="29">
        <f t="shared" si="5"/>
        <v>7</v>
      </c>
      <c r="AK53" s="29">
        <f t="shared" si="6"/>
        <v>6</v>
      </c>
      <c r="AL53" s="29">
        <f t="shared" si="7"/>
        <v>4</v>
      </c>
      <c r="AM53" s="29">
        <f t="shared" si="8"/>
        <v>6</v>
      </c>
      <c r="AN53" s="29">
        <f t="shared" si="9"/>
        <v>0</v>
      </c>
      <c r="AO53" s="29">
        <f t="shared" si="10"/>
        <v>9</v>
      </c>
      <c r="AP53" s="29">
        <f t="shared" si="11"/>
        <v>8</v>
      </c>
      <c r="AQ53" s="29">
        <f t="shared" si="12"/>
        <v>7</v>
      </c>
      <c r="AR53" s="29">
        <f t="shared" si="13"/>
        <v>4</v>
      </c>
      <c r="AS53" s="29">
        <f t="shared" si="14"/>
        <v>6</v>
      </c>
      <c r="AT53" s="29">
        <f t="shared" si="15"/>
        <v>7</v>
      </c>
      <c r="AU53" s="34">
        <f t="shared" si="16"/>
        <v>73</v>
      </c>
      <c r="AV53" s="19">
        <f t="shared" si="17"/>
        <v>19</v>
      </c>
    </row>
    <row r="54" spans="2:48">
      <c r="B54" s="21">
        <v>20</v>
      </c>
      <c r="C54" s="23">
        <v>2</v>
      </c>
      <c r="D54" s="22">
        <v>9</v>
      </c>
      <c r="E54" s="24">
        <f t="shared" si="18"/>
        <v>3</v>
      </c>
      <c r="F54" s="24">
        <f t="shared" si="18"/>
        <v>0</v>
      </c>
      <c r="G54" s="24">
        <f t="shared" si="18"/>
        <v>6</v>
      </c>
      <c r="H54" s="24">
        <f t="shared" si="18"/>
        <v>7</v>
      </c>
      <c r="I54" s="24">
        <f t="shared" si="18"/>
        <v>6</v>
      </c>
      <c r="J54" s="24">
        <f t="shared" si="18"/>
        <v>4</v>
      </c>
      <c r="K54" s="24">
        <f t="shared" si="18"/>
        <v>6</v>
      </c>
      <c r="L54" s="24">
        <f t="shared" si="18"/>
        <v>4</v>
      </c>
      <c r="M54" s="24">
        <f t="shared" si="18"/>
        <v>9</v>
      </c>
      <c r="N54" s="24">
        <f t="shared" si="18"/>
        <v>8</v>
      </c>
      <c r="O54" s="24">
        <f t="shared" si="18"/>
        <v>7</v>
      </c>
      <c r="P54" s="24">
        <f t="shared" si="18"/>
        <v>4</v>
      </c>
      <c r="Q54" s="24">
        <f t="shared" si="18"/>
        <v>6</v>
      </c>
      <c r="R54" s="24">
        <f t="shared" si="18"/>
        <v>7</v>
      </c>
      <c r="S54" s="25">
        <f t="shared" si="19"/>
        <v>12</v>
      </c>
      <c r="T54" s="25">
        <f t="shared" si="19"/>
        <v>9</v>
      </c>
      <c r="U54" s="25">
        <f t="shared" si="19"/>
        <v>7</v>
      </c>
      <c r="V54" s="25">
        <f t="shared" si="19"/>
        <v>2</v>
      </c>
      <c r="W54" s="25">
        <f t="shared" si="19"/>
        <v>3</v>
      </c>
      <c r="X54" s="25">
        <f t="shared" si="19"/>
        <v>13</v>
      </c>
      <c r="Y54" s="25">
        <f t="shared" si="19"/>
        <v>3</v>
      </c>
      <c r="Z54" s="25">
        <f t="shared" si="19"/>
        <v>9</v>
      </c>
      <c r="AA54" s="25">
        <f t="shared" si="19"/>
        <v>0</v>
      </c>
      <c r="AB54" s="25">
        <f t="shared" si="19"/>
        <v>3</v>
      </c>
      <c r="AC54" s="25">
        <f t="shared" si="19"/>
        <v>10</v>
      </c>
      <c r="AD54" s="25">
        <f t="shared" si="19"/>
        <v>9</v>
      </c>
      <c r="AE54" s="25">
        <f t="shared" si="19"/>
        <v>11</v>
      </c>
      <c r="AF54" s="25">
        <f t="shared" si="19"/>
        <v>14</v>
      </c>
      <c r="AG54" s="29">
        <f t="shared" si="2"/>
        <v>3</v>
      </c>
      <c r="AH54" s="29">
        <f t="shared" si="3"/>
        <v>0</v>
      </c>
      <c r="AI54" s="29">
        <f t="shared" si="4"/>
        <v>6</v>
      </c>
      <c r="AJ54" s="29">
        <f t="shared" si="5"/>
        <v>2</v>
      </c>
      <c r="AK54" s="29">
        <f t="shared" si="6"/>
        <v>3</v>
      </c>
      <c r="AL54" s="29">
        <f t="shared" si="7"/>
        <v>4</v>
      </c>
      <c r="AM54" s="29">
        <f t="shared" si="8"/>
        <v>3</v>
      </c>
      <c r="AN54" s="29">
        <f t="shared" si="9"/>
        <v>4</v>
      </c>
      <c r="AO54" s="29">
        <f t="shared" si="10"/>
        <v>0</v>
      </c>
      <c r="AP54" s="29">
        <f t="shared" si="11"/>
        <v>3</v>
      </c>
      <c r="AQ54" s="29">
        <f t="shared" si="12"/>
        <v>7</v>
      </c>
      <c r="AR54" s="29">
        <f t="shared" si="13"/>
        <v>4</v>
      </c>
      <c r="AS54" s="29">
        <f t="shared" si="14"/>
        <v>6</v>
      </c>
      <c r="AT54" s="29">
        <f t="shared" si="15"/>
        <v>7</v>
      </c>
      <c r="AU54" s="34">
        <f t="shared" si="16"/>
        <v>52</v>
      </c>
      <c r="AV54" s="19">
        <f t="shared" si="17"/>
        <v>20</v>
      </c>
    </row>
    <row r="55" spans="2:48">
      <c r="B55" s="21">
        <v>21</v>
      </c>
      <c r="C55" s="23">
        <v>2</v>
      </c>
      <c r="D55" s="22">
        <v>10</v>
      </c>
      <c r="E55" s="24">
        <f t="shared" ref="E55:R64" si="20">ABS(VLOOKUP($C55,$B$8:$D$21,2,0)-VLOOKUP(E$34,$B$8:$D$21,2,0))+ABS(VLOOKUP($C55,$B$8:$D$21,3,0)-VLOOKUP(E$34,$B$8:$D$21,3,0))</f>
        <v>3</v>
      </c>
      <c r="F55" s="24">
        <f t="shared" si="20"/>
        <v>0</v>
      </c>
      <c r="G55" s="24">
        <f t="shared" si="20"/>
        <v>6</v>
      </c>
      <c r="H55" s="24">
        <f t="shared" si="20"/>
        <v>7</v>
      </c>
      <c r="I55" s="24">
        <f t="shared" si="20"/>
        <v>6</v>
      </c>
      <c r="J55" s="24">
        <f t="shared" si="20"/>
        <v>4</v>
      </c>
      <c r="K55" s="24">
        <f t="shared" si="20"/>
        <v>6</v>
      </c>
      <c r="L55" s="24">
        <f t="shared" si="20"/>
        <v>4</v>
      </c>
      <c r="M55" s="24">
        <f t="shared" si="20"/>
        <v>9</v>
      </c>
      <c r="N55" s="24">
        <f t="shared" si="20"/>
        <v>8</v>
      </c>
      <c r="O55" s="24">
        <f t="shared" si="20"/>
        <v>7</v>
      </c>
      <c r="P55" s="24">
        <f t="shared" si="20"/>
        <v>4</v>
      </c>
      <c r="Q55" s="24">
        <f t="shared" si="20"/>
        <v>6</v>
      </c>
      <c r="R55" s="24">
        <f t="shared" si="20"/>
        <v>7</v>
      </c>
      <c r="S55" s="25">
        <f t="shared" ref="S55:AF64" si="21">ABS(VLOOKUP($D55,$B$8:$D$21,2,0)-VLOOKUP(S$34,$B$8:$D$21,2,0))+ABS(VLOOKUP($D55,$B$8:$D$21,3,0)-VLOOKUP(S$34,$B$8:$D$21,3,0))</f>
        <v>11</v>
      </c>
      <c r="T55" s="25">
        <f t="shared" si="21"/>
        <v>8</v>
      </c>
      <c r="U55" s="25">
        <f t="shared" si="21"/>
        <v>4</v>
      </c>
      <c r="V55" s="25">
        <f t="shared" si="21"/>
        <v>3</v>
      </c>
      <c r="W55" s="25">
        <f t="shared" si="21"/>
        <v>2</v>
      </c>
      <c r="X55" s="25">
        <f t="shared" si="21"/>
        <v>12</v>
      </c>
      <c r="Y55" s="25">
        <f t="shared" si="21"/>
        <v>2</v>
      </c>
      <c r="Z55" s="25">
        <f t="shared" si="21"/>
        <v>8</v>
      </c>
      <c r="AA55" s="25">
        <f t="shared" si="21"/>
        <v>3</v>
      </c>
      <c r="AB55" s="25">
        <f t="shared" si="21"/>
        <v>0</v>
      </c>
      <c r="AC55" s="25">
        <f t="shared" si="21"/>
        <v>7</v>
      </c>
      <c r="AD55" s="25">
        <f t="shared" si="21"/>
        <v>6</v>
      </c>
      <c r="AE55" s="25">
        <f t="shared" si="21"/>
        <v>8</v>
      </c>
      <c r="AF55" s="25">
        <f t="shared" si="21"/>
        <v>11</v>
      </c>
      <c r="AG55" s="29">
        <f t="shared" si="2"/>
        <v>3</v>
      </c>
      <c r="AH55" s="29">
        <f t="shared" si="3"/>
        <v>0</v>
      </c>
      <c r="AI55" s="29">
        <f t="shared" si="4"/>
        <v>4</v>
      </c>
      <c r="AJ55" s="29">
        <f t="shared" si="5"/>
        <v>3</v>
      </c>
      <c r="AK55" s="29">
        <f t="shared" si="6"/>
        <v>2</v>
      </c>
      <c r="AL55" s="29">
        <f t="shared" si="7"/>
        <v>4</v>
      </c>
      <c r="AM55" s="29">
        <f t="shared" si="8"/>
        <v>2</v>
      </c>
      <c r="AN55" s="29">
        <f t="shared" si="9"/>
        <v>4</v>
      </c>
      <c r="AO55" s="29">
        <f t="shared" si="10"/>
        <v>3</v>
      </c>
      <c r="AP55" s="29">
        <f t="shared" si="11"/>
        <v>0</v>
      </c>
      <c r="AQ55" s="29">
        <f t="shared" si="12"/>
        <v>7</v>
      </c>
      <c r="AR55" s="29">
        <f t="shared" si="13"/>
        <v>4</v>
      </c>
      <c r="AS55" s="29">
        <f t="shared" si="14"/>
        <v>6</v>
      </c>
      <c r="AT55" s="29">
        <f t="shared" si="15"/>
        <v>7</v>
      </c>
      <c r="AU55" s="34">
        <f t="shared" si="16"/>
        <v>49</v>
      </c>
      <c r="AV55" s="19">
        <f t="shared" si="17"/>
        <v>21</v>
      </c>
    </row>
    <row r="56" spans="2:48">
      <c r="B56" s="21">
        <v>22</v>
      </c>
      <c r="C56" s="23">
        <v>2</v>
      </c>
      <c r="D56" s="22">
        <v>11</v>
      </c>
      <c r="E56" s="24">
        <f t="shared" si="20"/>
        <v>3</v>
      </c>
      <c r="F56" s="24">
        <f t="shared" si="20"/>
        <v>0</v>
      </c>
      <c r="G56" s="24">
        <f t="shared" si="20"/>
        <v>6</v>
      </c>
      <c r="H56" s="24">
        <f t="shared" si="20"/>
        <v>7</v>
      </c>
      <c r="I56" s="24">
        <f t="shared" si="20"/>
        <v>6</v>
      </c>
      <c r="J56" s="24">
        <f t="shared" si="20"/>
        <v>4</v>
      </c>
      <c r="K56" s="24">
        <f t="shared" si="20"/>
        <v>6</v>
      </c>
      <c r="L56" s="24">
        <f t="shared" si="20"/>
        <v>4</v>
      </c>
      <c r="M56" s="24">
        <f t="shared" si="20"/>
        <v>9</v>
      </c>
      <c r="N56" s="24">
        <f t="shared" si="20"/>
        <v>8</v>
      </c>
      <c r="O56" s="24">
        <f t="shared" si="20"/>
        <v>7</v>
      </c>
      <c r="P56" s="24">
        <f t="shared" si="20"/>
        <v>4</v>
      </c>
      <c r="Q56" s="24">
        <f t="shared" si="20"/>
        <v>6</v>
      </c>
      <c r="R56" s="24">
        <f t="shared" si="20"/>
        <v>7</v>
      </c>
      <c r="S56" s="25">
        <f t="shared" si="21"/>
        <v>10</v>
      </c>
      <c r="T56" s="25">
        <f t="shared" si="21"/>
        <v>7</v>
      </c>
      <c r="U56" s="25">
        <f t="shared" si="21"/>
        <v>3</v>
      </c>
      <c r="V56" s="25">
        <f t="shared" si="21"/>
        <v>10</v>
      </c>
      <c r="W56" s="25">
        <f t="shared" si="21"/>
        <v>9</v>
      </c>
      <c r="X56" s="25">
        <f t="shared" si="21"/>
        <v>11</v>
      </c>
      <c r="Y56" s="25">
        <f t="shared" si="21"/>
        <v>9</v>
      </c>
      <c r="Z56" s="25">
        <f t="shared" si="21"/>
        <v>7</v>
      </c>
      <c r="AA56" s="25">
        <f t="shared" si="21"/>
        <v>10</v>
      </c>
      <c r="AB56" s="25">
        <f t="shared" si="21"/>
        <v>7</v>
      </c>
      <c r="AC56" s="25">
        <f t="shared" si="21"/>
        <v>0</v>
      </c>
      <c r="AD56" s="25">
        <f t="shared" si="21"/>
        <v>3</v>
      </c>
      <c r="AE56" s="25">
        <f t="shared" si="21"/>
        <v>1</v>
      </c>
      <c r="AF56" s="25">
        <f t="shared" si="21"/>
        <v>4</v>
      </c>
      <c r="AG56" s="29">
        <f t="shared" si="2"/>
        <v>3</v>
      </c>
      <c r="AH56" s="29">
        <f t="shared" si="3"/>
        <v>0</v>
      </c>
      <c r="AI56" s="29">
        <f t="shared" si="4"/>
        <v>3</v>
      </c>
      <c r="AJ56" s="29">
        <f t="shared" si="5"/>
        <v>7</v>
      </c>
      <c r="AK56" s="29">
        <f t="shared" si="6"/>
        <v>6</v>
      </c>
      <c r="AL56" s="29">
        <f t="shared" si="7"/>
        <v>4</v>
      </c>
      <c r="AM56" s="29">
        <f t="shared" si="8"/>
        <v>6</v>
      </c>
      <c r="AN56" s="29">
        <f t="shared" si="9"/>
        <v>4</v>
      </c>
      <c r="AO56" s="29">
        <f t="shared" si="10"/>
        <v>9</v>
      </c>
      <c r="AP56" s="29">
        <f t="shared" si="11"/>
        <v>7</v>
      </c>
      <c r="AQ56" s="29">
        <f t="shared" si="12"/>
        <v>0</v>
      </c>
      <c r="AR56" s="29">
        <f t="shared" si="13"/>
        <v>3</v>
      </c>
      <c r="AS56" s="29">
        <f t="shared" si="14"/>
        <v>1</v>
      </c>
      <c r="AT56" s="29">
        <f t="shared" si="15"/>
        <v>4</v>
      </c>
      <c r="AU56" s="34">
        <f t="shared" si="16"/>
        <v>57</v>
      </c>
      <c r="AV56" s="19">
        <f t="shared" si="17"/>
        <v>22</v>
      </c>
    </row>
    <row r="57" spans="2:48">
      <c r="B57" s="21">
        <v>23</v>
      </c>
      <c r="C57" s="23">
        <v>2</v>
      </c>
      <c r="D57" s="22">
        <v>12</v>
      </c>
      <c r="E57" s="24">
        <f t="shared" si="20"/>
        <v>3</v>
      </c>
      <c r="F57" s="24">
        <f t="shared" si="20"/>
        <v>0</v>
      </c>
      <c r="G57" s="24">
        <f t="shared" si="20"/>
        <v>6</v>
      </c>
      <c r="H57" s="24">
        <f t="shared" si="20"/>
        <v>7</v>
      </c>
      <c r="I57" s="24">
        <f t="shared" si="20"/>
        <v>6</v>
      </c>
      <c r="J57" s="24">
        <f t="shared" si="20"/>
        <v>4</v>
      </c>
      <c r="K57" s="24">
        <f t="shared" si="20"/>
        <v>6</v>
      </c>
      <c r="L57" s="24">
        <f t="shared" si="20"/>
        <v>4</v>
      </c>
      <c r="M57" s="24">
        <f t="shared" si="20"/>
        <v>9</v>
      </c>
      <c r="N57" s="24">
        <f t="shared" si="20"/>
        <v>8</v>
      </c>
      <c r="O57" s="24">
        <f t="shared" si="20"/>
        <v>7</v>
      </c>
      <c r="P57" s="24">
        <f t="shared" si="20"/>
        <v>4</v>
      </c>
      <c r="Q57" s="24">
        <f t="shared" si="20"/>
        <v>6</v>
      </c>
      <c r="R57" s="24">
        <f t="shared" si="20"/>
        <v>7</v>
      </c>
      <c r="S57" s="25">
        <f t="shared" si="21"/>
        <v>7</v>
      </c>
      <c r="T57" s="25">
        <f t="shared" si="21"/>
        <v>4</v>
      </c>
      <c r="U57" s="25">
        <f t="shared" si="21"/>
        <v>2</v>
      </c>
      <c r="V57" s="25">
        <f t="shared" si="21"/>
        <v>9</v>
      </c>
      <c r="W57" s="25">
        <f t="shared" si="21"/>
        <v>8</v>
      </c>
      <c r="X57" s="25">
        <f t="shared" si="21"/>
        <v>8</v>
      </c>
      <c r="Y57" s="25">
        <f t="shared" si="21"/>
        <v>8</v>
      </c>
      <c r="Z57" s="25">
        <f t="shared" si="21"/>
        <v>6</v>
      </c>
      <c r="AA57" s="25">
        <f t="shared" si="21"/>
        <v>9</v>
      </c>
      <c r="AB57" s="25">
        <f t="shared" si="21"/>
        <v>6</v>
      </c>
      <c r="AC57" s="25">
        <f t="shared" si="21"/>
        <v>3</v>
      </c>
      <c r="AD57" s="25">
        <f t="shared" si="21"/>
        <v>0</v>
      </c>
      <c r="AE57" s="25">
        <f t="shared" si="21"/>
        <v>2</v>
      </c>
      <c r="AF57" s="25">
        <f t="shared" si="21"/>
        <v>5</v>
      </c>
      <c r="AG57" s="29">
        <f t="shared" si="2"/>
        <v>3</v>
      </c>
      <c r="AH57" s="29">
        <f t="shared" si="3"/>
        <v>0</v>
      </c>
      <c r="AI57" s="29">
        <f t="shared" si="4"/>
        <v>2</v>
      </c>
      <c r="AJ57" s="29">
        <f t="shared" si="5"/>
        <v>7</v>
      </c>
      <c r="AK57" s="29">
        <f t="shared" si="6"/>
        <v>6</v>
      </c>
      <c r="AL57" s="29">
        <f t="shared" si="7"/>
        <v>4</v>
      </c>
      <c r="AM57" s="29">
        <f t="shared" si="8"/>
        <v>6</v>
      </c>
      <c r="AN57" s="29">
        <f t="shared" si="9"/>
        <v>4</v>
      </c>
      <c r="AO57" s="29">
        <f t="shared" si="10"/>
        <v>9</v>
      </c>
      <c r="AP57" s="29">
        <f t="shared" si="11"/>
        <v>6</v>
      </c>
      <c r="AQ57" s="29">
        <f t="shared" si="12"/>
        <v>3</v>
      </c>
      <c r="AR57" s="29">
        <f t="shared" si="13"/>
        <v>0</v>
      </c>
      <c r="AS57" s="29">
        <f t="shared" si="14"/>
        <v>2</v>
      </c>
      <c r="AT57" s="29">
        <f t="shared" si="15"/>
        <v>5</v>
      </c>
      <c r="AU57" s="34">
        <f t="shared" si="16"/>
        <v>57</v>
      </c>
      <c r="AV57" s="19">
        <f t="shared" si="17"/>
        <v>23</v>
      </c>
    </row>
    <row r="58" spans="2:48">
      <c r="B58" s="21">
        <v>24</v>
      </c>
      <c r="C58" s="23">
        <v>2</v>
      </c>
      <c r="D58" s="22">
        <v>13</v>
      </c>
      <c r="E58" s="24">
        <f t="shared" si="20"/>
        <v>3</v>
      </c>
      <c r="F58" s="24">
        <f t="shared" si="20"/>
        <v>0</v>
      </c>
      <c r="G58" s="24">
        <f t="shared" si="20"/>
        <v>6</v>
      </c>
      <c r="H58" s="24">
        <f t="shared" si="20"/>
        <v>7</v>
      </c>
      <c r="I58" s="24">
        <f t="shared" si="20"/>
        <v>6</v>
      </c>
      <c r="J58" s="24">
        <f t="shared" si="20"/>
        <v>4</v>
      </c>
      <c r="K58" s="24">
        <f t="shared" si="20"/>
        <v>6</v>
      </c>
      <c r="L58" s="24">
        <f t="shared" si="20"/>
        <v>4</v>
      </c>
      <c r="M58" s="24">
        <f t="shared" si="20"/>
        <v>9</v>
      </c>
      <c r="N58" s="24">
        <f t="shared" si="20"/>
        <v>8</v>
      </c>
      <c r="O58" s="24">
        <f t="shared" si="20"/>
        <v>7</v>
      </c>
      <c r="P58" s="24">
        <f t="shared" si="20"/>
        <v>4</v>
      </c>
      <c r="Q58" s="24">
        <f t="shared" si="20"/>
        <v>6</v>
      </c>
      <c r="R58" s="24">
        <f t="shared" si="20"/>
        <v>7</v>
      </c>
      <c r="S58" s="25">
        <f t="shared" si="21"/>
        <v>9</v>
      </c>
      <c r="T58" s="25">
        <f t="shared" si="21"/>
        <v>6</v>
      </c>
      <c r="U58" s="25">
        <f t="shared" si="21"/>
        <v>4</v>
      </c>
      <c r="V58" s="25">
        <f t="shared" si="21"/>
        <v>11</v>
      </c>
      <c r="W58" s="25">
        <f t="shared" si="21"/>
        <v>10</v>
      </c>
      <c r="X58" s="25">
        <f t="shared" si="21"/>
        <v>10</v>
      </c>
      <c r="Y58" s="25">
        <f t="shared" si="21"/>
        <v>10</v>
      </c>
      <c r="Z58" s="25">
        <f t="shared" si="21"/>
        <v>8</v>
      </c>
      <c r="AA58" s="25">
        <f t="shared" si="21"/>
        <v>11</v>
      </c>
      <c r="AB58" s="25">
        <f t="shared" si="21"/>
        <v>8</v>
      </c>
      <c r="AC58" s="25">
        <f t="shared" si="21"/>
        <v>1</v>
      </c>
      <c r="AD58" s="25">
        <f t="shared" si="21"/>
        <v>2</v>
      </c>
      <c r="AE58" s="25">
        <f t="shared" si="21"/>
        <v>0</v>
      </c>
      <c r="AF58" s="25">
        <f t="shared" si="21"/>
        <v>3</v>
      </c>
      <c r="AG58" s="29">
        <f t="shared" si="2"/>
        <v>3</v>
      </c>
      <c r="AH58" s="29">
        <f t="shared" si="3"/>
        <v>0</v>
      </c>
      <c r="AI58" s="29">
        <f t="shared" si="4"/>
        <v>4</v>
      </c>
      <c r="AJ58" s="29">
        <f t="shared" si="5"/>
        <v>7</v>
      </c>
      <c r="AK58" s="29">
        <f t="shared" si="6"/>
        <v>6</v>
      </c>
      <c r="AL58" s="29">
        <f t="shared" si="7"/>
        <v>4</v>
      </c>
      <c r="AM58" s="29">
        <f t="shared" si="8"/>
        <v>6</v>
      </c>
      <c r="AN58" s="29">
        <f t="shared" si="9"/>
        <v>4</v>
      </c>
      <c r="AO58" s="29">
        <f t="shared" si="10"/>
        <v>9</v>
      </c>
      <c r="AP58" s="29">
        <f t="shared" si="11"/>
        <v>8</v>
      </c>
      <c r="AQ58" s="29">
        <f t="shared" si="12"/>
        <v>1</v>
      </c>
      <c r="AR58" s="29">
        <f t="shared" si="13"/>
        <v>2</v>
      </c>
      <c r="AS58" s="29">
        <f t="shared" si="14"/>
        <v>0</v>
      </c>
      <c r="AT58" s="29">
        <f t="shared" si="15"/>
        <v>3</v>
      </c>
      <c r="AU58" s="34">
        <f t="shared" si="16"/>
        <v>57</v>
      </c>
      <c r="AV58" s="19">
        <f t="shared" si="17"/>
        <v>24</v>
      </c>
    </row>
    <row r="59" spans="2:48">
      <c r="B59" s="21">
        <v>25</v>
      </c>
      <c r="C59" s="23">
        <v>2</v>
      </c>
      <c r="D59" s="22">
        <v>14</v>
      </c>
      <c r="E59" s="24">
        <f t="shared" si="20"/>
        <v>3</v>
      </c>
      <c r="F59" s="24">
        <f t="shared" si="20"/>
        <v>0</v>
      </c>
      <c r="G59" s="24">
        <f t="shared" si="20"/>
        <v>6</v>
      </c>
      <c r="H59" s="24">
        <f t="shared" si="20"/>
        <v>7</v>
      </c>
      <c r="I59" s="24">
        <f t="shared" si="20"/>
        <v>6</v>
      </c>
      <c r="J59" s="24">
        <f t="shared" si="20"/>
        <v>4</v>
      </c>
      <c r="K59" s="24">
        <f t="shared" si="20"/>
        <v>6</v>
      </c>
      <c r="L59" s="24">
        <f t="shared" si="20"/>
        <v>4</v>
      </c>
      <c r="M59" s="24">
        <f t="shared" si="20"/>
        <v>9</v>
      </c>
      <c r="N59" s="24">
        <f t="shared" si="20"/>
        <v>8</v>
      </c>
      <c r="O59" s="24">
        <f t="shared" si="20"/>
        <v>7</v>
      </c>
      <c r="P59" s="24">
        <f t="shared" si="20"/>
        <v>4</v>
      </c>
      <c r="Q59" s="24">
        <f t="shared" si="20"/>
        <v>6</v>
      </c>
      <c r="R59" s="24">
        <f t="shared" si="20"/>
        <v>7</v>
      </c>
      <c r="S59" s="25">
        <f t="shared" si="21"/>
        <v>6</v>
      </c>
      <c r="T59" s="25">
        <f t="shared" si="21"/>
        <v>7</v>
      </c>
      <c r="U59" s="25">
        <f t="shared" si="21"/>
        <v>7</v>
      </c>
      <c r="V59" s="25">
        <f t="shared" si="21"/>
        <v>14</v>
      </c>
      <c r="W59" s="25">
        <f t="shared" si="21"/>
        <v>13</v>
      </c>
      <c r="X59" s="25">
        <f t="shared" si="21"/>
        <v>9</v>
      </c>
      <c r="Y59" s="25">
        <f t="shared" si="21"/>
        <v>13</v>
      </c>
      <c r="Z59" s="25">
        <f t="shared" si="21"/>
        <v>11</v>
      </c>
      <c r="AA59" s="25">
        <f t="shared" si="21"/>
        <v>14</v>
      </c>
      <c r="AB59" s="25">
        <f t="shared" si="21"/>
        <v>11</v>
      </c>
      <c r="AC59" s="25">
        <f t="shared" si="21"/>
        <v>4</v>
      </c>
      <c r="AD59" s="25">
        <f t="shared" si="21"/>
        <v>5</v>
      </c>
      <c r="AE59" s="25">
        <f t="shared" si="21"/>
        <v>3</v>
      </c>
      <c r="AF59" s="25">
        <f t="shared" si="21"/>
        <v>0</v>
      </c>
      <c r="AG59" s="29">
        <f t="shared" si="2"/>
        <v>3</v>
      </c>
      <c r="AH59" s="29">
        <f t="shared" si="3"/>
        <v>0</v>
      </c>
      <c r="AI59" s="29">
        <f t="shared" si="4"/>
        <v>6</v>
      </c>
      <c r="AJ59" s="29">
        <f t="shared" si="5"/>
        <v>7</v>
      </c>
      <c r="AK59" s="29">
        <f t="shared" si="6"/>
        <v>6</v>
      </c>
      <c r="AL59" s="29">
        <f t="shared" si="7"/>
        <v>4</v>
      </c>
      <c r="AM59" s="29">
        <f t="shared" si="8"/>
        <v>6</v>
      </c>
      <c r="AN59" s="29">
        <f t="shared" si="9"/>
        <v>4</v>
      </c>
      <c r="AO59" s="29">
        <f t="shared" si="10"/>
        <v>9</v>
      </c>
      <c r="AP59" s="29">
        <f t="shared" si="11"/>
        <v>8</v>
      </c>
      <c r="AQ59" s="29">
        <f t="shared" si="12"/>
        <v>4</v>
      </c>
      <c r="AR59" s="29">
        <f t="shared" si="13"/>
        <v>4</v>
      </c>
      <c r="AS59" s="29">
        <f t="shared" si="14"/>
        <v>3</v>
      </c>
      <c r="AT59" s="29">
        <f t="shared" si="15"/>
        <v>0</v>
      </c>
      <c r="AU59" s="34">
        <f t="shared" si="16"/>
        <v>64</v>
      </c>
      <c r="AV59" s="19">
        <f t="shared" si="17"/>
        <v>25</v>
      </c>
    </row>
    <row r="60" spans="2:48">
      <c r="B60" s="21">
        <v>26</v>
      </c>
      <c r="C60" s="23">
        <v>3</v>
      </c>
      <c r="D60" s="22">
        <v>4</v>
      </c>
      <c r="E60" s="24">
        <f t="shared" si="20"/>
        <v>9</v>
      </c>
      <c r="F60" s="24">
        <f t="shared" si="20"/>
        <v>6</v>
      </c>
      <c r="G60" s="24">
        <f t="shared" si="20"/>
        <v>0</v>
      </c>
      <c r="H60" s="24">
        <f t="shared" si="20"/>
        <v>7</v>
      </c>
      <c r="I60" s="24">
        <f t="shared" si="20"/>
        <v>6</v>
      </c>
      <c r="J60" s="24">
        <f t="shared" si="20"/>
        <v>10</v>
      </c>
      <c r="K60" s="24">
        <f t="shared" si="20"/>
        <v>6</v>
      </c>
      <c r="L60" s="24">
        <f t="shared" si="20"/>
        <v>6</v>
      </c>
      <c r="M60" s="24">
        <f t="shared" si="20"/>
        <v>7</v>
      </c>
      <c r="N60" s="24">
        <f t="shared" si="20"/>
        <v>4</v>
      </c>
      <c r="O60" s="24">
        <f t="shared" si="20"/>
        <v>3</v>
      </c>
      <c r="P60" s="24">
        <f t="shared" si="20"/>
        <v>2</v>
      </c>
      <c r="Q60" s="24">
        <f t="shared" si="20"/>
        <v>4</v>
      </c>
      <c r="R60" s="24">
        <f t="shared" si="20"/>
        <v>7</v>
      </c>
      <c r="S60" s="25">
        <f t="shared" si="21"/>
        <v>10</v>
      </c>
      <c r="T60" s="25">
        <f t="shared" si="21"/>
        <v>7</v>
      </c>
      <c r="U60" s="25">
        <f t="shared" si="21"/>
        <v>7</v>
      </c>
      <c r="V60" s="25">
        <f t="shared" si="21"/>
        <v>0</v>
      </c>
      <c r="W60" s="25">
        <f t="shared" si="21"/>
        <v>1</v>
      </c>
      <c r="X60" s="25">
        <f t="shared" si="21"/>
        <v>11</v>
      </c>
      <c r="Y60" s="25">
        <f t="shared" si="21"/>
        <v>1</v>
      </c>
      <c r="Z60" s="25">
        <f t="shared" si="21"/>
        <v>7</v>
      </c>
      <c r="AA60" s="25">
        <f t="shared" si="21"/>
        <v>2</v>
      </c>
      <c r="AB60" s="25">
        <f t="shared" si="21"/>
        <v>3</v>
      </c>
      <c r="AC60" s="25">
        <f t="shared" si="21"/>
        <v>10</v>
      </c>
      <c r="AD60" s="25">
        <f t="shared" si="21"/>
        <v>9</v>
      </c>
      <c r="AE60" s="25">
        <f t="shared" si="21"/>
        <v>11</v>
      </c>
      <c r="AF60" s="25">
        <f t="shared" si="21"/>
        <v>14</v>
      </c>
      <c r="AG60" s="29">
        <f t="shared" si="2"/>
        <v>9</v>
      </c>
      <c r="AH60" s="29">
        <f t="shared" si="3"/>
        <v>6</v>
      </c>
      <c r="AI60" s="29">
        <f t="shared" si="4"/>
        <v>0</v>
      </c>
      <c r="AJ60" s="29">
        <f t="shared" si="5"/>
        <v>0</v>
      </c>
      <c r="AK60" s="29">
        <f t="shared" si="6"/>
        <v>1</v>
      </c>
      <c r="AL60" s="29">
        <f t="shared" si="7"/>
        <v>10</v>
      </c>
      <c r="AM60" s="29">
        <f t="shared" si="8"/>
        <v>1</v>
      </c>
      <c r="AN60" s="29">
        <f t="shared" si="9"/>
        <v>6</v>
      </c>
      <c r="AO60" s="29">
        <f t="shared" si="10"/>
        <v>2</v>
      </c>
      <c r="AP60" s="29">
        <f t="shared" si="11"/>
        <v>3</v>
      </c>
      <c r="AQ60" s="29">
        <f t="shared" si="12"/>
        <v>3</v>
      </c>
      <c r="AR60" s="29">
        <f t="shared" si="13"/>
        <v>2</v>
      </c>
      <c r="AS60" s="29">
        <f t="shared" si="14"/>
        <v>4</v>
      </c>
      <c r="AT60" s="29">
        <f t="shared" si="15"/>
        <v>7</v>
      </c>
      <c r="AU60" s="34">
        <f t="shared" si="16"/>
        <v>54</v>
      </c>
      <c r="AV60" s="19">
        <f t="shared" si="17"/>
        <v>26</v>
      </c>
    </row>
    <row r="61" spans="2:48">
      <c r="B61" s="21">
        <v>27</v>
      </c>
      <c r="C61" s="23">
        <v>3</v>
      </c>
      <c r="D61" s="22">
        <v>5</v>
      </c>
      <c r="E61" s="24">
        <f t="shared" si="20"/>
        <v>9</v>
      </c>
      <c r="F61" s="24">
        <f t="shared" si="20"/>
        <v>6</v>
      </c>
      <c r="G61" s="24">
        <f t="shared" si="20"/>
        <v>0</v>
      </c>
      <c r="H61" s="24">
        <f t="shared" si="20"/>
        <v>7</v>
      </c>
      <c r="I61" s="24">
        <f t="shared" si="20"/>
        <v>6</v>
      </c>
      <c r="J61" s="24">
        <f t="shared" si="20"/>
        <v>10</v>
      </c>
      <c r="K61" s="24">
        <f t="shared" si="20"/>
        <v>6</v>
      </c>
      <c r="L61" s="24">
        <f t="shared" si="20"/>
        <v>6</v>
      </c>
      <c r="M61" s="24">
        <f t="shared" si="20"/>
        <v>7</v>
      </c>
      <c r="N61" s="24">
        <f t="shared" si="20"/>
        <v>4</v>
      </c>
      <c r="O61" s="24">
        <f t="shared" si="20"/>
        <v>3</v>
      </c>
      <c r="P61" s="24">
        <f t="shared" si="20"/>
        <v>2</v>
      </c>
      <c r="Q61" s="24">
        <f t="shared" si="20"/>
        <v>4</v>
      </c>
      <c r="R61" s="24">
        <f t="shared" si="20"/>
        <v>7</v>
      </c>
      <c r="S61" s="25">
        <f t="shared" si="21"/>
        <v>9</v>
      </c>
      <c r="T61" s="25">
        <f t="shared" si="21"/>
        <v>6</v>
      </c>
      <c r="U61" s="25">
        <f t="shared" si="21"/>
        <v>6</v>
      </c>
      <c r="V61" s="25">
        <f t="shared" si="21"/>
        <v>1</v>
      </c>
      <c r="W61" s="25">
        <f t="shared" si="21"/>
        <v>0</v>
      </c>
      <c r="X61" s="25">
        <f t="shared" si="21"/>
        <v>10</v>
      </c>
      <c r="Y61" s="25">
        <f t="shared" si="21"/>
        <v>0</v>
      </c>
      <c r="Z61" s="25">
        <f t="shared" si="21"/>
        <v>6</v>
      </c>
      <c r="AA61" s="25">
        <f t="shared" si="21"/>
        <v>3</v>
      </c>
      <c r="AB61" s="25">
        <f t="shared" si="21"/>
        <v>2</v>
      </c>
      <c r="AC61" s="25">
        <f t="shared" si="21"/>
        <v>9</v>
      </c>
      <c r="AD61" s="25">
        <f t="shared" si="21"/>
        <v>8</v>
      </c>
      <c r="AE61" s="25">
        <f t="shared" si="21"/>
        <v>10</v>
      </c>
      <c r="AF61" s="25">
        <f t="shared" si="21"/>
        <v>13</v>
      </c>
      <c r="AG61" s="29">
        <f t="shared" si="2"/>
        <v>9</v>
      </c>
      <c r="AH61" s="29">
        <f t="shared" si="3"/>
        <v>6</v>
      </c>
      <c r="AI61" s="29">
        <f t="shared" si="4"/>
        <v>0</v>
      </c>
      <c r="AJ61" s="29">
        <f t="shared" si="5"/>
        <v>1</v>
      </c>
      <c r="AK61" s="29">
        <f t="shared" si="6"/>
        <v>0</v>
      </c>
      <c r="AL61" s="29">
        <f t="shared" si="7"/>
        <v>10</v>
      </c>
      <c r="AM61" s="29">
        <f t="shared" si="8"/>
        <v>0</v>
      </c>
      <c r="AN61" s="29">
        <f t="shared" si="9"/>
        <v>6</v>
      </c>
      <c r="AO61" s="29">
        <f t="shared" si="10"/>
        <v>3</v>
      </c>
      <c r="AP61" s="29">
        <f t="shared" si="11"/>
        <v>2</v>
      </c>
      <c r="AQ61" s="29">
        <f t="shared" si="12"/>
        <v>3</v>
      </c>
      <c r="AR61" s="29">
        <f t="shared" si="13"/>
        <v>2</v>
      </c>
      <c r="AS61" s="29">
        <f t="shared" si="14"/>
        <v>4</v>
      </c>
      <c r="AT61" s="29">
        <f t="shared" si="15"/>
        <v>7</v>
      </c>
      <c r="AU61" s="34">
        <f t="shared" si="16"/>
        <v>53</v>
      </c>
      <c r="AV61" s="19">
        <f t="shared" si="17"/>
        <v>27</v>
      </c>
    </row>
    <row r="62" spans="2:48">
      <c r="B62" s="21">
        <v>28</v>
      </c>
      <c r="C62" s="23">
        <v>3</v>
      </c>
      <c r="D62" s="22">
        <v>6</v>
      </c>
      <c r="E62" s="24">
        <f t="shared" si="20"/>
        <v>9</v>
      </c>
      <c r="F62" s="24">
        <f t="shared" si="20"/>
        <v>6</v>
      </c>
      <c r="G62" s="24">
        <f t="shared" si="20"/>
        <v>0</v>
      </c>
      <c r="H62" s="24">
        <f t="shared" si="20"/>
        <v>7</v>
      </c>
      <c r="I62" s="24">
        <f t="shared" si="20"/>
        <v>6</v>
      </c>
      <c r="J62" s="24">
        <f t="shared" si="20"/>
        <v>10</v>
      </c>
      <c r="K62" s="24">
        <f t="shared" si="20"/>
        <v>6</v>
      </c>
      <c r="L62" s="24">
        <f t="shared" si="20"/>
        <v>6</v>
      </c>
      <c r="M62" s="24">
        <f t="shared" si="20"/>
        <v>7</v>
      </c>
      <c r="N62" s="24">
        <f t="shared" si="20"/>
        <v>4</v>
      </c>
      <c r="O62" s="24">
        <f t="shared" si="20"/>
        <v>3</v>
      </c>
      <c r="P62" s="24">
        <f t="shared" si="20"/>
        <v>2</v>
      </c>
      <c r="Q62" s="24">
        <f t="shared" si="20"/>
        <v>4</v>
      </c>
      <c r="R62" s="24">
        <f t="shared" si="20"/>
        <v>7</v>
      </c>
      <c r="S62" s="25">
        <f t="shared" si="21"/>
        <v>3</v>
      </c>
      <c r="T62" s="25">
        <f t="shared" si="21"/>
        <v>4</v>
      </c>
      <c r="U62" s="25">
        <f t="shared" si="21"/>
        <v>10</v>
      </c>
      <c r="V62" s="25">
        <f t="shared" si="21"/>
        <v>11</v>
      </c>
      <c r="W62" s="25">
        <f t="shared" si="21"/>
        <v>10</v>
      </c>
      <c r="X62" s="25">
        <f t="shared" si="21"/>
        <v>0</v>
      </c>
      <c r="Y62" s="25">
        <f t="shared" si="21"/>
        <v>10</v>
      </c>
      <c r="Z62" s="25">
        <f t="shared" si="21"/>
        <v>4</v>
      </c>
      <c r="AA62" s="25">
        <f t="shared" si="21"/>
        <v>13</v>
      </c>
      <c r="AB62" s="25">
        <f t="shared" si="21"/>
        <v>12</v>
      </c>
      <c r="AC62" s="25">
        <f t="shared" si="21"/>
        <v>11</v>
      </c>
      <c r="AD62" s="25">
        <f t="shared" si="21"/>
        <v>8</v>
      </c>
      <c r="AE62" s="25">
        <f t="shared" si="21"/>
        <v>10</v>
      </c>
      <c r="AF62" s="25">
        <f t="shared" si="21"/>
        <v>9</v>
      </c>
      <c r="AG62" s="29">
        <f t="shared" si="2"/>
        <v>3</v>
      </c>
      <c r="AH62" s="29">
        <f t="shared" si="3"/>
        <v>4</v>
      </c>
      <c r="AI62" s="29">
        <f t="shared" si="4"/>
        <v>0</v>
      </c>
      <c r="AJ62" s="29">
        <f t="shared" si="5"/>
        <v>7</v>
      </c>
      <c r="AK62" s="29">
        <f t="shared" si="6"/>
        <v>6</v>
      </c>
      <c r="AL62" s="29">
        <f t="shared" si="7"/>
        <v>0</v>
      </c>
      <c r="AM62" s="29">
        <f t="shared" si="8"/>
        <v>6</v>
      </c>
      <c r="AN62" s="29">
        <f t="shared" si="9"/>
        <v>4</v>
      </c>
      <c r="AO62" s="29">
        <f t="shared" si="10"/>
        <v>7</v>
      </c>
      <c r="AP62" s="29">
        <f t="shared" si="11"/>
        <v>4</v>
      </c>
      <c r="AQ62" s="29">
        <f t="shared" si="12"/>
        <v>3</v>
      </c>
      <c r="AR62" s="29">
        <f t="shared" si="13"/>
        <v>2</v>
      </c>
      <c r="AS62" s="29">
        <f t="shared" si="14"/>
        <v>4</v>
      </c>
      <c r="AT62" s="29">
        <f t="shared" si="15"/>
        <v>7</v>
      </c>
      <c r="AU62" s="34">
        <f t="shared" si="16"/>
        <v>57</v>
      </c>
      <c r="AV62" s="19">
        <f t="shared" si="17"/>
        <v>28</v>
      </c>
    </row>
    <row r="63" spans="2:48">
      <c r="B63" s="21">
        <v>29</v>
      </c>
      <c r="C63" s="23">
        <v>3</v>
      </c>
      <c r="D63" s="22">
        <v>7</v>
      </c>
      <c r="E63" s="24">
        <f t="shared" si="20"/>
        <v>9</v>
      </c>
      <c r="F63" s="24">
        <f t="shared" si="20"/>
        <v>6</v>
      </c>
      <c r="G63" s="24">
        <f t="shared" si="20"/>
        <v>0</v>
      </c>
      <c r="H63" s="24">
        <f t="shared" si="20"/>
        <v>7</v>
      </c>
      <c r="I63" s="24">
        <f t="shared" si="20"/>
        <v>6</v>
      </c>
      <c r="J63" s="24">
        <f t="shared" si="20"/>
        <v>10</v>
      </c>
      <c r="K63" s="24">
        <f t="shared" si="20"/>
        <v>6</v>
      </c>
      <c r="L63" s="24">
        <f t="shared" si="20"/>
        <v>6</v>
      </c>
      <c r="M63" s="24">
        <f t="shared" si="20"/>
        <v>7</v>
      </c>
      <c r="N63" s="24">
        <f t="shared" si="20"/>
        <v>4</v>
      </c>
      <c r="O63" s="24">
        <f t="shared" si="20"/>
        <v>3</v>
      </c>
      <c r="P63" s="24">
        <f t="shared" si="20"/>
        <v>2</v>
      </c>
      <c r="Q63" s="24">
        <f t="shared" si="20"/>
        <v>4</v>
      </c>
      <c r="R63" s="24">
        <f t="shared" si="20"/>
        <v>7</v>
      </c>
      <c r="S63" s="25">
        <f t="shared" si="21"/>
        <v>9</v>
      </c>
      <c r="T63" s="25">
        <f t="shared" si="21"/>
        <v>6</v>
      </c>
      <c r="U63" s="25">
        <f t="shared" si="21"/>
        <v>6</v>
      </c>
      <c r="V63" s="25">
        <f t="shared" si="21"/>
        <v>1</v>
      </c>
      <c r="W63" s="25">
        <f t="shared" si="21"/>
        <v>0</v>
      </c>
      <c r="X63" s="25">
        <f t="shared" si="21"/>
        <v>10</v>
      </c>
      <c r="Y63" s="25">
        <f t="shared" si="21"/>
        <v>0</v>
      </c>
      <c r="Z63" s="25">
        <f t="shared" si="21"/>
        <v>6</v>
      </c>
      <c r="AA63" s="25">
        <f t="shared" si="21"/>
        <v>3</v>
      </c>
      <c r="AB63" s="25">
        <f t="shared" si="21"/>
        <v>2</v>
      </c>
      <c r="AC63" s="25">
        <f t="shared" si="21"/>
        <v>9</v>
      </c>
      <c r="AD63" s="25">
        <f t="shared" si="21"/>
        <v>8</v>
      </c>
      <c r="AE63" s="25">
        <f t="shared" si="21"/>
        <v>10</v>
      </c>
      <c r="AF63" s="25">
        <f t="shared" si="21"/>
        <v>13</v>
      </c>
      <c r="AG63" s="29">
        <f t="shared" si="2"/>
        <v>9</v>
      </c>
      <c r="AH63" s="29">
        <f t="shared" si="3"/>
        <v>6</v>
      </c>
      <c r="AI63" s="29">
        <f t="shared" si="4"/>
        <v>0</v>
      </c>
      <c r="AJ63" s="29">
        <f t="shared" si="5"/>
        <v>1</v>
      </c>
      <c r="AK63" s="29">
        <f t="shared" si="6"/>
        <v>0</v>
      </c>
      <c r="AL63" s="29">
        <f t="shared" si="7"/>
        <v>10</v>
      </c>
      <c r="AM63" s="29">
        <f t="shared" si="8"/>
        <v>0</v>
      </c>
      <c r="AN63" s="29">
        <f t="shared" si="9"/>
        <v>6</v>
      </c>
      <c r="AO63" s="29">
        <f t="shared" si="10"/>
        <v>3</v>
      </c>
      <c r="AP63" s="29">
        <f t="shared" si="11"/>
        <v>2</v>
      </c>
      <c r="AQ63" s="29">
        <f t="shared" si="12"/>
        <v>3</v>
      </c>
      <c r="AR63" s="29">
        <f t="shared" si="13"/>
        <v>2</v>
      </c>
      <c r="AS63" s="29">
        <f t="shared" si="14"/>
        <v>4</v>
      </c>
      <c r="AT63" s="29">
        <f t="shared" si="15"/>
        <v>7</v>
      </c>
      <c r="AU63" s="34">
        <f t="shared" si="16"/>
        <v>53</v>
      </c>
      <c r="AV63" s="19">
        <f t="shared" si="17"/>
        <v>29</v>
      </c>
    </row>
    <row r="64" spans="2:48">
      <c r="B64" s="21">
        <v>30</v>
      </c>
      <c r="C64" s="23">
        <v>3</v>
      </c>
      <c r="D64" s="22">
        <v>8</v>
      </c>
      <c r="E64" s="24">
        <f t="shared" si="20"/>
        <v>9</v>
      </c>
      <c r="F64" s="24">
        <f t="shared" si="20"/>
        <v>6</v>
      </c>
      <c r="G64" s="24">
        <f t="shared" si="20"/>
        <v>0</v>
      </c>
      <c r="H64" s="24">
        <f t="shared" si="20"/>
        <v>7</v>
      </c>
      <c r="I64" s="24">
        <f t="shared" si="20"/>
        <v>6</v>
      </c>
      <c r="J64" s="24">
        <f t="shared" si="20"/>
        <v>10</v>
      </c>
      <c r="K64" s="24">
        <f t="shared" si="20"/>
        <v>6</v>
      </c>
      <c r="L64" s="24">
        <f t="shared" si="20"/>
        <v>6</v>
      </c>
      <c r="M64" s="24">
        <f t="shared" si="20"/>
        <v>7</v>
      </c>
      <c r="N64" s="24">
        <f t="shared" si="20"/>
        <v>4</v>
      </c>
      <c r="O64" s="24">
        <f t="shared" si="20"/>
        <v>3</v>
      </c>
      <c r="P64" s="24">
        <f t="shared" si="20"/>
        <v>2</v>
      </c>
      <c r="Q64" s="24">
        <f t="shared" si="20"/>
        <v>4</v>
      </c>
      <c r="R64" s="24">
        <f t="shared" si="20"/>
        <v>7</v>
      </c>
      <c r="S64" s="25">
        <f t="shared" si="21"/>
        <v>5</v>
      </c>
      <c r="T64" s="25">
        <f t="shared" si="21"/>
        <v>4</v>
      </c>
      <c r="U64" s="25">
        <f t="shared" si="21"/>
        <v>6</v>
      </c>
      <c r="V64" s="25">
        <f t="shared" si="21"/>
        <v>7</v>
      </c>
      <c r="W64" s="25">
        <f t="shared" si="21"/>
        <v>6</v>
      </c>
      <c r="X64" s="25">
        <f t="shared" si="21"/>
        <v>4</v>
      </c>
      <c r="Y64" s="25">
        <f t="shared" si="21"/>
        <v>6</v>
      </c>
      <c r="Z64" s="25">
        <f t="shared" si="21"/>
        <v>0</v>
      </c>
      <c r="AA64" s="25">
        <f t="shared" si="21"/>
        <v>9</v>
      </c>
      <c r="AB64" s="25">
        <f t="shared" si="21"/>
        <v>8</v>
      </c>
      <c r="AC64" s="25">
        <f t="shared" si="21"/>
        <v>7</v>
      </c>
      <c r="AD64" s="25">
        <f t="shared" si="21"/>
        <v>6</v>
      </c>
      <c r="AE64" s="25">
        <f t="shared" si="21"/>
        <v>8</v>
      </c>
      <c r="AF64" s="25">
        <f t="shared" si="21"/>
        <v>11</v>
      </c>
      <c r="AG64" s="29">
        <f t="shared" si="2"/>
        <v>5</v>
      </c>
      <c r="AH64" s="29">
        <f t="shared" si="3"/>
        <v>4</v>
      </c>
      <c r="AI64" s="29">
        <f t="shared" si="4"/>
        <v>0</v>
      </c>
      <c r="AJ64" s="29">
        <f t="shared" si="5"/>
        <v>7</v>
      </c>
      <c r="AK64" s="29">
        <f t="shared" si="6"/>
        <v>6</v>
      </c>
      <c r="AL64" s="29">
        <f t="shared" si="7"/>
        <v>4</v>
      </c>
      <c r="AM64" s="29">
        <f t="shared" si="8"/>
        <v>6</v>
      </c>
      <c r="AN64" s="29">
        <f t="shared" si="9"/>
        <v>0</v>
      </c>
      <c r="AO64" s="29">
        <f t="shared" si="10"/>
        <v>7</v>
      </c>
      <c r="AP64" s="29">
        <f t="shared" si="11"/>
        <v>4</v>
      </c>
      <c r="AQ64" s="29">
        <f t="shared" si="12"/>
        <v>3</v>
      </c>
      <c r="AR64" s="29">
        <f t="shared" si="13"/>
        <v>2</v>
      </c>
      <c r="AS64" s="29">
        <f t="shared" si="14"/>
        <v>4</v>
      </c>
      <c r="AT64" s="29">
        <f t="shared" si="15"/>
        <v>7</v>
      </c>
      <c r="AU64" s="34">
        <f t="shared" si="16"/>
        <v>59</v>
      </c>
      <c r="AV64" s="19">
        <f t="shared" si="17"/>
        <v>30</v>
      </c>
    </row>
    <row r="65" spans="2:48">
      <c r="B65" s="21">
        <v>31</v>
      </c>
      <c r="C65" s="23">
        <v>3</v>
      </c>
      <c r="D65" s="22">
        <v>9</v>
      </c>
      <c r="E65" s="24">
        <f t="shared" ref="E65:R74" si="22">ABS(VLOOKUP($C65,$B$8:$D$21,2,0)-VLOOKUP(E$34,$B$8:$D$21,2,0))+ABS(VLOOKUP($C65,$B$8:$D$21,3,0)-VLOOKUP(E$34,$B$8:$D$21,3,0))</f>
        <v>9</v>
      </c>
      <c r="F65" s="24">
        <f t="shared" si="22"/>
        <v>6</v>
      </c>
      <c r="G65" s="24">
        <f t="shared" si="22"/>
        <v>0</v>
      </c>
      <c r="H65" s="24">
        <f t="shared" si="22"/>
        <v>7</v>
      </c>
      <c r="I65" s="24">
        <f t="shared" si="22"/>
        <v>6</v>
      </c>
      <c r="J65" s="24">
        <f t="shared" si="22"/>
        <v>10</v>
      </c>
      <c r="K65" s="24">
        <f t="shared" si="22"/>
        <v>6</v>
      </c>
      <c r="L65" s="24">
        <f t="shared" si="22"/>
        <v>6</v>
      </c>
      <c r="M65" s="24">
        <f t="shared" si="22"/>
        <v>7</v>
      </c>
      <c r="N65" s="24">
        <f t="shared" si="22"/>
        <v>4</v>
      </c>
      <c r="O65" s="24">
        <f t="shared" si="22"/>
        <v>3</v>
      </c>
      <c r="P65" s="24">
        <f t="shared" si="22"/>
        <v>2</v>
      </c>
      <c r="Q65" s="24">
        <f t="shared" si="22"/>
        <v>4</v>
      </c>
      <c r="R65" s="24">
        <f t="shared" si="22"/>
        <v>7</v>
      </c>
      <c r="S65" s="25">
        <f t="shared" ref="S65:AF74" si="23">ABS(VLOOKUP($D65,$B$8:$D$21,2,0)-VLOOKUP(S$34,$B$8:$D$21,2,0))+ABS(VLOOKUP($D65,$B$8:$D$21,3,0)-VLOOKUP(S$34,$B$8:$D$21,3,0))</f>
        <v>12</v>
      </c>
      <c r="T65" s="25">
        <f t="shared" si="23"/>
        <v>9</v>
      </c>
      <c r="U65" s="25">
        <f t="shared" si="23"/>
        <v>7</v>
      </c>
      <c r="V65" s="25">
        <f t="shared" si="23"/>
        <v>2</v>
      </c>
      <c r="W65" s="25">
        <f t="shared" si="23"/>
        <v>3</v>
      </c>
      <c r="X65" s="25">
        <f t="shared" si="23"/>
        <v>13</v>
      </c>
      <c r="Y65" s="25">
        <f t="shared" si="23"/>
        <v>3</v>
      </c>
      <c r="Z65" s="25">
        <f t="shared" si="23"/>
        <v>9</v>
      </c>
      <c r="AA65" s="25">
        <f t="shared" si="23"/>
        <v>0</v>
      </c>
      <c r="AB65" s="25">
        <f t="shared" si="23"/>
        <v>3</v>
      </c>
      <c r="AC65" s="25">
        <f t="shared" si="23"/>
        <v>10</v>
      </c>
      <c r="AD65" s="25">
        <f t="shared" si="23"/>
        <v>9</v>
      </c>
      <c r="AE65" s="25">
        <f t="shared" si="23"/>
        <v>11</v>
      </c>
      <c r="AF65" s="25">
        <f t="shared" si="23"/>
        <v>14</v>
      </c>
      <c r="AG65" s="29">
        <f t="shared" si="2"/>
        <v>9</v>
      </c>
      <c r="AH65" s="29">
        <f t="shared" si="3"/>
        <v>6</v>
      </c>
      <c r="AI65" s="29">
        <f t="shared" si="4"/>
        <v>0</v>
      </c>
      <c r="AJ65" s="29">
        <f t="shared" si="5"/>
        <v>2</v>
      </c>
      <c r="AK65" s="29">
        <f t="shared" si="6"/>
        <v>3</v>
      </c>
      <c r="AL65" s="29">
        <f t="shared" si="7"/>
        <v>10</v>
      </c>
      <c r="AM65" s="29">
        <f t="shared" si="8"/>
        <v>3</v>
      </c>
      <c r="AN65" s="29">
        <f t="shared" si="9"/>
        <v>6</v>
      </c>
      <c r="AO65" s="29">
        <f t="shared" si="10"/>
        <v>0</v>
      </c>
      <c r="AP65" s="29">
        <f t="shared" si="11"/>
        <v>3</v>
      </c>
      <c r="AQ65" s="29">
        <f t="shared" si="12"/>
        <v>3</v>
      </c>
      <c r="AR65" s="29">
        <f t="shared" si="13"/>
        <v>2</v>
      </c>
      <c r="AS65" s="29">
        <f t="shared" si="14"/>
        <v>4</v>
      </c>
      <c r="AT65" s="29">
        <f t="shared" si="15"/>
        <v>7</v>
      </c>
      <c r="AU65" s="34">
        <f t="shared" si="16"/>
        <v>58</v>
      </c>
      <c r="AV65" s="19">
        <f t="shared" si="17"/>
        <v>31</v>
      </c>
    </row>
    <row r="66" spans="2:48">
      <c r="B66" s="21">
        <v>32</v>
      </c>
      <c r="C66" s="23">
        <v>3</v>
      </c>
      <c r="D66" s="22">
        <v>10</v>
      </c>
      <c r="E66" s="24">
        <f t="shared" si="22"/>
        <v>9</v>
      </c>
      <c r="F66" s="24">
        <f t="shared" si="22"/>
        <v>6</v>
      </c>
      <c r="G66" s="24">
        <f t="shared" si="22"/>
        <v>0</v>
      </c>
      <c r="H66" s="24">
        <f t="shared" si="22"/>
        <v>7</v>
      </c>
      <c r="I66" s="24">
        <f t="shared" si="22"/>
        <v>6</v>
      </c>
      <c r="J66" s="24">
        <f t="shared" si="22"/>
        <v>10</v>
      </c>
      <c r="K66" s="24">
        <f t="shared" si="22"/>
        <v>6</v>
      </c>
      <c r="L66" s="24">
        <f t="shared" si="22"/>
        <v>6</v>
      </c>
      <c r="M66" s="24">
        <f t="shared" si="22"/>
        <v>7</v>
      </c>
      <c r="N66" s="24">
        <f t="shared" si="22"/>
        <v>4</v>
      </c>
      <c r="O66" s="24">
        <f t="shared" si="22"/>
        <v>3</v>
      </c>
      <c r="P66" s="24">
        <f t="shared" si="22"/>
        <v>2</v>
      </c>
      <c r="Q66" s="24">
        <f t="shared" si="22"/>
        <v>4</v>
      </c>
      <c r="R66" s="24">
        <f t="shared" si="22"/>
        <v>7</v>
      </c>
      <c r="S66" s="25">
        <f t="shared" si="23"/>
        <v>11</v>
      </c>
      <c r="T66" s="25">
        <f t="shared" si="23"/>
        <v>8</v>
      </c>
      <c r="U66" s="25">
        <f t="shared" si="23"/>
        <v>4</v>
      </c>
      <c r="V66" s="25">
        <f t="shared" si="23"/>
        <v>3</v>
      </c>
      <c r="W66" s="25">
        <f t="shared" si="23"/>
        <v>2</v>
      </c>
      <c r="X66" s="25">
        <f t="shared" si="23"/>
        <v>12</v>
      </c>
      <c r="Y66" s="25">
        <f t="shared" si="23"/>
        <v>2</v>
      </c>
      <c r="Z66" s="25">
        <f t="shared" si="23"/>
        <v>8</v>
      </c>
      <c r="AA66" s="25">
        <f t="shared" si="23"/>
        <v>3</v>
      </c>
      <c r="AB66" s="25">
        <f t="shared" si="23"/>
        <v>0</v>
      </c>
      <c r="AC66" s="25">
        <f t="shared" si="23"/>
        <v>7</v>
      </c>
      <c r="AD66" s="25">
        <f t="shared" si="23"/>
        <v>6</v>
      </c>
      <c r="AE66" s="25">
        <f t="shared" si="23"/>
        <v>8</v>
      </c>
      <c r="AF66" s="25">
        <f t="shared" si="23"/>
        <v>11</v>
      </c>
      <c r="AG66" s="29">
        <f t="shared" si="2"/>
        <v>9</v>
      </c>
      <c r="AH66" s="29">
        <f t="shared" si="3"/>
        <v>6</v>
      </c>
      <c r="AI66" s="29">
        <f t="shared" si="4"/>
        <v>0</v>
      </c>
      <c r="AJ66" s="29">
        <f t="shared" si="5"/>
        <v>3</v>
      </c>
      <c r="AK66" s="29">
        <f t="shared" si="6"/>
        <v>2</v>
      </c>
      <c r="AL66" s="29">
        <f t="shared" si="7"/>
        <v>10</v>
      </c>
      <c r="AM66" s="29">
        <f t="shared" si="8"/>
        <v>2</v>
      </c>
      <c r="AN66" s="29">
        <f t="shared" si="9"/>
        <v>6</v>
      </c>
      <c r="AO66" s="29">
        <f t="shared" si="10"/>
        <v>3</v>
      </c>
      <c r="AP66" s="29">
        <f t="shared" si="11"/>
        <v>0</v>
      </c>
      <c r="AQ66" s="29">
        <f t="shared" si="12"/>
        <v>3</v>
      </c>
      <c r="AR66" s="29">
        <f t="shared" si="13"/>
        <v>2</v>
      </c>
      <c r="AS66" s="29">
        <f t="shared" si="14"/>
        <v>4</v>
      </c>
      <c r="AT66" s="29">
        <f t="shared" si="15"/>
        <v>7</v>
      </c>
      <c r="AU66" s="34">
        <f t="shared" si="16"/>
        <v>57</v>
      </c>
      <c r="AV66" s="19">
        <f t="shared" si="17"/>
        <v>32</v>
      </c>
    </row>
    <row r="67" spans="2:48">
      <c r="B67" s="21">
        <v>33</v>
      </c>
      <c r="C67" s="23">
        <v>3</v>
      </c>
      <c r="D67" s="22">
        <v>11</v>
      </c>
      <c r="E67" s="24">
        <f t="shared" si="22"/>
        <v>9</v>
      </c>
      <c r="F67" s="24">
        <f t="shared" si="22"/>
        <v>6</v>
      </c>
      <c r="G67" s="24">
        <f t="shared" si="22"/>
        <v>0</v>
      </c>
      <c r="H67" s="24">
        <f t="shared" si="22"/>
        <v>7</v>
      </c>
      <c r="I67" s="24">
        <f t="shared" si="22"/>
        <v>6</v>
      </c>
      <c r="J67" s="24">
        <f t="shared" si="22"/>
        <v>10</v>
      </c>
      <c r="K67" s="24">
        <f t="shared" si="22"/>
        <v>6</v>
      </c>
      <c r="L67" s="24">
        <f t="shared" si="22"/>
        <v>6</v>
      </c>
      <c r="M67" s="24">
        <f t="shared" si="22"/>
        <v>7</v>
      </c>
      <c r="N67" s="24">
        <f t="shared" si="22"/>
        <v>4</v>
      </c>
      <c r="O67" s="24">
        <f t="shared" si="22"/>
        <v>3</v>
      </c>
      <c r="P67" s="24">
        <f t="shared" si="22"/>
        <v>2</v>
      </c>
      <c r="Q67" s="24">
        <f t="shared" si="22"/>
        <v>4</v>
      </c>
      <c r="R67" s="24">
        <f t="shared" si="22"/>
        <v>7</v>
      </c>
      <c r="S67" s="25">
        <f t="shared" si="23"/>
        <v>10</v>
      </c>
      <c r="T67" s="25">
        <f t="shared" si="23"/>
        <v>7</v>
      </c>
      <c r="U67" s="25">
        <f t="shared" si="23"/>
        <v>3</v>
      </c>
      <c r="V67" s="25">
        <f t="shared" si="23"/>
        <v>10</v>
      </c>
      <c r="W67" s="25">
        <f t="shared" si="23"/>
        <v>9</v>
      </c>
      <c r="X67" s="25">
        <f t="shared" si="23"/>
        <v>11</v>
      </c>
      <c r="Y67" s="25">
        <f t="shared" si="23"/>
        <v>9</v>
      </c>
      <c r="Z67" s="25">
        <f t="shared" si="23"/>
        <v>7</v>
      </c>
      <c r="AA67" s="25">
        <f t="shared" si="23"/>
        <v>10</v>
      </c>
      <c r="AB67" s="25">
        <f t="shared" si="23"/>
        <v>7</v>
      </c>
      <c r="AC67" s="25">
        <f t="shared" si="23"/>
        <v>0</v>
      </c>
      <c r="AD67" s="25">
        <f t="shared" si="23"/>
        <v>3</v>
      </c>
      <c r="AE67" s="25">
        <f t="shared" si="23"/>
        <v>1</v>
      </c>
      <c r="AF67" s="25">
        <f t="shared" si="23"/>
        <v>4</v>
      </c>
      <c r="AG67" s="29">
        <f t="shared" ref="AG67:AG98" si="24">MIN(E67,S67)</f>
        <v>9</v>
      </c>
      <c r="AH67" s="29">
        <f t="shared" ref="AH67:AH98" si="25">MIN(F67,T67)</f>
        <v>6</v>
      </c>
      <c r="AI67" s="29">
        <f t="shared" ref="AI67:AI98" si="26">MIN(G67,U67)</f>
        <v>0</v>
      </c>
      <c r="AJ67" s="29">
        <f t="shared" ref="AJ67:AJ98" si="27">MIN(H67,V67)</f>
        <v>7</v>
      </c>
      <c r="AK67" s="29">
        <f t="shared" ref="AK67:AK98" si="28">MIN(I67,W67)</f>
        <v>6</v>
      </c>
      <c r="AL67" s="29">
        <f t="shared" ref="AL67:AL98" si="29">MIN(J67,X67)</f>
        <v>10</v>
      </c>
      <c r="AM67" s="29">
        <f t="shared" ref="AM67:AM98" si="30">MIN(K67,Y67)</f>
        <v>6</v>
      </c>
      <c r="AN67" s="29">
        <f t="shared" ref="AN67:AN98" si="31">MIN(L67,Z67)</f>
        <v>6</v>
      </c>
      <c r="AO67" s="29">
        <f t="shared" ref="AO67:AO98" si="32">MIN(M67,AA67)</f>
        <v>7</v>
      </c>
      <c r="AP67" s="29">
        <f t="shared" ref="AP67:AP98" si="33">MIN(N67,AB67)</f>
        <v>4</v>
      </c>
      <c r="AQ67" s="29">
        <f t="shared" ref="AQ67:AQ98" si="34">MIN(O67,AC67)</f>
        <v>0</v>
      </c>
      <c r="AR67" s="29">
        <f t="shared" ref="AR67:AR98" si="35">MIN(P67,AD67)</f>
        <v>2</v>
      </c>
      <c r="AS67" s="29">
        <f t="shared" ref="AS67:AS98" si="36">MIN(Q67,AE67)</f>
        <v>1</v>
      </c>
      <c r="AT67" s="29">
        <f t="shared" ref="AT67:AT98" si="37">MIN(R67,AF67)</f>
        <v>4</v>
      </c>
      <c r="AU67" s="34">
        <f t="shared" ref="AU67:AU98" si="38">SUM(AG67:AT67)</f>
        <v>68</v>
      </c>
      <c r="AV67" s="19">
        <f t="shared" ref="AV67:AV98" si="39">B67</f>
        <v>33</v>
      </c>
    </row>
    <row r="68" spans="2:48">
      <c r="B68" s="21">
        <v>34</v>
      </c>
      <c r="C68" s="23">
        <v>3</v>
      </c>
      <c r="D68" s="22">
        <v>12</v>
      </c>
      <c r="E68" s="24">
        <f t="shared" si="22"/>
        <v>9</v>
      </c>
      <c r="F68" s="24">
        <f t="shared" si="22"/>
        <v>6</v>
      </c>
      <c r="G68" s="24">
        <f t="shared" si="22"/>
        <v>0</v>
      </c>
      <c r="H68" s="24">
        <f t="shared" si="22"/>
        <v>7</v>
      </c>
      <c r="I68" s="24">
        <f t="shared" si="22"/>
        <v>6</v>
      </c>
      <c r="J68" s="24">
        <f t="shared" si="22"/>
        <v>10</v>
      </c>
      <c r="K68" s="24">
        <f t="shared" si="22"/>
        <v>6</v>
      </c>
      <c r="L68" s="24">
        <f t="shared" si="22"/>
        <v>6</v>
      </c>
      <c r="M68" s="24">
        <f t="shared" si="22"/>
        <v>7</v>
      </c>
      <c r="N68" s="24">
        <f t="shared" si="22"/>
        <v>4</v>
      </c>
      <c r="O68" s="24">
        <f t="shared" si="22"/>
        <v>3</v>
      </c>
      <c r="P68" s="24">
        <f t="shared" si="22"/>
        <v>2</v>
      </c>
      <c r="Q68" s="24">
        <f t="shared" si="22"/>
        <v>4</v>
      </c>
      <c r="R68" s="24">
        <f t="shared" si="22"/>
        <v>7</v>
      </c>
      <c r="S68" s="25">
        <f t="shared" si="23"/>
        <v>7</v>
      </c>
      <c r="T68" s="25">
        <f t="shared" si="23"/>
        <v>4</v>
      </c>
      <c r="U68" s="25">
        <f t="shared" si="23"/>
        <v>2</v>
      </c>
      <c r="V68" s="25">
        <f t="shared" si="23"/>
        <v>9</v>
      </c>
      <c r="W68" s="25">
        <f t="shared" si="23"/>
        <v>8</v>
      </c>
      <c r="X68" s="25">
        <f t="shared" si="23"/>
        <v>8</v>
      </c>
      <c r="Y68" s="25">
        <f t="shared" si="23"/>
        <v>8</v>
      </c>
      <c r="Z68" s="25">
        <f t="shared" si="23"/>
        <v>6</v>
      </c>
      <c r="AA68" s="25">
        <f t="shared" si="23"/>
        <v>9</v>
      </c>
      <c r="AB68" s="25">
        <f t="shared" si="23"/>
        <v>6</v>
      </c>
      <c r="AC68" s="25">
        <f t="shared" si="23"/>
        <v>3</v>
      </c>
      <c r="AD68" s="25">
        <f t="shared" si="23"/>
        <v>0</v>
      </c>
      <c r="AE68" s="25">
        <f t="shared" si="23"/>
        <v>2</v>
      </c>
      <c r="AF68" s="25">
        <f t="shared" si="23"/>
        <v>5</v>
      </c>
      <c r="AG68" s="29">
        <f t="shared" si="24"/>
        <v>7</v>
      </c>
      <c r="AH68" s="29">
        <f t="shared" si="25"/>
        <v>4</v>
      </c>
      <c r="AI68" s="29">
        <f t="shared" si="26"/>
        <v>0</v>
      </c>
      <c r="AJ68" s="29">
        <f t="shared" si="27"/>
        <v>7</v>
      </c>
      <c r="AK68" s="29">
        <f t="shared" si="28"/>
        <v>6</v>
      </c>
      <c r="AL68" s="29">
        <f t="shared" si="29"/>
        <v>8</v>
      </c>
      <c r="AM68" s="29">
        <f t="shared" si="30"/>
        <v>6</v>
      </c>
      <c r="AN68" s="29">
        <f t="shared" si="31"/>
        <v>6</v>
      </c>
      <c r="AO68" s="29">
        <f t="shared" si="32"/>
        <v>7</v>
      </c>
      <c r="AP68" s="29">
        <f t="shared" si="33"/>
        <v>4</v>
      </c>
      <c r="AQ68" s="29">
        <f t="shared" si="34"/>
        <v>3</v>
      </c>
      <c r="AR68" s="29">
        <f t="shared" si="35"/>
        <v>0</v>
      </c>
      <c r="AS68" s="29">
        <f t="shared" si="36"/>
        <v>2</v>
      </c>
      <c r="AT68" s="29">
        <f t="shared" si="37"/>
        <v>5</v>
      </c>
      <c r="AU68" s="34">
        <f t="shared" si="38"/>
        <v>65</v>
      </c>
      <c r="AV68" s="19">
        <f t="shared" si="39"/>
        <v>34</v>
      </c>
    </row>
    <row r="69" spans="2:48">
      <c r="B69" s="21">
        <v>35</v>
      </c>
      <c r="C69" s="23">
        <v>3</v>
      </c>
      <c r="D69" s="22">
        <v>13</v>
      </c>
      <c r="E69" s="24">
        <f t="shared" si="22"/>
        <v>9</v>
      </c>
      <c r="F69" s="24">
        <f t="shared" si="22"/>
        <v>6</v>
      </c>
      <c r="G69" s="24">
        <f t="shared" si="22"/>
        <v>0</v>
      </c>
      <c r="H69" s="24">
        <f t="shared" si="22"/>
        <v>7</v>
      </c>
      <c r="I69" s="24">
        <f t="shared" si="22"/>
        <v>6</v>
      </c>
      <c r="J69" s="24">
        <f t="shared" si="22"/>
        <v>10</v>
      </c>
      <c r="K69" s="24">
        <f t="shared" si="22"/>
        <v>6</v>
      </c>
      <c r="L69" s="24">
        <f t="shared" si="22"/>
        <v>6</v>
      </c>
      <c r="M69" s="24">
        <f t="shared" si="22"/>
        <v>7</v>
      </c>
      <c r="N69" s="24">
        <f t="shared" si="22"/>
        <v>4</v>
      </c>
      <c r="O69" s="24">
        <f t="shared" si="22"/>
        <v>3</v>
      </c>
      <c r="P69" s="24">
        <f t="shared" si="22"/>
        <v>2</v>
      </c>
      <c r="Q69" s="24">
        <f t="shared" si="22"/>
        <v>4</v>
      </c>
      <c r="R69" s="24">
        <f t="shared" si="22"/>
        <v>7</v>
      </c>
      <c r="S69" s="25">
        <f t="shared" si="23"/>
        <v>9</v>
      </c>
      <c r="T69" s="25">
        <f t="shared" si="23"/>
        <v>6</v>
      </c>
      <c r="U69" s="25">
        <f t="shared" si="23"/>
        <v>4</v>
      </c>
      <c r="V69" s="25">
        <f t="shared" si="23"/>
        <v>11</v>
      </c>
      <c r="W69" s="25">
        <f t="shared" si="23"/>
        <v>10</v>
      </c>
      <c r="X69" s="25">
        <f t="shared" si="23"/>
        <v>10</v>
      </c>
      <c r="Y69" s="25">
        <f t="shared" si="23"/>
        <v>10</v>
      </c>
      <c r="Z69" s="25">
        <f t="shared" si="23"/>
        <v>8</v>
      </c>
      <c r="AA69" s="25">
        <f t="shared" si="23"/>
        <v>11</v>
      </c>
      <c r="AB69" s="25">
        <f t="shared" si="23"/>
        <v>8</v>
      </c>
      <c r="AC69" s="25">
        <f t="shared" si="23"/>
        <v>1</v>
      </c>
      <c r="AD69" s="25">
        <f t="shared" si="23"/>
        <v>2</v>
      </c>
      <c r="AE69" s="25">
        <f t="shared" si="23"/>
        <v>0</v>
      </c>
      <c r="AF69" s="25">
        <f t="shared" si="23"/>
        <v>3</v>
      </c>
      <c r="AG69" s="29">
        <f t="shared" si="24"/>
        <v>9</v>
      </c>
      <c r="AH69" s="29">
        <f t="shared" si="25"/>
        <v>6</v>
      </c>
      <c r="AI69" s="29">
        <f t="shared" si="26"/>
        <v>0</v>
      </c>
      <c r="AJ69" s="29">
        <f t="shared" si="27"/>
        <v>7</v>
      </c>
      <c r="AK69" s="29">
        <f t="shared" si="28"/>
        <v>6</v>
      </c>
      <c r="AL69" s="29">
        <f t="shared" si="29"/>
        <v>10</v>
      </c>
      <c r="AM69" s="29">
        <f t="shared" si="30"/>
        <v>6</v>
      </c>
      <c r="AN69" s="29">
        <f t="shared" si="31"/>
        <v>6</v>
      </c>
      <c r="AO69" s="29">
        <f t="shared" si="32"/>
        <v>7</v>
      </c>
      <c r="AP69" s="29">
        <f t="shared" si="33"/>
        <v>4</v>
      </c>
      <c r="AQ69" s="29">
        <f t="shared" si="34"/>
        <v>1</v>
      </c>
      <c r="AR69" s="29">
        <f t="shared" si="35"/>
        <v>2</v>
      </c>
      <c r="AS69" s="29">
        <f t="shared" si="36"/>
        <v>0</v>
      </c>
      <c r="AT69" s="29">
        <f t="shared" si="37"/>
        <v>3</v>
      </c>
      <c r="AU69" s="34">
        <f t="shared" si="38"/>
        <v>67</v>
      </c>
      <c r="AV69" s="19">
        <f t="shared" si="39"/>
        <v>35</v>
      </c>
    </row>
    <row r="70" spans="2:48">
      <c r="B70" s="21">
        <v>36</v>
      </c>
      <c r="C70" s="23">
        <v>3</v>
      </c>
      <c r="D70" s="22">
        <v>14</v>
      </c>
      <c r="E70" s="24">
        <f t="shared" si="22"/>
        <v>9</v>
      </c>
      <c r="F70" s="24">
        <f t="shared" si="22"/>
        <v>6</v>
      </c>
      <c r="G70" s="24">
        <f t="shared" si="22"/>
        <v>0</v>
      </c>
      <c r="H70" s="24">
        <f t="shared" si="22"/>
        <v>7</v>
      </c>
      <c r="I70" s="24">
        <f t="shared" si="22"/>
        <v>6</v>
      </c>
      <c r="J70" s="24">
        <f t="shared" si="22"/>
        <v>10</v>
      </c>
      <c r="K70" s="24">
        <f t="shared" si="22"/>
        <v>6</v>
      </c>
      <c r="L70" s="24">
        <f t="shared" si="22"/>
        <v>6</v>
      </c>
      <c r="M70" s="24">
        <f t="shared" si="22"/>
        <v>7</v>
      </c>
      <c r="N70" s="24">
        <f t="shared" si="22"/>
        <v>4</v>
      </c>
      <c r="O70" s="24">
        <f t="shared" si="22"/>
        <v>3</v>
      </c>
      <c r="P70" s="24">
        <f t="shared" si="22"/>
        <v>2</v>
      </c>
      <c r="Q70" s="24">
        <f t="shared" si="22"/>
        <v>4</v>
      </c>
      <c r="R70" s="24">
        <f t="shared" si="22"/>
        <v>7</v>
      </c>
      <c r="S70" s="25">
        <f t="shared" si="23"/>
        <v>6</v>
      </c>
      <c r="T70" s="25">
        <f t="shared" si="23"/>
        <v>7</v>
      </c>
      <c r="U70" s="25">
        <f t="shared" si="23"/>
        <v>7</v>
      </c>
      <c r="V70" s="25">
        <f t="shared" si="23"/>
        <v>14</v>
      </c>
      <c r="W70" s="25">
        <f t="shared" si="23"/>
        <v>13</v>
      </c>
      <c r="X70" s="25">
        <f t="shared" si="23"/>
        <v>9</v>
      </c>
      <c r="Y70" s="25">
        <f t="shared" si="23"/>
        <v>13</v>
      </c>
      <c r="Z70" s="25">
        <f t="shared" si="23"/>
        <v>11</v>
      </c>
      <c r="AA70" s="25">
        <f t="shared" si="23"/>
        <v>14</v>
      </c>
      <c r="AB70" s="25">
        <f t="shared" si="23"/>
        <v>11</v>
      </c>
      <c r="AC70" s="25">
        <f t="shared" si="23"/>
        <v>4</v>
      </c>
      <c r="AD70" s="25">
        <f t="shared" si="23"/>
        <v>5</v>
      </c>
      <c r="AE70" s="25">
        <f t="shared" si="23"/>
        <v>3</v>
      </c>
      <c r="AF70" s="25">
        <f t="shared" si="23"/>
        <v>0</v>
      </c>
      <c r="AG70" s="29">
        <f t="shared" si="24"/>
        <v>6</v>
      </c>
      <c r="AH70" s="29">
        <f t="shared" si="25"/>
        <v>6</v>
      </c>
      <c r="AI70" s="29">
        <f t="shared" si="26"/>
        <v>0</v>
      </c>
      <c r="AJ70" s="29">
        <f t="shared" si="27"/>
        <v>7</v>
      </c>
      <c r="AK70" s="29">
        <f t="shared" si="28"/>
        <v>6</v>
      </c>
      <c r="AL70" s="29">
        <f t="shared" si="29"/>
        <v>9</v>
      </c>
      <c r="AM70" s="29">
        <f t="shared" si="30"/>
        <v>6</v>
      </c>
      <c r="AN70" s="29">
        <f t="shared" si="31"/>
        <v>6</v>
      </c>
      <c r="AO70" s="29">
        <f t="shared" si="32"/>
        <v>7</v>
      </c>
      <c r="AP70" s="29">
        <f t="shared" si="33"/>
        <v>4</v>
      </c>
      <c r="AQ70" s="29">
        <f t="shared" si="34"/>
        <v>3</v>
      </c>
      <c r="AR70" s="29">
        <f t="shared" si="35"/>
        <v>2</v>
      </c>
      <c r="AS70" s="29">
        <f t="shared" si="36"/>
        <v>3</v>
      </c>
      <c r="AT70" s="29">
        <f t="shared" si="37"/>
        <v>0</v>
      </c>
      <c r="AU70" s="34">
        <f t="shared" si="38"/>
        <v>65</v>
      </c>
      <c r="AV70" s="19">
        <f t="shared" si="39"/>
        <v>36</v>
      </c>
    </row>
    <row r="71" spans="2:48">
      <c r="B71" s="21">
        <v>37</v>
      </c>
      <c r="C71" s="23">
        <v>4</v>
      </c>
      <c r="D71" s="22">
        <v>5</v>
      </c>
      <c r="E71" s="24">
        <f t="shared" si="22"/>
        <v>10</v>
      </c>
      <c r="F71" s="24">
        <f t="shared" si="22"/>
        <v>7</v>
      </c>
      <c r="G71" s="24">
        <f t="shared" si="22"/>
        <v>7</v>
      </c>
      <c r="H71" s="24">
        <f t="shared" si="22"/>
        <v>0</v>
      </c>
      <c r="I71" s="24">
        <f t="shared" si="22"/>
        <v>1</v>
      </c>
      <c r="J71" s="24">
        <f t="shared" si="22"/>
        <v>11</v>
      </c>
      <c r="K71" s="24">
        <f t="shared" si="22"/>
        <v>1</v>
      </c>
      <c r="L71" s="24">
        <f t="shared" si="22"/>
        <v>7</v>
      </c>
      <c r="M71" s="24">
        <f t="shared" si="22"/>
        <v>2</v>
      </c>
      <c r="N71" s="24">
        <f t="shared" si="22"/>
        <v>3</v>
      </c>
      <c r="O71" s="24">
        <f t="shared" si="22"/>
        <v>10</v>
      </c>
      <c r="P71" s="24">
        <f t="shared" si="22"/>
        <v>9</v>
      </c>
      <c r="Q71" s="24">
        <f t="shared" si="22"/>
        <v>11</v>
      </c>
      <c r="R71" s="24">
        <f t="shared" si="22"/>
        <v>14</v>
      </c>
      <c r="S71" s="25">
        <f t="shared" si="23"/>
        <v>9</v>
      </c>
      <c r="T71" s="25">
        <f t="shared" si="23"/>
        <v>6</v>
      </c>
      <c r="U71" s="25">
        <f t="shared" si="23"/>
        <v>6</v>
      </c>
      <c r="V71" s="25">
        <f t="shared" si="23"/>
        <v>1</v>
      </c>
      <c r="W71" s="25">
        <f t="shared" si="23"/>
        <v>0</v>
      </c>
      <c r="X71" s="25">
        <f t="shared" si="23"/>
        <v>10</v>
      </c>
      <c r="Y71" s="25">
        <f t="shared" si="23"/>
        <v>0</v>
      </c>
      <c r="Z71" s="25">
        <f t="shared" si="23"/>
        <v>6</v>
      </c>
      <c r="AA71" s="25">
        <f t="shared" si="23"/>
        <v>3</v>
      </c>
      <c r="AB71" s="25">
        <f t="shared" si="23"/>
        <v>2</v>
      </c>
      <c r="AC71" s="25">
        <f t="shared" si="23"/>
        <v>9</v>
      </c>
      <c r="AD71" s="25">
        <f t="shared" si="23"/>
        <v>8</v>
      </c>
      <c r="AE71" s="25">
        <f t="shared" si="23"/>
        <v>10</v>
      </c>
      <c r="AF71" s="25">
        <f t="shared" si="23"/>
        <v>13</v>
      </c>
      <c r="AG71" s="29">
        <f t="shared" si="24"/>
        <v>9</v>
      </c>
      <c r="AH71" s="29">
        <f t="shared" si="25"/>
        <v>6</v>
      </c>
      <c r="AI71" s="29">
        <f t="shared" si="26"/>
        <v>6</v>
      </c>
      <c r="AJ71" s="29">
        <f t="shared" si="27"/>
        <v>0</v>
      </c>
      <c r="AK71" s="29">
        <f t="shared" si="28"/>
        <v>0</v>
      </c>
      <c r="AL71" s="29">
        <f t="shared" si="29"/>
        <v>10</v>
      </c>
      <c r="AM71" s="29">
        <f t="shared" si="30"/>
        <v>0</v>
      </c>
      <c r="AN71" s="29">
        <f t="shared" si="31"/>
        <v>6</v>
      </c>
      <c r="AO71" s="29">
        <f t="shared" si="32"/>
        <v>2</v>
      </c>
      <c r="AP71" s="29">
        <f t="shared" si="33"/>
        <v>2</v>
      </c>
      <c r="AQ71" s="29">
        <f t="shared" si="34"/>
        <v>9</v>
      </c>
      <c r="AR71" s="29">
        <f t="shared" si="35"/>
        <v>8</v>
      </c>
      <c r="AS71" s="29">
        <f t="shared" si="36"/>
        <v>10</v>
      </c>
      <c r="AT71" s="29">
        <f t="shared" si="37"/>
        <v>13</v>
      </c>
      <c r="AU71" s="34">
        <f t="shared" si="38"/>
        <v>81</v>
      </c>
      <c r="AV71" s="19">
        <f t="shared" si="39"/>
        <v>37</v>
      </c>
    </row>
    <row r="72" spans="2:48">
      <c r="B72" s="21">
        <v>38</v>
      </c>
      <c r="C72" s="23">
        <v>4</v>
      </c>
      <c r="D72" s="22">
        <v>6</v>
      </c>
      <c r="E72" s="24">
        <f t="shared" si="22"/>
        <v>10</v>
      </c>
      <c r="F72" s="24">
        <f t="shared" si="22"/>
        <v>7</v>
      </c>
      <c r="G72" s="24">
        <f t="shared" si="22"/>
        <v>7</v>
      </c>
      <c r="H72" s="24">
        <f t="shared" si="22"/>
        <v>0</v>
      </c>
      <c r="I72" s="24">
        <f t="shared" si="22"/>
        <v>1</v>
      </c>
      <c r="J72" s="24">
        <f t="shared" si="22"/>
        <v>11</v>
      </c>
      <c r="K72" s="24">
        <f t="shared" si="22"/>
        <v>1</v>
      </c>
      <c r="L72" s="24">
        <f t="shared" si="22"/>
        <v>7</v>
      </c>
      <c r="M72" s="24">
        <f t="shared" si="22"/>
        <v>2</v>
      </c>
      <c r="N72" s="24">
        <f t="shared" si="22"/>
        <v>3</v>
      </c>
      <c r="O72" s="24">
        <f t="shared" si="22"/>
        <v>10</v>
      </c>
      <c r="P72" s="24">
        <f t="shared" si="22"/>
        <v>9</v>
      </c>
      <c r="Q72" s="24">
        <f t="shared" si="22"/>
        <v>11</v>
      </c>
      <c r="R72" s="24">
        <f t="shared" si="22"/>
        <v>14</v>
      </c>
      <c r="S72" s="25">
        <f t="shared" si="23"/>
        <v>3</v>
      </c>
      <c r="T72" s="25">
        <f t="shared" si="23"/>
        <v>4</v>
      </c>
      <c r="U72" s="25">
        <f t="shared" si="23"/>
        <v>10</v>
      </c>
      <c r="V72" s="25">
        <f t="shared" si="23"/>
        <v>11</v>
      </c>
      <c r="W72" s="25">
        <f t="shared" si="23"/>
        <v>10</v>
      </c>
      <c r="X72" s="25">
        <f t="shared" si="23"/>
        <v>0</v>
      </c>
      <c r="Y72" s="25">
        <f t="shared" si="23"/>
        <v>10</v>
      </c>
      <c r="Z72" s="25">
        <f t="shared" si="23"/>
        <v>4</v>
      </c>
      <c r="AA72" s="25">
        <f t="shared" si="23"/>
        <v>13</v>
      </c>
      <c r="AB72" s="25">
        <f t="shared" si="23"/>
        <v>12</v>
      </c>
      <c r="AC72" s="25">
        <f t="shared" si="23"/>
        <v>11</v>
      </c>
      <c r="AD72" s="25">
        <f t="shared" si="23"/>
        <v>8</v>
      </c>
      <c r="AE72" s="25">
        <f t="shared" si="23"/>
        <v>10</v>
      </c>
      <c r="AF72" s="25">
        <f t="shared" si="23"/>
        <v>9</v>
      </c>
      <c r="AG72" s="29">
        <f t="shared" si="24"/>
        <v>3</v>
      </c>
      <c r="AH72" s="29">
        <f t="shared" si="25"/>
        <v>4</v>
      </c>
      <c r="AI72" s="29">
        <f t="shared" si="26"/>
        <v>7</v>
      </c>
      <c r="AJ72" s="29">
        <f t="shared" si="27"/>
        <v>0</v>
      </c>
      <c r="AK72" s="29">
        <f t="shared" si="28"/>
        <v>1</v>
      </c>
      <c r="AL72" s="29">
        <f t="shared" si="29"/>
        <v>0</v>
      </c>
      <c r="AM72" s="29">
        <f t="shared" si="30"/>
        <v>1</v>
      </c>
      <c r="AN72" s="29">
        <f t="shared" si="31"/>
        <v>4</v>
      </c>
      <c r="AO72" s="29">
        <f t="shared" si="32"/>
        <v>2</v>
      </c>
      <c r="AP72" s="29">
        <f t="shared" si="33"/>
        <v>3</v>
      </c>
      <c r="AQ72" s="29">
        <f t="shared" si="34"/>
        <v>10</v>
      </c>
      <c r="AR72" s="29">
        <f t="shared" si="35"/>
        <v>8</v>
      </c>
      <c r="AS72" s="29">
        <f t="shared" si="36"/>
        <v>10</v>
      </c>
      <c r="AT72" s="29">
        <f t="shared" si="37"/>
        <v>9</v>
      </c>
      <c r="AU72" s="34">
        <f t="shared" si="38"/>
        <v>62</v>
      </c>
      <c r="AV72" s="19">
        <f t="shared" si="39"/>
        <v>38</v>
      </c>
    </row>
    <row r="73" spans="2:48">
      <c r="B73" s="21">
        <v>39</v>
      </c>
      <c r="C73" s="23">
        <v>4</v>
      </c>
      <c r="D73" s="22">
        <v>7</v>
      </c>
      <c r="E73" s="24">
        <f t="shared" si="22"/>
        <v>10</v>
      </c>
      <c r="F73" s="24">
        <f t="shared" si="22"/>
        <v>7</v>
      </c>
      <c r="G73" s="24">
        <f t="shared" si="22"/>
        <v>7</v>
      </c>
      <c r="H73" s="24">
        <f t="shared" si="22"/>
        <v>0</v>
      </c>
      <c r="I73" s="24">
        <f t="shared" si="22"/>
        <v>1</v>
      </c>
      <c r="J73" s="24">
        <f t="shared" si="22"/>
        <v>11</v>
      </c>
      <c r="K73" s="24">
        <f t="shared" si="22"/>
        <v>1</v>
      </c>
      <c r="L73" s="24">
        <f t="shared" si="22"/>
        <v>7</v>
      </c>
      <c r="M73" s="24">
        <f t="shared" si="22"/>
        <v>2</v>
      </c>
      <c r="N73" s="24">
        <f t="shared" si="22"/>
        <v>3</v>
      </c>
      <c r="O73" s="24">
        <f t="shared" si="22"/>
        <v>10</v>
      </c>
      <c r="P73" s="24">
        <f t="shared" si="22"/>
        <v>9</v>
      </c>
      <c r="Q73" s="24">
        <f t="shared" si="22"/>
        <v>11</v>
      </c>
      <c r="R73" s="24">
        <f t="shared" si="22"/>
        <v>14</v>
      </c>
      <c r="S73" s="25">
        <f t="shared" si="23"/>
        <v>9</v>
      </c>
      <c r="T73" s="25">
        <f t="shared" si="23"/>
        <v>6</v>
      </c>
      <c r="U73" s="25">
        <f t="shared" si="23"/>
        <v>6</v>
      </c>
      <c r="V73" s="25">
        <f t="shared" si="23"/>
        <v>1</v>
      </c>
      <c r="W73" s="25">
        <f t="shared" si="23"/>
        <v>0</v>
      </c>
      <c r="X73" s="25">
        <f t="shared" si="23"/>
        <v>10</v>
      </c>
      <c r="Y73" s="25">
        <f t="shared" si="23"/>
        <v>0</v>
      </c>
      <c r="Z73" s="25">
        <f t="shared" si="23"/>
        <v>6</v>
      </c>
      <c r="AA73" s="25">
        <f t="shared" si="23"/>
        <v>3</v>
      </c>
      <c r="AB73" s="25">
        <f t="shared" si="23"/>
        <v>2</v>
      </c>
      <c r="AC73" s="25">
        <f t="shared" si="23"/>
        <v>9</v>
      </c>
      <c r="AD73" s="25">
        <f t="shared" si="23"/>
        <v>8</v>
      </c>
      <c r="AE73" s="25">
        <f t="shared" si="23"/>
        <v>10</v>
      </c>
      <c r="AF73" s="25">
        <f t="shared" si="23"/>
        <v>13</v>
      </c>
      <c r="AG73" s="29">
        <f t="shared" si="24"/>
        <v>9</v>
      </c>
      <c r="AH73" s="29">
        <f t="shared" si="25"/>
        <v>6</v>
      </c>
      <c r="AI73" s="29">
        <f t="shared" si="26"/>
        <v>6</v>
      </c>
      <c r="AJ73" s="29">
        <f t="shared" si="27"/>
        <v>0</v>
      </c>
      <c r="AK73" s="29">
        <f t="shared" si="28"/>
        <v>0</v>
      </c>
      <c r="AL73" s="29">
        <f t="shared" si="29"/>
        <v>10</v>
      </c>
      <c r="AM73" s="29">
        <f t="shared" si="30"/>
        <v>0</v>
      </c>
      <c r="AN73" s="29">
        <f t="shared" si="31"/>
        <v>6</v>
      </c>
      <c r="AO73" s="29">
        <f t="shared" si="32"/>
        <v>2</v>
      </c>
      <c r="AP73" s="29">
        <f t="shared" si="33"/>
        <v>2</v>
      </c>
      <c r="AQ73" s="29">
        <f t="shared" si="34"/>
        <v>9</v>
      </c>
      <c r="AR73" s="29">
        <f t="shared" si="35"/>
        <v>8</v>
      </c>
      <c r="AS73" s="29">
        <f t="shared" si="36"/>
        <v>10</v>
      </c>
      <c r="AT73" s="29">
        <f t="shared" si="37"/>
        <v>13</v>
      </c>
      <c r="AU73" s="34">
        <f t="shared" si="38"/>
        <v>81</v>
      </c>
      <c r="AV73" s="19">
        <f t="shared" si="39"/>
        <v>39</v>
      </c>
    </row>
    <row r="74" spans="2:48">
      <c r="B74" s="21">
        <v>40</v>
      </c>
      <c r="C74" s="23">
        <v>4</v>
      </c>
      <c r="D74" s="22">
        <v>8</v>
      </c>
      <c r="E74" s="24">
        <f t="shared" si="22"/>
        <v>10</v>
      </c>
      <c r="F74" s="24">
        <f t="shared" si="22"/>
        <v>7</v>
      </c>
      <c r="G74" s="24">
        <f t="shared" si="22"/>
        <v>7</v>
      </c>
      <c r="H74" s="24">
        <f t="shared" si="22"/>
        <v>0</v>
      </c>
      <c r="I74" s="24">
        <f t="shared" si="22"/>
        <v>1</v>
      </c>
      <c r="J74" s="24">
        <f t="shared" si="22"/>
        <v>11</v>
      </c>
      <c r="K74" s="24">
        <f t="shared" si="22"/>
        <v>1</v>
      </c>
      <c r="L74" s="24">
        <f t="shared" si="22"/>
        <v>7</v>
      </c>
      <c r="M74" s="24">
        <f t="shared" si="22"/>
        <v>2</v>
      </c>
      <c r="N74" s="24">
        <f t="shared" si="22"/>
        <v>3</v>
      </c>
      <c r="O74" s="24">
        <f t="shared" si="22"/>
        <v>10</v>
      </c>
      <c r="P74" s="24">
        <f t="shared" si="22"/>
        <v>9</v>
      </c>
      <c r="Q74" s="24">
        <f t="shared" si="22"/>
        <v>11</v>
      </c>
      <c r="R74" s="24">
        <f t="shared" si="22"/>
        <v>14</v>
      </c>
      <c r="S74" s="25">
        <f t="shared" si="23"/>
        <v>5</v>
      </c>
      <c r="T74" s="25">
        <f t="shared" si="23"/>
        <v>4</v>
      </c>
      <c r="U74" s="25">
        <f t="shared" si="23"/>
        <v>6</v>
      </c>
      <c r="V74" s="25">
        <f t="shared" si="23"/>
        <v>7</v>
      </c>
      <c r="W74" s="25">
        <f t="shared" si="23"/>
        <v>6</v>
      </c>
      <c r="X74" s="25">
        <f t="shared" si="23"/>
        <v>4</v>
      </c>
      <c r="Y74" s="25">
        <f t="shared" si="23"/>
        <v>6</v>
      </c>
      <c r="Z74" s="25">
        <f t="shared" si="23"/>
        <v>0</v>
      </c>
      <c r="AA74" s="25">
        <f t="shared" si="23"/>
        <v>9</v>
      </c>
      <c r="AB74" s="25">
        <f t="shared" si="23"/>
        <v>8</v>
      </c>
      <c r="AC74" s="25">
        <f t="shared" si="23"/>
        <v>7</v>
      </c>
      <c r="AD74" s="25">
        <f t="shared" si="23"/>
        <v>6</v>
      </c>
      <c r="AE74" s="25">
        <f t="shared" si="23"/>
        <v>8</v>
      </c>
      <c r="AF74" s="25">
        <f t="shared" si="23"/>
        <v>11</v>
      </c>
      <c r="AG74" s="29">
        <f t="shared" si="24"/>
        <v>5</v>
      </c>
      <c r="AH74" s="29">
        <f t="shared" si="25"/>
        <v>4</v>
      </c>
      <c r="AI74" s="29">
        <f t="shared" si="26"/>
        <v>6</v>
      </c>
      <c r="AJ74" s="29">
        <f t="shared" si="27"/>
        <v>0</v>
      </c>
      <c r="AK74" s="29">
        <f t="shared" si="28"/>
        <v>1</v>
      </c>
      <c r="AL74" s="29">
        <f t="shared" si="29"/>
        <v>4</v>
      </c>
      <c r="AM74" s="29">
        <f t="shared" si="30"/>
        <v>1</v>
      </c>
      <c r="AN74" s="29">
        <f t="shared" si="31"/>
        <v>0</v>
      </c>
      <c r="AO74" s="29">
        <f t="shared" si="32"/>
        <v>2</v>
      </c>
      <c r="AP74" s="29">
        <f t="shared" si="33"/>
        <v>3</v>
      </c>
      <c r="AQ74" s="29">
        <f t="shared" si="34"/>
        <v>7</v>
      </c>
      <c r="AR74" s="29">
        <f t="shared" si="35"/>
        <v>6</v>
      </c>
      <c r="AS74" s="29">
        <f t="shared" si="36"/>
        <v>8</v>
      </c>
      <c r="AT74" s="29">
        <f t="shared" si="37"/>
        <v>11</v>
      </c>
      <c r="AU74" s="34">
        <f t="shared" si="38"/>
        <v>58</v>
      </c>
      <c r="AV74" s="19">
        <f t="shared" si="39"/>
        <v>40</v>
      </c>
    </row>
    <row r="75" spans="2:48">
      <c r="B75" s="21">
        <v>41</v>
      </c>
      <c r="C75" s="23">
        <v>4</v>
      </c>
      <c r="D75" s="22">
        <v>9</v>
      </c>
      <c r="E75" s="24">
        <f t="shared" ref="E75:R84" si="40">ABS(VLOOKUP($C75,$B$8:$D$21,2,0)-VLOOKUP(E$34,$B$8:$D$21,2,0))+ABS(VLOOKUP($C75,$B$8:$D$21,3,0)-VLOOKUP(E$34,$B$8:$D$21,3,0))</f>
        <v>10</v>
      </c>
      <c r="F75" s="24">
        <f t="shared" si="40"/>
        <v>7</v>
      </c>
      <c r="G75" s="24">
        <f t="shared" si="40"/>
        <v>7</v>
      </c>
      <c r="H75" s="24">
        <f t="shared" si="40"/>
        <v>0</v>
      </c>
      <c r="I75" s="24">
        <f t="shared" si="40"/>
        <v>1</v>
      </c>
      <c r="J75" s="24">
        <f t="shared" si="40"/>
        <v>11</v>
      </c>
      <c r="K75" s="24">
        <f t="shared" si="40"/>
        <v>1</v>
      </c>
      <c r="L75" s="24">
        <f t="shared" si="40"/>
        <v>7</v>
      </c>
      <c r="M75" s="24">
        <f t="shared" si="40"/>
        <v>2</v>
      </c>
      <c r="N75" s="24">
        <f t="shared" si="40"/>
        <v>3</v>
      </c>
      <c r="O75" s="24">
        <f t="shared" si="40"/>
        <v>10</v>
      </c>
      <c r="P75" s="24">
        <f t="shared" si="40"/>
        <v>9</v>
      </c>
      <c r="Q75" s="24">
        <f t="shared" si="40"/>
        <v>11</v>
      </c>
      <c r="R75" s="24">
        <f t="shared" si="40"/>
        <v>14</v>
      </c>
      <c r="S75" s="25">
        <f t="shared" ref="S75:AF84" si="41">ABS(VLOOKUP($D75,$B$8:$D$21,2,0)-VLOOKUP(S$34,$B$8:$D$21,2,0))+ABS(VLOOKUP($D75,$B$8:$D$21,3,0)-VLOOKUP(S$34,$B$8:$D$21,3,0))</f>
        <v>12</v>
      </c>
      <c r="T75" s="25">
        <f t="shared" si="41"/>
        <v>9</v>
      </c>
      <c r="U75" s="25">
        <f t="shared" si="41"/>
        <v>7</v>
      </c>
      <c r="V75" s="25">
        <f t="shared" si="41"/>
        <v>2</v>
      </c>
      <c r="W75" s="25">
        <f t="shared" si="41"/>
        <v>3</v>
      </c>
      <c r="X75" s="25">
        <f t="shared" si="41"/>
        <v>13</v>
      </c>
      <c r="Y75" s="25">
        <f t="shared" si="41"/>
        <v>3</v>
      </c>
      <c r="Z75" s="25">
        <f t="shared" si="41"/>
        <v>9</v>
      </c>
      <c r="AA75" s="25">
        <f t="shared" si="41"/>
        <v>0</v>
      </c>
      <c r="AB75" s="25">
        <f t="shared" si="41"/>
        <v>3</v>
      </c>
      <c r="AC75" s="25">
        <f t="shared" si="41"/>
        <v>10</v>
      </c>
      <c r="AD75" s="25">
        <f t="shared" si="41"/>
        <v>9</v>
      </c>
      <c r="AE75" s="25">
        <f t="shared" si="41"/>
        <v>11</v>
      </c>
      <c r="AF75" s="25">
        <f t="shared" si="41"/>
        <v>14</v>
      </c>
      <c r="AG75" s="29">
        <f t="shared" si="24"/>
        <v>10</v>
      </c>
      <c r="AH75" s="29">
        <f t="shared" si="25"/>
        <v>7</v>
      </c>
      <c r="AI75" s="29">
        <f t="shared" si="26"/>
        <v>7</v>
      </c>
      <c r="AJ75" s="29">
        <f t="shared" si="27"/>
        <v>0</v>
      </c>
      <c r="AK75" s="29">
        <f t="shared" si="28"/>
        <v>1</v>
      </c>
      <c r="AL75" s="29">
        <f t="shared" si="29"/>
        <v>11</v>
      </c>
      <c r="AM75" s="29">
        <f t="shared" si="30"/>
        <v>1</v>
      </c>
      <c r="AN75" s="29">
        <f t="shared" si="31"/>
        <v>7</v>
      </c>
      <c r="AO75" s="29">
        <f t="shared" si="32"/>
        <v>0</v>
      </c>
      <c r="AP75" s="29">
        <f t="shared" si="33"/>
        <v>3</v>
      </c>
      <c r="AQ75" s="29">
        <f t="shared" si="34"/>
        <v>10</v>
      </c>
      <c r="AR75" s="29">
        <f t="shared" si="35"/>
        <v>9</v>
      </c>
      <c r="AS75" s="29">
        <f t="shared" si="36"/>
        <v>11</v>
      </c>
      <c r="AT75" s="29">
        <f t="shared" si="37"/>
        <v>14</v>
      </c>
      <c r="AU75" s="34">
        <f t="shared" si="38"/>
        <v>91</v>
      </c>
      <c r="AV75" s="19">
        <f t="shared" si="39"/>
        <v>41</v>
      </c>
    </row>
    <row r="76" spans="2:48">
      <c r="B76" s="21">
        <v>42</v>
      </c>
      <c r="C76" s="23">
        <v>4</v>
      </c>
      <c r="D76" s="22">
        <v>10</v>
      </c>
      <c r="E76" s="24">
        <f t="shared" si="40"/>
        <v>10</v>
      </c>
      <c r="F76" s="24">
        <f t="shared" si="40"/>
        <v>7</v>
      </c>
      <c r="G76" s="24">
        <f t="shared" si="40"/>
        <v>7</v>
      </c>
      <c r="H76" s="24">
        <f t="shared" si="40"/>
        <v>0</v>
      </c>
      <c r="I76" s="24">
        <f t="shared" si="40"/>
        <v>1</v>
      </c>
      <c r="J76" s="24">
        <f t="shared" si="40"/>
        <v>11</v>
      </c>
      <c r="K76" s="24">
        <f t="shared" si="40"/>
        <v>1</v>
      </c>
      <c r="L76" s="24">
        <f t="shared" si="40"/>
        <v>7</v>
      </c>
      <c r="M76" s="24">
        <f t="shared" si="40"/>
        <v>2</v>
      </c>
      <c r="N76" s="24">
        <f t="shared" si="40"/>
        <v>3</v>
      </c>
      <c r="O76" s="24">
        <f t="shared" si="40"/>
        <v>10</v>
      </c>
      <c r="P76" s="24">
        <f t="shared" si="40"/>
        <v>9</v>
      </c>
      <c r="Q76" s="24">
        <f t="shared" si="40"/>
        <v>11</v>
      </c>
      <c r="R76" s="24">
        <f t="shared" si="40"/>
        <v>14</v>
      </c>
      <c r="S76" s="25">
        <f t="shared" si="41"/>
        <v>11</v>
      </c>
      <c r="T76" s="25">
        <f t="shared" si="41"/>
        <v>8</v>
      </c>
      <c r="U76" s="25">
        <f t="shared" si="41"/>
        <v>4</v>
      </c>
      <c r="V76" s="25">
        <f t="shared" si="41"/>
        <v>3</v>
      </c>
      <c r="W76" s="25">
        <f t="shared" si="41"/>
        <v>2</v>
      </c>
      <c r="X76" s="25">
        <f t="shared" si="41"/>
        <v>12</v>
      </c>
      <c r="Y76" s="25">
        <f t="shared" si="41"/>
        <v>2</v>
      </c>
      <c r="Z76" s="25">
        <f t="shared" si="41"/>
        <v>8</v>
      </c>
      <c r="AA76" s="25">
        <f t="shared" si="41"/>
        <v>3</v>
      </c>
      <c r="AB76" s="25">
        <f t="shared" si="41"/>
        <v>0</v>
      </c>
      <c r="AC76" s="25">
        <f t="shared" si="41"/>
        <v>7</v>
      </c>
      <c r="AD76" s="25">
        <f t="shared" si="41"/>
        <v>6</v>
      </c>
      <c r="AE76" s="25">
        <f t="shared" si="41"/>
        <v>8</v>
      </c>
      <c r="AF76" s="25">
        <f t="shared" si="41"/>
        <v>11</v>
      </c>
      <c r="AG76" s="29">
        <f t="shared" si="24"/>
        <v>10</v>
      </c>
      <c r="AH76" s="29">
        <f t="shared" si="25"/>
        <v>7</v>
      </c>
      <c r="AI76" s="29">
        <f t="shared" si="26"/>
        <v>4</v>
      </c>
      <c r="AJ76" s="29">
        <f t="shared" si="27"/>
        <v>0</v>
      </c>
      <c r="AK76" s="29">
        <f t="shared" si="28"/>
        <v>1</v>
      </c>
      <c r="AL76" s="29">
        <f t="shared" si="29"/>
        <v>11</v>
      </c>
      <c r="AM76" s="29">
        <f t="shared" si="30"/>
        <v>1</v>
      </c>
      <c r="AN76" s="29">
        <f t="shared" si="31"/>
        <v>7</v>
      </c>
      <c r="AO76" s="29">
        <f t="shared" si="32"/>
        <v>2</v>
      </c>
      <c r="AP76" s="29">
        <f t="shared" si="33"/>
        <v>0</v>
      </c>
      <c r="AQ76" s="29">
        <f t="shared" si="34"/>
        <v>7</v>
      </c>
      <c r="AR76" s="29">
        <f t="shared" si="35"/>
        <v>6</v>
      </c>
      <c r="AS76" s="29">
        <f t="shared" si="36"/>
        <v>8</v>
      </c>
      <c r="AT76" s="29">
        <f t="shared" si="37"/>
        <v>11</v>
      </c>
      <c r="AU76" s="34">
        <f t="shared" si="38"/>
        <v>75</v>
      </c>
      <c r="AV76" s="19">
        <f t="shared" si="39"/>
        <v>42</v>
      </c>
    </row>
    <row r="77" spans="2:48">
      <c r="B77" s="21">
        <v>43</v>
      </c>
      <c r="C77" s="23">
        <v>4</v>
      </c>
      <c r="D77" s="22">
        <v>11</v>
      </c>
      <c r="E77" s="24">
        <f t="shared" si="40"/>
        <v>10</v>
      </c>
      <c r="F77" s="24">
        <f t="shared" si="40"/>
        <v>7</v>
      </c>
      <c r="G77" s="24">
        <f t="shared" si="40"/>
        <v>7</v>
      </c>
      <c r="H77" s="24">
        <f t="shared" si="40"/>
        <v>0</v>
      </c>
      <c r="I77" s="24">
        <f t="shared" si="40"/>
        <v>1</v>
      </c>
      <c r="J77" s="24">
        <f t="shared" si="40"/>
        <v>11</v>
      </c>
      <c r="K77" s="24">
        <f t="shared" si="40"/>
        <v>1</v>
      </c>
      <c r="L77" s="24">
        <f t="shared" si="40"/>
        <v>7</v>
      </c>
      <c r="M77" s="24">
        <f t="shared" si="40"/>
        <v>2</v>
      </c>
      <c r="N77" s="24">
        <f t="shared" si="40"/>
        <v>3</v>
      </c>
      <c r="O77" s="24">
        <f t="shared" si="40"/>
        <v>10</v>
      </c>
      <c r="P77" s="24">
        <f t="shared" si="40"/>
        <v>9</v>
      </c>
      <c r="Q77" s="24">
        <f t="shared" si="40"/>
        <v>11</v>
      </c>
      <c r="R77" s="24">
        <f t="shared" si="40"/>
        <v>14</v>
      </c>
      <c r="S77" s="25">
        <f t="shared" si="41"/>
        <v>10</v>
      </c>
      <c r="T77" s="25">
        <f t="shared" si="41"/>
        <v>7</v>
      </c>
      <c r="U77" s="25">
        <f t="shared" si="41"/>
        <v>3</v>
      </c>
      <c r="V77" s="25">
        <f t="shared" si="41"/>
        <v>10</v>
      </c>
      <c r="W77" s="25">
        <f t="shared" si="41"/>
        <v>9</v>
      </c>
      <c r="X77" s="25">
        <f t="shared" si="41"/>
        <v>11</v>
      </c>
      <c r="Y77" s="25">
        <f t="shared" si="41"/>
        <v>9</v>
      </c>
      <c r="Z77" s="25">
        <f t="shared" si="41"/>
        <v>7</v>
      </c>
      <c r="AA77" s="25">
        <f t="shared" si="41"/>
        <v>10</v>
      </c>
      <c r="AB77" s="25">
        <f t="shared" si="41"/>
        <v>7</v>
      </c>
      <c r="AC77" s="25">
        <f t="shared" si="41"/>
        <v>0</v>
      </c>
      <c r="AD77" s="25">
        <f t="shared" si="41"/>
        <v>3</v>
      </c>
      <c r="AE77" s="25">
        <f t="shared" si="41"/>
        <v>1</v>
      </c>
      <c r="AF77" s="25">
        <f t="shared" si="41"/>
        <v>4</v>
      </c>
      <c r="AG77" s="29">
        <f t="shared" si="24"/>
        <v>10</v>
      </c>
      <c r="AH77" s="29">
        <f t="shared" si="25"/>
        <v>7</v>
      </c>
      <c r="AI77" s="29">
        <f t="shared" si="26"/>
        <v>3</v>
      </c>
      <c r="AJ77" s="29">
        <f t="shared" si="27"/>
        <v>0</v>
      </c>
      <c r="AK77" s="29">
        <f t="shared" si="28"/>
        <v>1</v>
      </c>
      <c r="AL77" s="29">
        <f t="shared" si="29"/>
        <v>11</v>
      </c>
      <c r="AM77" s="29">
        <f t="shared" si="30"/>
        <v>1</v>
      </c>
      <c r="AN77" s="29">
        <f t="shared" si="31"/>
        <v>7</v>
      </c>
      <c r="AO77" s="29">
        <f t="shared" si="32"/>
        <v>2</v>
      </c>
      <c r="AP77" s="29">
        <f t="shared" si="33"/>
        <v>3</v>
      </c>
      <c r="AQ77" s="29">
        <f t="shared" si="34"/>
        <v>0</v>
      </c>
      <c r="AR77" s="29">
        <f t="shared" si="35"/>
        <v>3</v>
      </c>
      <c r="AS77" s="29">
        <f t="shared" si="36"/>
        <v>1</v>
      </c>
      <c r="AT77" s="29">
        <f t="shared" si="37"/>
        <v>4</v>
      </c>
      <c r="AU77" s="34">
        <f t="shared" si="38"/>
        <v>53</v>
      </c>
      <c r="AV77" s="19">
        <f t="shared" si="39"/>
        <v>43</v>
      </c>
    </row>
    <row r="78" spans="2:48">
      <c r="B78" s="21">
        <v>44</v>
      </c>
      <c r="C78" s="23">
        <v>4</v>
      </c>
      <c r="D78" s="22">
        <v>12</v>
      </c>
      <c r="E78" s="24">
        <f t="shared" si="40"/>
        <v>10</v>
      </c>
      <c r="F78" s="24">
        <f t="shared" si="40"/>
        <v>7</v>
      </c>
      <c r="G78" s="24">
        <f t="shared" si="40"/>
        <v>7</v>
      </c>
      <c r="H78" s="24">
        <f t="shared" si="40"/>
        <v>0</v>
      </c>
      <c r="I78" s="24">
        <f t="shared" si="40"/>
        <v>1</v>
      </c>
      <c r="J78" s="24">
        <f t="shared" si="40"/>
        <v>11</v>
      </c>
      <c r="K78" s="24">
        <f t="shared" si="40"/>
        <v>1</v>
      </c>
      <c r="L78" s="24">
        <f t="shared" si="40"/>
        <v>7</v>
      </c>
      <c r="M78" s="24">
        <f t="shared" si="40"/>
        <v>2</v>
      </c>
      <c r="N78" s="24">
        <f t="shared" si="40"/>
        <v>3</v>
      </c>
      <c r="O78" s="24">
        <f t="shared" si="40"/>
        <v>10</v>
      </c>
      <c r="P78" s="24">
        <f t="shared" si="40"/>
        <v>9</v>
      </c>
      <c r="Q78" s="24">
        <f t="shared" si="40"/>
        <v>11</v>
      </c>
      <c r="R78" s="24">
        <f t="shared" si="40"/>
        <v>14</v>
      </c>
      <c r="S78" s="25">
        <f t="shared" si="41"/>
        <v>7</v>
      </c>
      <c r="T78" s="25">
        <f t="shared" si="41"/>
        <v>4</v>
      </c>
      <c r="U78" s="25">
        <f t="shared" si="41"/>
        <v>2</v>
      </c>
      <c r="V78" s="25">
        <f t="shared" si="41"/>
        <v>9</v>
      </c>
      <c r="W78" s="25">
        <f t="shared" si="41"/>
        <v>8</v>
      </c>
      <c r="X78" s="25">
        <f t="shared" si="41"/>
        <v>8</v>
      </c>
      <c r="Y78" s="25">
        <f t="shared" si="41"/>
        <v>8</v>
      </c>
      <c r="Z78" s="25">
        <f t="shared" si="41"/>
        <v>6</v>
      </c>
      <c r="AA78" s="25">
        <f t="shared" si="41"/>
        <v>9</v>
      </c>
      <c r="AB78" s="25">
        <f t="shared" si="41"/>
        <v>6</v>
      </c>
      <c r="AC78" s="25">
        <f t="shared" si="41"/>
        <v>3</v>
      </c>
      <c r="AD78" s="25">
        <f t="shared" si="41"/>
        <v>0</v>
      </c>
      <c r="AE78" s="25">
        <f t="shared" si="41"/>
        <v>2</v>
      </c>
      <c r="AF78" s="25">
        <f t="shared" si="41"/>
        <v>5</v>
      </c>
      <c r="AG78" s="29">
        <f t="shared" si="24"/>
        <v>7</v>
      </c>
      <c r="AH78" s="29">
        <f t="shared" si="25"/>
        <v>4</v>
      </c>
      <c r="AI78" s="29">
        <f t="shared" si="26"/>
        <v>2</v>
      </c>
      <c r="AJ78" s="29">
        <f t="shared" si="27"/>
        <v>0</v>
      </c>
      <c r="AK78" s="29">
        <f t="shared" si="28"/>
        <v>1</v>
      </c>
      <c r="AL78" s="29">
        <f t="shared" si="29"/>
        <v>8</v>
      </c>
      <c r="AM78" s="29">
        <f t="shared" si="30"/>
        <v>1</v>
      </c>
      <c r="AN78" s="29">
        <f t="shared" si="31"/>
        <v>6</v>
      </c>
      <c r="AO78" s="29">
        <f t="shared" si="32"/>
        <v>2</v>
      </c>
      <c r="AP78" s="29">
        <f t="shared" si="33"/>
        <v>3</v>
      </c>
      <c r="AQ78" s="29">
        <f t="shared" si="34"/>
        <v>3</v>
      </c>
      <c r="AR78" s="29">
        <f t="shared" si="35"/>
        <v>0</v>
      </c>
      <c r="AS78" s="29">
        <f t="shared" si="36"/>
        <v>2</v>
      </c>
      <c r="AT78" s="29">
        <f t="shared" si="37"/>
        <v>5</v>
      </c>
      <c r="AU78" s="34">
        <f t="shared" si="38"/>
        <v>44</v>
      </c>
      <c r="AV78" s="19">
        <f t="shared" si="39"/>
        <v>44</v>
      </c>
    </row>
    <row r="79" spans="2:48">
      <c r="B79" s="21">
        <v>45</v>
      </c>
      <c r="C79" s="23">
        <v>4</v>
      </c>
      <c r="D79" s="22">
        <v>13</v>
      </c>
      <c r="E79" s="24">
        <f t="shared" si="40"/>
        <v>10</v>
      </c>
      <c r="F79" s="24">
        <f t="shared" si="40"/>
        <v>7</v>
      </c>
      <c r="G79" s="24">
        <f t="shared" si="40"/>
        <v>7</v>
      </c>
      <c r="H79" s="24">
        <f t="shared" si="40"/>
        <v>0</v>
      </c>
      <c r="I79" s="24">
        <f t="shared" si="40"/>
        <v>1</v>
      </c>
      <c r="J79" s="24">
        <f t="shared" si="40"/>
        <v>11</v>
      </c>
      <c r="K79" s="24">
        <f t="shared" si="40"/>
        <v>1</v>
      </c>
      <c r="L79" s="24">
        <f t="shared" si="40"/>
        <v>7</v>
      </c>
      <c r="M79" s="24">
        <f t="shared" si="40"/>
        <v>2</v>
      </c>
      <c r="N79" s="24">
        <f t="shared" si="40"/>
        <v>3</v>
      </c>
      <c r="O79" s="24">
        <f t="shared" si="40"/>
        <v>10</v>
      </c>
      <c r="P79" s="24">
        <f t="shared" si="40"/>
        <v>9</v>
      </c>
      <c r="Q79" s="24">
        <f t="shared" si="40"/>
        <v>11</v>
      </c>
      <c r="R79" s="24">
        <f t="shared" si="40"/>
        <v>14</v>
      </c>
      <c r="S79" s="25">
        <f t="shared" si="41"/>
        <v>9</v>
      </c>
      <c r="T79" s="25">
        <f t="shared" si="41"/>
        <v>6</v>
      </c>
      <c r="U79" s="25">
        <f t="shared" si="41"/>
        <v>4</v>
      </c>
      <c r="V79" s="25">
        <f t="shared" si="41"/>
        <v>11</v>
      </c>
      <c r="W79" s="25">
        <f t="shared" si="41"/>
        <v>10</v>
      </c>
      <c r="X79" s="25">
        <f t="shared" si="41"/>
        <v>10</v>
      </c>
      <c r="Y79" s="25">
        <f t="shared" si="41"/>
        <v>10</v>
      </c>
      <c r="Z79" s="25">
        <f t="shared" si="41"/>
        <v>8</v>
      </c>
      <c r="AA79" s="25">
        <f t="shared" si="41"/>
        <v>11</v>
      </c>
      <c r="AB79" s="25">
        <f t="shared" si="41"/>
        <v>8</v>
      </c>
      <c r="AC79" s="25">
        <f t="shared" si="41"/>
        <v>1</v>
      </c>
      <c r="AD79" s="25">
        <f t="shared" si="41"/>
        <v>2</v>
      </c>
      <c r="AE79" s="25">
        <f t="shared" si="41"/>
        <v>0</v>
      </c>
      <c r="AF79" s="25">
        <f t="shared" si="41"/>
        <v>3</v>
      </c>
      <c r="AG79" s="29">
        <f t="shared" si="24"/>
        <v>9</v>
      </c>
      <c r="AH79" s="29">
        <f t="shared" si="25"/>
        <v>6</v>
      </c>
      <c r="AI79" s="29">
        <f t="shared" si="26"/>
        <v>4</v>
      </c>
      <c r="AJ79" s="29">
        <f t="shared" si="27"/>
        <v>0</v>
      </c>
      <c r="AK79" s="29">
        <f t="shared" si="28"/>
        <v>1</v>
      </c>
      <c r="AL79" s="29">
        <f t="shared" si="29"/>
        <v>10</v>
      </c>
      <c r="AM79" s="29">
        <f t="shared" si="30"/>
        <v>1</v>
      </c>
      <c r="AN79" s="29">
        <f t="shared" si="31"/>
        <v>7</v>
      </c>
      <c r="AO79" s="29">
        <f t="shared" si="32"/>
        <v>2</v>
      </c>
      <c r="AP79" s="29">
        <f t="shared" si="33"/>
        <v>3</v>
      </c>
      <c r="AQ79" s="29">
        <f t="shared" si="34"/>
        <v>1</v>
      </c>
      <c r="AR79" s="29">
        <f t="shared" si="35"/>
        <v>2</v>
      </c>
      <c r="AS79" s="29">
        <f t="shared" si="36"/>
        <v>0</v>
      </c>
      <c r="AT79" s="29">
        <f t="shared" si="37"/>
        <v>3</v>
      </c>
      <c r="AU79" s="34">
        <f t="shared" si="38"/>
        <v>49</v>
      </c>
      <c r="AV79" s="19">
        <f t="shared" si="39"/>
        <v>45</v>
      </c>
    </row>
    <row r="80" spans="2:48">
      <c r="B80" s="21">
        <v>46</v>
      </c>
      <c r="C80" s="23">
        <v>4</v>
      </c>
      <c r="D80" s="22">
        <v>14</v>
      </c>
      <c r="E80" s="24">
        <f t="shared" si="40"/>
        <v>10</v>
      </c>
      <c r="F80" s="24">
        <f t="shared" si="40"/>
        <v>7</v>
      </c>
      <c r="G80" s="24">
        <f t="shared" si="40"/>
        <v>7</v>
      </c>
      <c r="H80" s="24">
        <f t="shared" si="40"/>
        <v>0</v>
      </c>
      <c r="I80" s="24">
        <f t="shared" si="40"/>
        <v>1</v>
      </c>
      <c r="J80" s="24">
        <f t="shared" si="40"/>
        <v>11</v>
      </c>
      <c r="K80" s="24">
        <f t="shared" si="40"/>
        <v>1</v>
      </c>
      <c r="L80" s="24">
        <f t="shared" si="40"/>
        <v>7</v>
      </c>
      <c r="M80" s="24">
        <f t="shared" si="40"/>
        <v>2</v>
      </c>
      <c r="N80" s="24">
        <f t="shared" si="40"/>
        <v>3</v>
      </c>
      <c r="O80" s="24">
        <f t="shared" si="40"/>
        <v>10</v>
      </c>
      <c r="P80" s="24">
        <f t="shared" si="40"/>
        <v>9</v>
      </c>
      <c r="Q80" s="24">
        <f t="shared" si="40"/>
        <v>11</v>
      </c>
      <c r="R80" s="24">
        <f t="shared" si="40"/>
        <v>14</v>
      </c>
      <c r="S80" s="25">
        <f t="shared" si="41"/>
        <v>6</v>
      </c>
      <c r="T80" s="25">
        <f t="shared" si="41"/>
        <v>7</v>
      </c>
      <c r="U80" s="25">
        <f t="shared" si="41"/>
        <v>7</v>
      </c>
      <c r="V80" s="25">
        <f t="shared" si="41"/>
        <v>14</v>
      </c>
      <c r="W80" s="25">
        <f t="shared" si="41"/>
        <v>13</v>
      </c>
      <c r="X80" s="25">
        <f t="shared" si="41"/>
        <v>9</v>
      </c>
      <c r="Y80" s="25">
        <f t="shared" si="41"/>
        <v>13</v>
      </c>
      <c r="Z80" s="25">
        <f t="shared" si="41"/>
        <v>11</v>
      </c>
      <c r="AA80" s="25">
        <f t="shared" si="41"/>
        <v>14</v>
      </c>
      <c r="AB80" s="25">
        <f t="shared" si="41"/>
        <v>11</v>
      </c>
      <c r="AC80" s="25">
        <f t="shared" si="41"/>
        <v>4</v>
      </c>
      <c r="AD80" s="25">
        <f t="shared" si="41"/>
        <v>5</v>
      </c>
      <c r="AE80" s="25">
        <f t="shared" si="41"/>
        <v>3</v>
      </c>
      <c r="AF80" s="25">
        <f t="shared" si="41"/>
        <v>0</v>
      </c>
      <c r="AG80" s="29">
        <f t="shared" si="24"/>
        <v>6</v>
      </c>
      <c r="AH80" s="29">
        <f t="shared" si="25"/>
        <v>7</v>
      </c>
      <c r="AI80" s="29">
        <f t="shared" si="26"/>
        <v>7</v>
      </c>
      <c r="AJ80" s="29">
        <f t="shared" si="27"/>
        <v>0</v>
      </c>
      <c r="AK80" s="29">
        <f t="shared" si="28"/>
        <v>1</v>
      </c>
      <c r="AL80" s="29">
        <f t="shared" si="29"/>
        <v>9</v>
      </c>
      <c r="AM80" s="29">
        <f t="shared" si="30"/>
        <v>1</v>
      </c>
      <c r="AN80" s="29">
        <f t="shared" si="31"/>
        <v>7</v>
      </c>
      <c r="AO80" s="29">
        <f t="shared" si="32"/>
        <v>2</v>
      </c>
      <c r="AP80" s="29">
        <f t="shared" si="33"/>
        <v>3</v>
      </c>
      <c r="AQ80" s="29">
        <f t="shared" si="34"/>
        <v>4</v>
      </c>
      <c r="AR80" s="29">
        <f t="shared" si="35"/>
        <v>5</v>
      </c>
      <c r="AS80" s="29">
        <f t="shared" si="36"/>
        <v>3</v>
      </c>
      <c r="AT80" s="29">
        <f t="shared" si="37"/>
        <v>0</v>
      </c>
      <c r="AU80" s="34">
        <f t="shared" si="38"/>
        <v>55</v>
      </c>
      <c r="AV80" s="19">
        <f t="shared" si="39"/>
        <v>46</v>
      </c>
    </row>
    <row r="81" spans="2:48">
      <c r="B81" s="21">
        <v>47</v>
      </c>
      <c r="C81" s="23">
        <v>5</v>
      </c>
      <c r="D81" s="22">
        <v>6</v>
      </c>
      <c r="E81" s="24">
        <f t="shared" si="40"/>
        <v>9</v>
      </c>
      <c r="F81" s="24">
        <f t="shared" si="40"/>
        <v>6</v>
      </c>
      <c r="G81" s="24">
        <f t="shared" si="40"/>
        <v>6</v>
      </c>
      <c r="H81" s="24">
        <f t="shared" si="40"/>
        <v>1</v>
      </c>
      <c r="I81" s="24">
        <f t="shared" si="40"/>
        <v>0</v>
      </c>
      <c r="J81" s="24">
        <f t="shared" si="40"/>
        <v>10</v>
      </c>
      <c r="K81" s="24">
        <f t="shared" si="40"/>
        <v>0</v>
      </c>
      <c r="L81" s="24">
        <f t="shared" si="40"/>
        <v>6</v>
      </c>
      <c r="M81" s="24">
        <f t="shared" si="40"/>
        <v>3</v>
      </c>
      <c r="N81" s="24">
        <f t="shared" si="40"/>
        <v>2</v>
      </c>
      <c r="O81" s="24">
        <f t="shared" si="40"/>
        <v>9</v>
      </c>
      <c r="P81" s="24">
        <f t="shared" si="40"/>
        <v>8</v>
      </c>
      <c r="Q81" s="24">
        <f t="shared" si="40"/>
        <v>10</v>
      </c>
      <c r="R81" s="24">
        <f t="shared" si="40"/>
        <v>13</v>
      </c>
      <c r="S81" s="25">
        <f t="shared" si="41"/>
        <v>3</v>
      </c>
      <c r="T81" s="25">
        <f t="shared" si="41"/>
        <v>4</v>
      </c>
      <c r="U81" s="25">
        <f t="shared" si="41"/>
        <v>10</v>
      </c>
      <c r="V81" s="25">
        <f t="shared" si="41"/>
        <v>11</v>
      </c>
      <c r="W81" s="25">
        <f t="shared" si="41"/>
        <v>10</v>
      </c>
      <c r="X81" s="25">
        <f t="shared" si="41"/>
        <v>0</v>
      </c>
      <c r="Y81" s="25">
        <f t="shared" si="41"/>
        <v>10</v>
      </c>
      <c r="Z81" s="25">
        <f t="shared" si="41"/>
        <v>4</v>
      </c>
      <c r="AA81" s="25">
        <f t="shared" si="41"/>
        <v>13</v>
      </c>
      <c r="AB81" s="25">
        <f t="shared" si="41"/>
        <v>12</v>
      </c>
      <c r="AC81" s="25">
        <f t="shared" si="41"/>
        <v>11</v>
      </c>
      <c r="AD81" s="25">
        <f t="shared" si="41"/>
        <v>8</v>
      </c>
      <c r="AE81" s="25">
        <f t="shared" si="41"/>
        <v>10</v>
      </c>
      <c r="AF81" s="25">
        <f t="shared" si="41"/>
        <v>9</v>
      </c>
      <c r="AG81" s="29">
        <f t="shared" si="24"/>
        <v>3</v>
      </c>
      <c r="AH81" s="29">
        <f t="shared" si="25"/>
        <v>4</v>
      </c>
      <c r="AI81" s="29">
        <f t="shared" si="26"/>
        <v>6</v>
      </c>
      <c r="AJ81" s="29">
        <f t="shared" si="27"/>
        <v>1</v>
      </c>
      <c r="AK81" s="29">
        <f t="shared" si="28"/>
        <v>0</v>
      </c>
      <c r="AL81" s="29">
        <f t="shared" si="29"/>
        <v>0</v>
      </c>
      <c r="AM81" s="29">
        <f t="shared" si="30"/>
        <v>0</v>
      </c>
      <c r="AN81" s="29">
        <f t="shared" si="31"/>
        <v>4</v>
      </c>
      <c r="AO81" s="29">
        <f t="shared" si="32"/>
        <v>3</v>
      </c>
      <c r="AP81" s="29">
        <f t="shared" si="33"/>
        <v>2</v>
      </c>
      <c r="AQ81" s="29">
        <f t="shared" si="34"/>
        <v>9</v>
      </c>
      <c r="AR81" s="29">
        <f t="shared" si="35"/>
        <v>8</v>
      </c>
      <c r="AS81" s="29">
        <f t="shared" si="36"/>
        <v>10</v>
      </c>
      <c r="AT81" s="29">
        <f t="shared" si="37"/>
        <v>9</v>
      </c>
      <c r="AU81" s="34">
        <f t="shared" si="38"/>
        <v>59</v>
      </c>
      <c r="AV81" s="19">
        <f t="shared" si="39"/>
        <v>47</v>
      </c>
    </row>
    <row r="82" spans="2:48">
      <c r="B82" s="21">
        <v>48</v>
      </c>
      <c r="C82" s="23">
        <v>5</v>
      </c>
      <c r="D82" s="22">
        <v>7</v>
      </c>
      <c r="E82" s="24">
        <f t="shared" si="40"/>
        <v>9</v>
      </c>
      <c r="F82" s="24">
        <f t="shared" si="40"/>
        <v>6</v>
      </c>
      <c r="G82" s="24">
        <f t="shared" si="40"/>
        <v>6</v>
      </c>
      <c r="H82" s="24">
        <f t="shared" si="40"/>
        <v>1</v>
      </c>
      <c r="I82" s="24">
        <f t="shared" si="40"/>
        <v>0</v>
      </c>
      <c r="J82" s="24">
        <f t="shared" si="40"/>
        <v>10</v>
      </c>
      <c r="K82" s="24">
        <f t="shared" si="40"/>
        <v>0</v>
      </c>
      <c r="L82" s="24">
        <f t="shared" si="40"/>
        <v>6</v>
      </c>
      <c r="M82" s="24">
        <f t="shared" si="40"/>
        <v>3</v>
      </c>
      <c r="N82" s="24">
        <f t="shared" si="40"/>
        <v>2</v>
      </c>
      <c r="O82" s="24">
        <f t="shared" si="40"/>
        <v>9</v>
      </c>
      <c r="P82" s="24">
        <f t="shared" si="40"/>
        <v>8</v>
      </c>
      <c r="Q82" s="24">
        <f t="shared" si="40"/>
        <v>10</v>
      </c>
      <c r="R82" s="24">
        <f t="shared" si="40"/>
        <v>13</v>
      </c>
      <c r="S82" s="25">
        <f t="shared" si="41"/>
        <v>9</v>
      </c>
      <c r="T82" s="25">
        <f t="shared" si="41"/>
        <v>6</v>
      </c>
      <c r="U82" s="25">
        <f t="shared" si="41"/>
        <v>6</v>
      </c>
      <c r="V82" s="25">
        <f t="shared" si="41"/>
        <v>1</v>
      </c>
      <c r="W82" s="25">
        <f t="shared" si="41"/>
        <v>0</v>
      </c>
      <c r="X82" s="25">
        <f t="shared" si="41"/>
        <v>10</v>
      </c>
      <c r="Y82" s="25">
        <f t="shared" si="41"/>
        <v>0</v>
      </c>
      <c r="Z82" s="25">
        <f t="shared" si="41"/>
        <v>6</v>
      </c>
      <c r="AA82" s="25">
        <f t="shared" si="41"/>
        <v>3</v>
      </c>
      <c r="AB82" s="25">
        <f t="shared" si="41"/>
        <v>2</v>
      </c>
      <c r="AC82" s="25">
        <f t="shared" si="41"/>
        <v>9</v>
      </c>
      <c r="AD82" s="25">
        <f t="shared" si="41"/>
        <v>8</v>
      </c>
      <c r="AE82" s="25">
        <f t="shared" si="41"/>
        <v>10</v>
      </c>
      <c r="AF82" s="25">
        <f t="shared" si="41"/>
        <v>13</v>
      </c>
      <c r="AG82" s="29">
        <f t="shared" si="24"/>
        <v>9</v>
      </c>
      <c r="AH82" s="29">
        <f t="shared" si="25"/>
        <v>6</v>
      </c>
      <c r="AI82" s="29">
        <f t="shared" si="26"/>
        <v>6</v>
      </c>
      <c r="AJ82" s="29">
        <f t="shared" si="27"/>
        <v>1</v>
      </c>
      <c r="AK82" s="29">
        <f t="shared" si="28"/>
        <v>0</v>
      </c>
      <c r="AL82" s="29">
        <f t="shared" si="29"/>
        <v>10</v>
      </c>
      <c r="AM82" s="29">
        <f t="shared" si="30"/>
        <v>0</v>
      </c>
      <c r="AN82" s="29">
        <f t="shared" si="31"/>
        <v>6</v>
      </c>
      <c r="AO82" s="29">
        <f t="shared" si="32"/>
        <v>3</v>
      </c>
      <c r="AP82" s="29">
        <f t="shared" si="33"/>
        <v>2</v>
      </c>
      <c r="AQ82" s="29">
        <f t="shared" si="34"/>
        <v>9</v>
      </c>
      <c r="AR82" s="29">
        <f t="shared" si="35"/>
        <v>8</v>
      </c>
      <c r="AS82" s="29">
        <f t="shared" si="36"/>
        <v>10</v>
      </c>
      <c r="AT82" s="29">
        <f t="shared" si="37"/>
        <v>13</v>
      </c>
      <c r="AU82" s="34">
        <f t="shared" si="38"/>
        <v>83</v>
      </c>
      <c r="AV82" s="19">
        <f t="shared" si="39"/>
        <v>48</v>
      </c>
    </row>
    <row r="83" spans="2:48">
      <c r="B83" s="21">
        <v>49</v>
      </c>
      <c r="C83" s="23">
        <v>5</v>
      </c>
      <c r="D83" s="22">
        <v>8</v>
      </c>
      <c r="E83" s="24">
        <f t="shared" si="40"/>
        <v>9</v>
      </c>
      <c r="F83" s="24">
        <f t="shared" si="40"/>
        <v>6</v>
      </c>
      <c r="G83" s="24">
        <f t="shared" si="40"/>
        <v>6</v>
      </c>
      <c r="H83" s="24">
        <f t="shared" si="40"/>
        <v>1</v>
      </c>
      <c r="I83" s="24">
        <f t="shared" si="40"/>
        <v>0</v>
      </c>
      <c r="J83" s="24">
        <f t="shared" si="40"/>
        <v>10</v>
      </c>
      <c r="K83" s="24">
        <f t="shared" si="40"/>
        <v>0</v>
      </c>
      <c r="L83" s="24">
        <f t="shared" si="40"/>
        <v>6</v>
      </c>
      <c r="M83" s="24">
        <f t="shared" si="40"/>
        <v>3</v>
      </c>
      <c r="N83" s="24">
        <f t="shared" si="40"/>
        <v>2</v>
      </c>
      <c r="O83" s="24">
        <f t="shared" si="40"/>
        <v>9</v>
      </c>
      <c r="P83" s="24">
        <f t="shared" si="40"/>
        <v>8</v>
      </c>
      <c r="Q83" s="24">
        <f t="shared" si="40"/>
        <v>10</v>
      </c>
      <c r="R83" s="24">
        <f t="shared" si="40"/>
        <v>13</v>
      </c>
      <c r="S83" s="25">
        <f t="shared" si="41"/>
        <v>5</v>
      </c>
      <c r="T83" s="25">
        <f t="shared" si="41"/>
        <v>4</v>
      </c>
      <c r="U83" s="25">
        <f t="shared" si="41"/>
        <v>6</v>
      </c>
      <c r="V83" s="25">
        <f t="shared" si="41"/>
        <v>7</v>
      </c>
      <c r="W83" s="25">
        <f t="shared" si="41"/>
        <v>6</v>
      </c>
      <c r="X83" s="25">
        <f t="shared" si="41"/>
        <v>4</v>
      </c>
      <c r="Y83" s="25">
        <f t="shared" si="41"/>
        <v>6</v>
      </c>
      <c r="Z83" s="25">
        <f t="shared" si="41"/>
        <v>0</v>
      </c>
      <c r="AA83" s="25">
        <f t="shared" si="41"/>
        <v>9</v>
      </c>
      <c r="AB83" s="25">
        <f t="shared" si="41"/>
        <v>8</v>
      </c>
      <c r="AC83" s="25">
        <f t="shared" si="41"/>
        <v>7</v>
      </c>
      <c r="AD83" s="25">
        <f t="shared" si="41"/>
        <v>6</v>
      </c>
      <c r="AE83" s="25">
        <f t="shared" si="41"/>
        <v>8</v>
      </c>
      <c r="AF83" s="25">
        <f t="shared" si="41"/>
        <v>11</v>
      </c>
      <c r="AG83" s="29">
        <f t="shared" si="24"/>
        <v>5</v>
      </c>
      <c r="AH83" s="29">
        <f t="shared" si="25"/>
        <v>4</v>
      </c>
      <c r="AI83" s="29">
        <f t="shared" si="26"/>
        <v>6</v>
      </c>
      <c r="AJ83" s="29">
        <f t="shared" si="27"/>
        <v>1</v>
      </c>
      <c r="AK83" s="29">
        <f t="shared" si="28"/>
        <v>0</v>
      </c>
      <c r="AL83" s="29">
        <f t="shared" si="29"/>
        <v>4</v>
      </c>
      <c r="AM83" s="29">
        <f t="shared" si="30"/>
        <v>0</v>
      </c>
      <c r="AN83" s="29">
        <f t="shared" si="31"/>
        <v>0</v>
      </c>
      <c r="AO83" s="29">
        <f t="shared" si="32"/>
        <v>3</v>
      </c>
      <c r="AP83" s="29">
        <f t="shared" si="33"/>
        <v>2</v>
      </c>
      <c r="AQ83" s="29">
        <f t="shared" si="34"/>
        <v>7</v>
      </c>
      <c r="AR83" s="29">
        <f t="shared" si="35"/>
        <v>6</v>
      </c>
      <c r="AS83" s="29">
        <f t="shared" si="36"/>
        <v>8</v>
      </c>
      <c r="AT83" s="29">
        <f t="shared" si="37"/>
        <v>11</v>
      </c>
      <c r="AU83" s="34">
        <f t="shared" si="38"/>
        <v>57</v>
      </c>
      <c r="AV83" s="19">
        <f t="shared" si="39"/>
        <v>49</v>
      </c>
    </row>
    <row r="84" spans="2:48">
      <c r="B84" s="21">
        <v>50</v>
      </c>
      <c r="C84" s="23">
        <v>5</v>
      </c>
      <c r="D84" s="22">
        <v>9</v>
      </c>
      <c r="E84" s="24">
        <f t="shared" si="40"/>
        <v>9</v>
      </c>
      <c r="F84" s="24">
        <f t="shared" si="40"/>
        <v>6</v>
      </c>
      <c r="G84" s="24">
        <f t="shared" si="40"/>
        <v>6</v>
      </c>
      <c r="H84" s="24">
        <f t="shared" si="40"/>
        <v>1</v>
      </c>
      <c r="I84" s="24">
        <f t="shared" si="40"/>
        <v>0</v>
      </c>
      <c r="J84" s="24">
        <f t="shared" si="40"/>
        <v>10</v>
      </c>
      <c r="K84" s="24">
        <f t="shared" si="40"/>
        <v>0</v>
      </c>
      <c r="L84" s="24">
        <f t="shared" si="40"/>
        <v>6</v>
      </c>
      <c r="M84" s="24">
        <f t="shared" si="40"/>
        <v>3</v>
      </c>
      <c r="N84" s="24">
        <f t="shared" si="40"/>
        <v>2</v>
      </c>
      <c r="O84" s="24">
        <f t="shared" si="40"/>
        <v>9</v>
      </c>
      <c r="P84" s="24">
        <f t="shared" si="40"/>
        <v>8</v>
      </c>
      <c r="Q84" s="24">
        <f t="shared" si="40"/>
        <v>10</v>
      </c>
      <c r="R84" s="24">
        <f t="shared" si="40"/>
        <v>13</v>
      </c>
      <c r="S84" s="25">
        <f t="shared" si="41"/>
        <v>12</v>
      </c>
      <c r="T84" s="25">
        <f t="shared" si="41"/>
        <v>9</v>
      </c>
      <c r="U84" s="25">
        <f t="shared" si="41"/>
        <v>7</v>
      </c>
      <c r="V84" s="25">
        <f t="shared" si="41"/>
        <v>2</v>
      </c>
      <c r="W84" s="25">
        <f t="shared" si="41"/>
        <v>3</v>
      </c>
      <c r="X84" s="25">
        <f t="shared" si="41"/>
        <v>13</v>
      </c>
      <c r="Y84" s="25">
        <f t="shared" si="41"/>
        <v>3</v>
      </c>
      <c r="Z84" s="25">
        <f t="shared" si="41"/>
        <v>9</v>
      </c>
      <c r="AA84" s="25">
        <f t="shared" si="41"/>
        <v>0</v>
      </c>
      <c r="AB84" s="25">
        <f t="shared" si="41"/>
        <v>3</v>
      </c>
      <c r="AC84" s="25">
        <f t="shared" si="41"/>
        <v>10</v>
      </c>
      <c r="AD84" s="25">
        <f t="shared" si="41"/>
        <v>9</v>
      </c>
      <c r="AE84" s="25">
        <f t="shared" si="41"/>
        <v>11</v>
      </c>
      <c r="AF84" s="25">
        <f t="shared" si="41"/>
        <v>14</v>
      </c>
      <c r="AG84" s="29">
        <f t="shared" si="24"/>
        <v>9</v>
      </c>
      <c r="AH84" s="29">
        <f t="shared" si="25"/>
        <v>6</v>
      </c>
      <c r="AI84" s="29">
        <f t="shared" si="26"/>
        <v>6</v>
      </c>
      <c r="AJ84" s="29">
        <f t="shared" si="27"/>
        <v>1</v>
      </c>
      <c r="AK84" s="29">
        <f t="shared" si="28"/>
        <v>0</v>
      </c>
      <c r="AL84" s="29">
        <f t="shared" si="29"/>
        <v>10</v>
      </c>
      <c r="AM84" s="29">
        <f t="shared" si="30"/>
        <v>0</v>
      </c>
      <c r="AN84" s="29">
        <f t="shared" si="31"/>
        <v>6</v>
      </c>
      <c r="AO84" s="29">
        <f t="shared" si="32"/>
        <v>0</v>
      </c>
      <c r="AP84" s="29">
        <f t="shared" si="33"/>
        <v>2</v>
      </c>
      <c r="AQ84" s="29">
        <f t="shared" si="34"/>
        <v>9</v>
      </c>
      <c r="AR84" s="29">
        <f t="shared" si="35"/>
        <v>8</v>
      </c>
      <c r="AS84" s="29">
        <f t="shared" si="36"/>
        <v>10</v>
      </c>
      <c r="AT84" s="29">
        <f t="shared" si="37"/>
        <v>13</v>
      </c>
      <c r="AU84" s="34">
        <f t="shared" si="38"/>
        <v>80</v>
      </c>
      <c r="AV84" s="19">
        <f t="shared" si="39"/>
        <v>50</v>
      </c>
    </row>
    <row r="85" spans="2:48">
      <c r="B85" s="21">
        <v>51</v>
      </c>
      <c r="C85" s="23">
        <v>5</v>
      </c>
      <c r="D85" s="22">
        <v>10</v>
      </c>
      <c r="E85" s="24">
        <f t="shared" ref="E85:R94" si="42">ABS(VLOOKUP($C85,$B$8:$D$21,2,0)-VLOOKUP(E$34,$B$8:$D$21,2,0))+ABS(VLOOKUP($C85,$B$8:$D$21,3,0)-VLOOKUP(E$34,$B$8:$D$21,3,0))</f>
        <v>9</v>
      </c>
      <c r="F85" s="24">
        <f t="shared" si="42"/>
        <v>6</v>
      </c>
      <c r="G85" s="24">
        <f t="shared" si="42"/>
        <v>6</v>
      </c>
      <c r="H85" s="24">
        <f t="shared" si="42"/>
        <v>1</v>
      </c>
      <c r="I85" s="24">
        <f t="shared" si="42"/>
        <v>0</v>
      </c>
      <c r="J85" s="24">
        <f t="shared" si="42"/>
        <v>10</v>
      </c>
      <c r="K85" s="24">
        <f t="shared" si="42"/>
        <v>0</v>
      </c>
      <c r="L85" s="24">
        <f t="shared" si="42"/>
        <v>6</v>
      </c>
      <c r="M85" s="24">
        <f t="shared" si="42"/>
        <v>3</v>
      </c>
      <c r="N85" s="24">
        <f t="shared" si="42"/>
        <v>2</v>
      </c>
      <c r="O85" s="24">
        <f t="shared" si="42"/>
        <v>9</v>
      </c>
      <c r="P85" s="24">
        <f t="shared" si="42"/>
        <v>8</v>
      </c>
      <c r="Q85" s="24">
        <f t="shared" si="42"/>
        <v>10</v>
      </c>
      <c r="R85" s="24">
        <f t="shared" si="42"/>
        <v>13</v>
      </c>
      <c r="S85" s="25">
        <f t="shared" ref="S85:AF94" si="43">ABS(VLOOKUP($D85,$B$8:$D$21,2,0)-VLOOKUP(S$34,$B$8:$D$21,2,0))+ABS(VLOOKUP($D85,$B$8:$D$21,3,0)-VLOOKUP(S$34,$B$8:$D$21,3,0))</f>
        <v>11</v>
      </c>
      <c r="T85" s="25">
        <f t="shared" si="43"/>
        <v>8</v>
      </c>
      <c r="U85" s="25">
        <f t="shared" si="43"/>
        <v>4</v>
      </c>
      <c r="V85" s="25">
        <f t="shared" si="43"/>
        <v>3</v>
      </c>
      <c r="W85" s="25">
        <f t="shared" si="43"/>
        <v>2</v>
      </c>
      <c r="X85" s="25">
        <f t="shared" si="43"/>
        <v>12</v>
      </c>
      <c r="Y85" s="25">
        <f t="shared" si="43"/>
        <v>2</v>
      </c>
      <c r="Z85" s="25">
        <f t="shared" si="43"/>
        <v>8</v>
      </c>
      <c r="AA85" s="25">
        <f t="shared" si="43"/>
        <v>3</v>
      </c>
      <c r="AB85" s="25">
        <f t="shared" si="43"/>
        <v>0</v>
      </c>
      <c r="AC85" s="25">
        <f t="shared" si="43"/>
        <v>7</v>
      </c>
      <c r="AD85" s="25">
        <f t="shared" si="43"/>
        <v>6</v>
      </c>
      <c r="AE85" s="25">
        <f t="shared" si="43"/>
        <v>8</v>
      </c>
      <c r="AF85" s="25">
        <f t="shared" si="43"/>
        <v>11</v>
      </c>
      <c r="AG85" s="29">
        <f t="shared" si="24"/>
        <v>9</v>
      </c>
      <c r="AH85" s="29">
        <f t="shared" si="25"/>
        <v>6</v>
      </c>
      <c r="AI85" s="29">
        <f t="shared" si="26"/>
        <v>4</v>
      </c>
      <c r="AJ85" s="29">
        <f t="shared" si="27"/>
        <v>1</v>
      </c>
      <c r="AK85" s="29">
        <f t="shared" si="28"/>
        <v>0</v>
      </c>
      <c r="AL85" s="29">
        <f t="shared" si="29"/>
        <v>10</v>
      </c>
      <c r="AM85" s="29">
        <f t="shared" si="30"/>
        <v>0</v>
      </c>
      <c r="AN85" s="29">
        <f t="shared" si="31"/>
        <v>6</v>
      </c>
      <c r="AO85" s="29">
        <f t="shared" si="32"/>
        <v>3</v>
      </c>
      <c r="AP85" s="29">
        <f t="shared" si="33"/>
        <v>0</v>
      </c>
      <c r="AQ85" s="29">
        <f t="shared" si="34"/>
        <v>7</v>
      </c>
      <c r="AR85" s="29">
        <f t="shared" si="35"/>
        <v>6</v>
      </c>
      <c r="AS85" s="29">
        <f t="shared" si="36"/>
        <v>8</v>
      </c>
      <c r="AT85" s="29">
        <f t="shared" si="37"/>
        <v>11</v>
      </c>
      <c r="AU85" s="34">
        <f t="shared" si="38"/>
        <v>71</v>
      </c>
      <c r="AV85" s="19">
        <f t="shared" si="39"/>
        <v>51</v>
      </c>
    </row>
    <row r="86" spans="2:48">
      <c r="B86" s="21">
        <v>52</v>
      </c>
      <c r="C86" s="23">
        <v>5</v>
      </c>
      <c r="D86" s="22">
        <v>11</v>
      </c>
      <c r="E86" s="24">
        <f t="shared" si="42"/>
        <v>9</v>
      </c>
      <c r="F86" s="24">
        <f t="shared" si="42"/>
        <v>6</v>
      </c>
      <c r="G86" s="24">
        <f t="shared" si="42"/>
        <v>6</v>
      </c>
      <c r="H86" s="24">
        <f t="shared" si="42"/>
        <v>1</v>
      </c>
      <c r="I86" s="24">
        <f t="shared" si="42"/>
        <v>0</v>
      </c>
      <c r="J86" s="24">
        <f t="shared" si="42"/>
        <v>10</v>
      </c>
      <c r="K86" s="24">
        <f t="shared" si="42"/>
        <v>0</v>
      </c>
      <c r="L86" s="24">
        <f t="shared" si="42"/>
        <v>6</v>
      </c>
      <c r="M86" s="24">
        <f t="shared" si="42"/>
        <v>3</v>
      </c>
      <c r="N86" s="24">
        <f t="shared" si="42"/>
        <v>2</v>
      </c>
      <c r="O86" s="24">
        <f t="shared" si="42"/>
        <v>9</v>
      </c>
      <c r="P86" s="24">
        <f t="shared" si="42"/>
        <v>8</v>
      </c>
      <c r="Q86" s="24">
        <f t="shared" si="42"/>
        <v>10</v>
      </c>
      <c r="R86" s="24">
        <f t="shared" si="42"/>
        <v>13</v>
      </c>
      <c r="S86" s="25">
        <f t="shared" si="43"/>
        <v>10</v>
      </c>
      <c r="T86" s="25">
        <f t="shared" si="43"/>
        <v>7</v>
      </c>
      <c r="U86" s="25">
        <f t="shared" si="43"/>
        <v>3</v>
      </c>
      <c r="V86" s="25">
        <f t="shared" si="43"/>
        <v>10</v>
      </c>
      <c r="W86" s="25">
        <f t="shared" si="43"/>
        <v>9</v>
      </c>
      <c r="X86" s="25">
        <f t="shared" si="43"/>
        <v>11</v>
      </c>
      <c r="Y86" s="25">
        <f t="shared" si="43"/>
        <v>9</v>
      </c>
      <c r="Z86" s="25">
        <f t="shared" si="43"/>
        <v>7</v>
      </c>
      <c r="AA86" s="25">
        <f t="shared" si="43"/>
        <v>10</v>
      </c>
      <c r="AB86" s="25">
        <f t="shared" si="43"/>
        <v>7</v>
      </c>
      <c r="AC86" s="25">
        <f t="shared" si="43"/>
        <v>0</v>
      </c>
      <c r="AD86" s="25">
        <f t="shared" si="43"/>
        <v>3</v>
      </c>
      <c r="AE86" s="25">
        <f t="shared" si="43"/>
        <v>1</v>
      </c>
      <c r="AF86" s="25">
        <f t="shared" si="43"/>
        <v>4</v>
      </c>
      <c r="AG86" s="29">
        <f t="shared" si="24"/>
        <v>9</v>
      </c>
      <c r="AH86" s="29">
        <f t="shared" si="25"/>
        <v>6</v>
      </c>
      <c r="AI86" s="29">
        <f t="shared" si="26"/>
        <v>3</v>
      </c>
      <c r="AJ86" s="29">
        <f t="shared" si="27"/>
        <v>1</v>
      </c>
      <c r="AK86" s="29">
        <f t="shared" si="28"/>
        <v>0</v>
      </c>
      <c r="AL86" s="29">
        <f t="shared" si="29"/>
        <v>10</v>
      </c>
      <c r="AM86" s="29">
        <f t="shared" si="30"/>
        <v>0</v>
      </c>
      <c r="AN86" s="29">
        <f t="shared" si="31"/>
        <v>6</v>
      </c>
      <c r="AO86" s="29">
        <f t="shared" si="32"/>
        <v>3</v>
      </c>
      <c r="AP86" s="29">
        <f t="shared" si="33"/>
        <v>2</v>
      </c>
      <c r="AQ86" s="29">
        <f t="shared" si="34"/>
        <v>0</v>
      </c>
      <c r="AR86" s="29">
        <f t="shared" si="35"/>
        <v>3</v>
      </c>
      <c r="AS86" s="29">
        <f t="shared" si="36"/>
        <v>1</v>
      </c>
      <c r="AT86" s="29">
        <f t="shared" si="37"/>
        <v>4</v>
      </c>
      <c r="AU86" s="34">
        <f t="shared" si="38"/>
        <v>48</v>
      </c>
      <c r="AV86" s="19">
        <f t="shared" si="39"/>
        <v>52</v>
      </c>
    </row>
    <row r="87" spans="2:48">
      <c r="B87" s="21">
        <v>53</v>
      </c>
      <c r="C87" s="23">
        <v>5</v>
      </c>
      <c r="D87" s="22">
        <v>12</v>
      </c>
      <c r="E87" s="24">
        <f t="shared" si="42"/>
        <v>9</v>
      </c>
      <c r="F87" s="24">
        <f t="shared" si="42"/>
        <v>6</v>
      </c>
      <c r="G87" s="24">
        <f t="shared" si="42"/>
        <v>6</v>
      </c>
      <c r="H87" s="24">
        <f t="shared" si="42"/>
        <v>1</v>
      </c>
      <c r="I87" s="24">
        <f t="shared" si="42"/>
        <v>0</v>
      </c>
      <c r="J87" s="24">
        <f t="shared" si="42"/>
        <v>10</v>
      </c>
      <c r="K87" s="24">
        <f t="shared" si="42"/>
        <v>0</v>
      </c>
      <c r="L87" s="24">
        <f t="shared" si="42"/>
        <v>6</v>
      </c>
      <c r="M87" s="24">
        <f t="shared" si="42"/>
        <v>3</v>
      </c>
      <c r="N87" s="24">
        <f t="shared" si="42"/>
        <v>2</v>
      </c>
      <c r="O87" s="24">
        <f t="shared" si="42"/>
        <v>9</v>
      </c>
      <c r="P87" s="24">
        <f t="shared" si="42"/>
        <v>8</v>
      </c>
      <c r="Q87" s="24">
        <f t="shared" si="42"/>
        <v>10</v>
      </c>
      <c r="R87" s="24">
        <f t="shared" si="42"/>
        <v>13</v>
      </c>
      <c r="S87" s="25">
        <f t="shared" si="43"/>
        <v>7</v>
      </c>
      <c r="T87" s="25">
        <f t="shared" si="43"/>
        <v>4</v>
      </c>
      <c r="U87" s="25">
        <f t="shared" si="43"/>
        <v>2</v>
      </c>
      <c r="V87" s="25">
        <f t="shared" si="43"/>
        <v>9</v>
      </c>
      <c r="W87" s="25">
        <f t="shared" si="43"/>
        <v>8</v>
      </c>
      <c r="X87" s="25">
        <f t="shared" si="43"/>
        <v>8</v>
      </c>
      <c r="Y87" s="25">
        <f t="shared" si="43"/>
        <v>8</v>
      </c>
      <c r="Z87" s="25">
        <f t="shared" si="43"/>
        <v>6</v>
      </c>
      <c r="AA87" s="25">
        <f t="shared" si="43"/>
        <v>9</v>
      </c>
      <c r="AB87" s="25">
        <f t="shared" si="43"/>
        <v>6</v>
      </c>
      <c r="AC87" s="25">
        <f t="shared" si="43"/>
        <v>3</v>
      </c>
      <c r="AD87" s="25">
        <f t="shared" si="43"/>
        <v>0</v>
      </c>
      <c r="AE87" s="25">
        <f t="shared" si="43"/>
        <v>2</v>
      </c>
      <c r="AF87" s="25">
        <f t="shared" si="43"/>
        <v>5</v>
      </c>
      <c r="AG87" s="29">
        <f t="shared" si="24"/>
        <v>7</v>
      </c>
      <c r="AH87" s="29">
        <f t="shared" si="25"/>
        <v>4</v>
      </c>
      <c r="AI87" s="29">
        <f t="shared" si="26"/>
        <v>2</v>
      </c>
      <c r="AJ87" s="29">
        <f t="shared" si="27"/>
        <v>1</v>
      </c>
      <c r="AK87" s="29">
        <f t="shared" si="28"/>
        <v>0</v>
      </c>
      <c r="AL87" s="29">
        <f t="shared" si="29"/>
        <v>8</v>
      </c>
      <c r="AM87" s="29">
        <f t="shared" si="30"/>
        <v>0</v>
      </c>
      <c r="AN87" s="29">
        <f t="shared" si="31"/>
        <v>6</v>
      </c>
      <c r="AO87" s="29">
        <f t="shared" si="32"/>
        <v>3</v>
      </c>
      <c r="AP87" s="29">
        <f t="shared" si="33"/>
        <v>2</v>
      </c>
      <c r="AQ87" s="29">
        <f t="shared" si="34"/>
        <v>3</v>
      </c>
      <c r="AR87" s="29">
        <f t="shared" si="35"/>
        <v>0</v>
      </c>
      <c r="AS87" s="29">
        <f t="shared" si="36"/>
        <v>2</v>
      </c>
      <c r="AT87" s="29">
        <f t="shared" si="37"/>
        <v>5</v>
      </c>
      <c r="AU87" s="34">
        <f t="shared" si="38"/>
        <v>43</v>
      </c>
      <c r="AV87" s="19">
        <f t="shared" si="39"/>
        <v>53</v>
      </c>
    </row>
    <row r="88" spans="2:48">
      <c r="B88" s="21">
        <v>54</v>
      </c>
      <c r="C88" s="23">
        <v>5</v>
      </c>
      <c r="D88" s="22">
        <v>13</v>
      </c>
      <c r="E88" s="24">
        <f t="shared" si="42"/>
        <v>9</v>
      </c>
      <c r="F88" s="24">
        <f t="shared" si="42"/>
        <v>6</v>
      </c>
      <c r="G88" s="24">
        <f t="shared" si="42"/>
        <v>6</v>
      </c>
      <c r="H88" s="24">
        <f t="shared" si="42"/>
        <v>1</v>
      </c>
      <c r="I88" s="24">
        <f t="shared" si="42"/>
        <v>0</v>
      </c>
      <c r="J88" s="24">
        <f t="shared" si="42"/>
        <v>10</v>
      </c>
      <c r="K88" s="24">
        <f t="shared" si="42"/>
        <v>0</v>
      </c>
      <c r="L88" s="24">
        <f t="shared" si="42"/>
        <v>6</v>
      </c>
      <c r="M88" s="24">
        <f t="shared" si="42"/>
        <v>3</v>
      </c>
      <c r="N88" s="24">
        <f t="shared" si="42"/>
        <v>2</v>
      </c>
      <c r="O88" s="24">
        <f t="shared" si="42"/>
        <v>9</v>
      </c>
      <c r="P88" s="24">
        <f t="shared" si="42"/>
        <v>8</v>
      </c>
      <c r="Q88" s="24">
        <f t="shared" si="42"/>
        <v>10</v>
      </c>
      <c r="R88" s="24">
        <f t="shared" si="42"/>
        <v>13</v>
      </c>
      <c r="S88" s="25">
        <f t="shared" si="43"/>
        <v>9</v>
      </c>
      <c r="T88" s="25">
        <f t="shared" si="43"/>
        <v>6</v>
      </c>
      <c r="U88" s="25">
        <f t="shared" si="43"/>
        <v>4</v>
      </c>
      <c r="V88" s="25">
        <f t="shared" si="43"/>
        <v>11</v>
      </c>
      <c r="W88" s="25">
        <f t="shared" si="43"/>
        <v>10</v>
      </c>
      <c r="X88" s="25">
        <f t="shared" si="43"/>
        <v>10</v>
      </c>
      <c r="Y88" s="25">
        <f t="shared" si="43"/>
        <v>10</v>
      </c>
      <c r="Z88" s="25">
        <f t="shared" si="43"/>
        <v>8</v>
      </c>
      <c r="AA88" s="25">
        <f t="shared" si="43"/>
        <v>11</v>
      </c>
      <c r="AB88" s="25">
        <f t="shared" si="43"/>
        <v>8</v>
      </c>
      <c r="AC88" s="25">
        <f t="shared" si="43"/>
        <v>1</v>
      </c>
      <c r="AD88" s="25">
        <f t="shared" si="43"/>
        <v>2</v>
      </c>
      <c r="AE88" s="25">
        <f t="shared" si="43"/>
        <v>0</v>
      </c>
      <c r="AF88" s="25">
        <f t="shared" si="43"/>
        <v>3</v>
      </c>
      <c r="AG88" s="29">
        <f t="shared" si="24"/>
        <v>9</v>
      </c>
      <c r="AH88" s="29">
        <f t="shared" si="25"/>
        <v>6</v>
      </c>
      <c r="AI88" s="29">
        <f t="shared" si="26"/>
        <v>4</v>
      </c>
      <c r="AJ88" s="29">
        <f t="shared" si="27"/>
        <v>1</v>
      </c>
      <c r="AK88" s="29">
        <f t="shared" si="28"/>
        <v>0</v>
      </c>
      <c r="AL88" s="29">
        <f t="shared" si="29"/>
        <v>10</v>
      </c>
      <c r="AM88" s="29">
        <f t="shared" si="30"/>
        <v>0</v>
      </c>
      <c r="AN88" s="29">
        <f t="shared" si="31"/>
        <v>6</v>
      </c>
      <c r="AO88" s="29">
        <f t="shared" si="32"/>
        <v>3</v>
      </c>
      <c r="AP88" s="29">
        <f t="shared" si="33"/>
        <v>2</v>
      </c>
      <c r="AQ88" s="29">
        <f t="shared" si="34"/>
        <v>1</v>
      </c>
      <c r="AR88" s="29">
        <f t="shared" si="35"/>
        <v>2</v>
      </c>
      <c r="AS88" s="29">
        <f t="shared" si="36"/>
        <v>0</v>
      </c>
      <c r="AT88" s="29">
        <f t="shared" si="37"/>
        <v>3</v>
      </c>
      <c r="AU88" s="34">
        <f t="shared" si="38"/>
        <v>47</v>
      </c>
      <c r="AV88" s="19">
        <f t="shared" si="39"/>
        <v>54</v>
      </c>
    </row>
    <row r="89" spans="2:48">
      <c r="B89" s="21">
        <v>55</v>
      </c>
      <c r="C89" s="23">
        <v>5</v>
      </c>
      <c r="D89" s="22">
        <v>14</v>
      </c>
      <c r="E89" s="24">
        <f t="shared" si="42"/>
        <v>9</v>
      </c>
      <c r="F89" s="24">
        <f t="shared" si="42"/>
        <v>6</v>
      </c>
      <c r="G89" s="24">
        <f t="shared" si="42"/>
        <v>6</v>
      </c>
      <c r="H89" s="24">
        <f t="shared" si="42"/>
        <v>1</v>
      </c>
      <c r="I89" s="24">
        <f t="shared" si="42"/>
        <v>0</v>
      </c>
      <c r="J89" s="24">
        <f t="shared" si="42"/>
        <v>10</v>
      </c>
      <c r="K89" s="24">
        <f t="shared" si="42"/>
        <v>0</v>
      </c>
      <c r="L89" s="24">
        <f t="shared" si="42"/>
        <v>6</v>
      </c>
      <c r="M89" s="24">
        <f t="shared" si="42"/>
        <v>3</v>
      </c>
      <c r="N89" s="24">
        <f t="shared" si="42"/>
        <v>2</v>
      </c>
      <c r="O89" s="24">
        <f t="shared" si="42"/>
        <v>9</v>
      </c>
      <c r="P89" s="24">
        <f t="shared" si="42"/>
        <v>8</v>
      </c>
      <c r="Q89" s="24">
        <f t="shared" si="42"/>
        <v>10</v>
      </c>
      <c r="R89" s="24">
        <f t="shared" si="42"/>
        <v>13</v>
      </c>
      <c r="S89" s="25">
        <f t="shared" si="43"/>
        <v>6</v>
      </c>
      <c r="T89" s="25">
        <f t="shared" si="43"/>
        <v>7</v>
      </c>
      <c r="U89" s="25">
        <f t="shared" si="43"/>
        <v>7</v>
      </c>
      <c r="V89" s="25">
        <f t="shared" si="43"/>
        <v>14</v>
      </c>
      <c r="W89" s="25">
        <f t="shared" si="43"/>
        <v>13</v>
      </c>
      <c r="X89" s="25">
        <f t="shared" si="43"/>
        <v>9</v>
      </c>
      <c r="Y89" s="25">
        <f t="shared" si="43"/>
        <v>13</v>
      </c>
      <c r="Z89" s="25">
        <f t="shared" si="43"/>
        <v>11</v>
      </c>
      <c r="AA89" s="25">
        <f t="shared" si="43"/>
        <v>14</v>
      </c>
      <c r="AB89" s="25">
        <f t="shared" si="43"/>
        <v>11</v>
      </c>
      <c r="AC89" s="25">
        <f t="shared" si="43"/>
        <v>4</v>
      </c>
      <c r="AD89" s="25">
        <f t="shared" si="43"/>
        <v>5</v>
      </c>
      <c r="AE89" s="25">
        <f t="shared" si="43"/>
        <v>3</v>
      </c>
      <c r="AF89" s="25">
        <f t="shared" si="43"/>
        <v>0</v>
      </c>
      <c r="AG89" s="29">
        <f t="shared" si="24"/>
        <v>6</v>
      </c>
      <c r="AH89" s="29">
        <f t="shared" si="25"/>
        <v>6</v>
      </c>
      <c r="AI89" s="29">
        <f t="shared" si="26"/>
        <v>6</v>
      </c>
      <c r="AJ89" s="29">
        <f t="shared" si="27"/>
        <v>1</v>
      </c>
      <c r="AK89" s="29">
        <f t="shared" si="28"/>
        <v>0</v>
      </c>
      <c r="AL89" s="29">
        <f t="shared" si="29"/>
        <v>9</v>
      </c>
      <c r="AM89" s="29">
        <f t="shared" si="30"/>
        <v>0</v>
      </c>
      <c r="AN89" s="29">
        <f t="shared" si="31"/>
        <v>6</v>
      </c>
      <c r="AO89" s="29">
        <f t="shared" si="32"/>
        <v>3</v>
      </c>
      <c r="AP89" s="29">
        <f t="shared" si="33"/>
        <v>2</v>
      </c>
      <c r="AQ89" s="29">
        <f t="shared" si="34"/>
        <v>4</v>
      </c>
      <c r="AR89" s="29">
        <f t="shared" si="35"/>
        <v>5</v>
      </c>
      <c r="AS89" s="29">
        <f t="shared" si="36"/>
        <v>3</v>
      </c>
      <c r="AT89" s="29">
        <f t="shared" si="37"/>
        <v>0</v>
      </c>
      <c r="AU89" s="34">
        <f t="shared" si="38"/>
        <v>51</v>
      </c>
      <c r="AV89" s="19">
        <f t="shared" si="39"/>
        <v>55</v>
      </c>
    </row>
    <row r="90" spans="2:48">
      <c r="B90" s="21">
        <v>56</v>
      </c>
      <c r="C90" s="23">
        <v>6</v>
      </c>
      <c r="D90" s="22">
        <v>7</v>
      </c>
      <c r="E90" s="24">
        <f t="shared" si="42"/>
        <v>3</v>
      </c>
      <c r="F90" s="24">
        <f t="shared" si="42"/>
        <v>4</v>
      </c>
      <c r="G90" s="24">
        <f t="shared" si="42"/>
        <v>10</v>
      </c>
      <c r="H90" s="24">
        <f t="shared" si="42"/>
        <v>11</v>
      </c>
      <c r="I90" s="24">
        <f t="shared" si="42"/>
        <v>10</v>
      </c>
      <c r="J90" s="24">
        <f t="shared" si="42"/>
        <v>0</v>
      </c>
      <c r="K90" s="24">
        <f t="shared" si="42"/>
        <v>10</v>
      </c>
      <c r="L90" s="24">
        <f t="shared" si="42"/>
        <v>4</v>
      </c>
      <c r="M90" s="24">
        <f t="shared" si="42"/>
        <v>13</v>
      </c>
      <c r="N90" s="24">
        <f t="shared" si="42"/>
        <v>12</v>
      </c>
      <c r="O90" s="24">
        <f t="shared" si="42"/>
        <v>11</v>
      </c>
      <c r="P90" s="24">
        <f t="shared" si="42"/>
        <v>8</v>
      </c>
      <c r="Q90" s="24">
        <f t="shared" si="42"/>
        <v>10</v>
      </c>
      <c r="R90" s="24">
        <f t="shared" si="42"/>
        <v>9</v>
      </c>
      <c r="S90" s="25">
        <f t="shared" si="43"/>
        <v>9</v>
      </c>
      <c r="T90" s="25">
        <f t="shared" si="43"/>
        <v>6</v>
      </c>
      <c r="U90" s="25">
        <f t="shared" si="43"/>
        <v>6</v>
      </c>
      <c r="V90" s="25">
        <f t="shared" si="43"/>
        <v>1</v>
      </c>
      <c r="W90" s="25">
        <f t="shared" si="43"/>
        <v>0</v>
      </c>
      <c r="X90" s="25">
        <f t="shared" si="43"/>
        <v>10</v>
      </c>
      <c r="Y90" s="25">
        <f t="shared" si="43"/>
        <v>0</v>
      </c>
      <c r="Z90" s="25">
        <f t="shared" si="43"/>
        <v>6</v>
      </c>
      <c r="AA90" s="25">
        <f t="shared" si="43"/>
        <v>3</v>
      </c>
      <c r="AB90" s="25">
        <f t="shared" si="43"/>
        <v>2</v>
      </c>
      <c r="AC90" s="25">
        <f t="shared" si="43"/>
        <v>9</v>
      </c>
      <c r="AD90" s="25">
        <f t="shared" si="43"/>
        <v>8</v>
      </c>
      <c r="AE90" s="25">
        <f t="shared" si="43"/>
        <v>10</v>
      </c>
      <c r="AF90" s="25">
        <f t="shared" si="43"/>
        <v>13</v>
      </c>
      <c r="AG90" s="29">
        <f t="shared" si="24"/>
        <v>3</v>
      </c>
      <c r="AH90" s="29">
        <f t="shared" si="25"/>
        <v>4</v>
      </c>
      <c r="AI90" s="29">
        <f t="shared" si="26"/>
        <v>6</v>
      </c>
      <c r="AJ90" s="29">
        <f t="shared" si="27"/>
        <v>1</v>
      </c>
      <c r="AK90" s="29">
        <f t="shared" si="28"/>
        <v>0</v>
      </c>
      <c r="AL90" s="29">
        <f t="shared" si="29"/>
        <v>0</v>
      </c>
      <c r="AM90" s="29">
        <f t="shared" si="30"/>
        <v>0</v>
      </c>
      <c r="AN90" s="29">
        <f t="shared" si="31"/>
        <v>4</v>
      </c>
      <c r="AO90" s="29">
        <f t="shared" si="32"/>
        <v>3</v>
      </c>
      <c r="AP90" s="29">
        <f t="shared" si="33"/>
        <v>2</v>
      </c>
      <c r="AQ90" s="29">
        <f t="shared" si="34"/>
        <v>9</v>
      </c>
      <c r="AR90" s="29">
        <f t="shared" si="35"/>
        <v>8</v>
      </c>
      <c r="AS90" s="29">
        <f t="shared" si="36"/>
        <v>10</v>
      </c>
      <c r="AT90" s="29">
        <f t="shared" si="37"/>
        <v>9</v>
      </c>
      <c r="AU90" s="34">
        <f t="shared" si="38"/>
        <v>59</v>
      </c>
      <c r="AV90" s="19">
        <f t="shared" si="39"/>
        <v>56</v>
      </c>
    </row>
    <row r="91" spans="2:48">
      <c r="B91" s="21">
        <v>57</v>
      </c>
      <c r="C91" s="23">
        <v>6</v>
      </c>
      <c r="D91" s="22">
        <v>8</v>
      </c>
      <c r="E91" s="24">
        <f t="shared" si="42"/>
        <v>3</v>
      </c>
      <c r="F91" s="24">
        <f t="shared" si="42"/>
        <v>4</v>
      </c>
      <c r="G91" s="24">
        <f t="shared" si="42"/>
        <v>10</v>
      </c>
      <c r="H91" s="24">
        <f t="shared" si="42"/>
        <v>11</v>
      </c>
      <c r="I91" s="24">
        <f t="shared" si="42"/>
        <v>10</v>
      </c>
      <c r="J91" s="24">
        <f t="shared" si="42"/>
        <v>0</v>
      </c>
      <c r="K91" s="24">
        <f t="shared" si="42"/>
        <v>10</v>
      </c>
      <c r="L91" s="24">
        <f t="shared" si="42"/>
        <v>4</v>
      </c>
      <c r="M91" s="24">
        <f t="shared" si="42"/>
        <v>13</v>
      </c>
      <c r="N91" s="24">
        <f t="shared" si="42"/>
        <v>12</v>
      </c>
      <c r="O91" s="24">
        <f t="shared" si="42"/>
        <v>11</v>
      </c>
      <c r="P91" s="24">
        <f t="shared" si="42"/>
        <v>8</v>
      </c>
      <c r="Q91" s="24">
        <f t="shared" si="42"/>
        <v>10</v>
      </c>
      <c r="R91" s="24">
        <f t="shared" si="42"/>
        <v>9</v>
      </c>
      <c r="S91" s="25">
        <f t="shared" si="43"/>
        <v>5</v>
      </c>
      <c r="T91" s="25">
        <f t="shared" si="43"/>
        <v>4</v>
      </c>
      <c r="U91" s="25">
        <f t="shared" si="43"/>
        <v>6</v>
      </c>
      <c r="V91" s="25">
        <f t="shared" si="43"/>
        <v>7</v>
      </c>
      <c r="W91" s="25">
        <f t="shared" si="43"/>
        <v>6</v>
      </c>
      <c r="X91" s="25">
        <f t="shared" si="43"/>
        <v>4</v>
      </c>
      <c r="Y91" s="25">
        <f t="shared" si="43"/>
        <v>6</v>
      </c>
      <c r="Z91" s="25">
        <f t="shared" si="43"/>
        <v>0</v>
      </c>
      <c r="AA91" s="25">
        <f t="shared" si="43"/>
        <v>9</v>
      </c>
      <c r="AB91" s="25">
        <f t="shared" si="43"/>
        <v>8</v>
      </c>
      <c r="AC91" s="25">
        <f t="shared" si="43"/>
        <v>7</v>
      </c>
      <c r="AD91" s="25">
        <f t="shared" si="43"/>
        <v>6</v>
      </c>
      <c r="AE91" s="25">
        <f t="shared" si="43"/>
        <v>8</v>
      </c>
      <c r="AF91" s="25">
        <f t="shared" si="43"/>
        <v>11</v>
      </c>
      <c r="AG91" s="29">
        <f t="shared" si="24"/>
        <v>3</v>
      </c>
      <c r="AH91" s="29">
        <f t="shared" si="25"/>
        <v>4</v>
      </c>
      <c r="AI91" s="29">
        <f t="shared" si="26"/>
        <v>6</v>
      </c>
      <c r="AJ91" s="29">
        <f t="shared" si="27"/>
        <v>7</v>
      </c>
      <c r="AK91" s="29">
        <f t="shared" si="28"/>
        <v>6</v>
      </c>
      <c r="AL91" s="29">
        <f t="shared" si="29"/>
        <v>0</v>
      </c>
      <c r="AM91" s="29">
        <f t="shared" si="30"/>
        <v>6</v>
      </c>
      <c r="AN91" s="29">
        <f t="shared" si="31"/>
        <v>0</v>
      </c>
      <c r="AO91" s="29">
        <f t="shared" si="32"/>
        <v>9</v>
      </c>
      <c r="AP91" s="29">
        <f t="shared" si="33"/>
        <v>8</v>
      </c>
      <c r="AQ91" s="29">
        <f t="shared" si="34"/>
        <v>7</v>
      </c>
      <c r="AR91" s="29">
        <f t="shared" si="35"/>
        <v>6</v>
      </c>
      <c r="AS91" s="29">
        <f t="shared" si="36"/>
        <v>8</v>
      </c>
      <c r="AT91" s="29">
        <f t="shared" si="37"/>
        <v>9</v>
      </c>
      <c r="AU91" s="34">
        <f t="shared" si="38"/>
        <v>79</v>
      </c>
      <c r="AV91" s="19">
        <f t="shared" si="39"/>
        <v>57</v>
      </c>
    </row>
    <row r="92" spans="2:48">
      <c r="B92" s="21">
        <v>58</v>
      </c>
      <c r="C92" s="23">
        <v>6</v>
      </c>
      <c r="D92" s="22">
        <v>9</v>
      </c>
      <c r="E92" s="24">
        <f t="shared" si="42"/>
        <v>3</v>
      </c>
      <c r="F92" s="24">
        <f t="shared" si="42"/>
        <v>4</v>
      </c>
      <c r="G92" s="24">
        <f t="shared" si="42"/>
        <v>10</v>
      </c>
      <c r="H92" s="24">
        <f t="shared" si="42"/>
        <v>11</v>
      </c>
      <c r="I92" s="24">
        <f t="shared" si="42"/>
        <v>10</v>
      </c>
      <c r="J92" s="24">
        <f t="shared" si="42"/>
        <v>0</v>
      </c>
      <c r="K92" s="24">
        <f t="shared" si="42"/>
        <v>10</v>
      </c>
      <c r="L92" s="24">
        <f t="shared" si="42"/>
        <v>4</v>
      </c>
      <c r="M92" s="24">
        <f t="shared" si="42"/>
        <v>13</v>
      </c>
      <c r="N92" s="24">
        <f t="shared" si="42"/>
        <v>12</v>
      </c>
      <c r="O92" s="24">
        <f t="shared" si="42"/>
        <v>11</v>
      </c>
      <c r="P92" s="24">
        <f t="shared" si="42"/>
        <v>8</v>
      </c>
      <c r="Q92" s="24">
        <f t="shared" si="42"/>
        <v>10</v>
      </c>
      <c r="R92" s="24">
        <f t="shared" si="42"/>
        <v>9</v>
      </c>
      <c r="S92" s="25">
        <f t="shared" si="43"/>
        <v>12</v>
      </c>
      <c r="T92" s="25">
        <f t="shared" si="43"/>
        <v>9</v>
      </c>
      <c r="U92" s="25">
        <f t="shared" si="43"/>
        <v>7</v>
      </c>
      <c r="V92" s="25">
        <f t="shared" si="43"/>
        <v>2</v>
      </c>
      <c r="W92" s="25">
        <f t="shared" si="43"/>
        <v>3</v>
      </c>
      <c r="X92" s="25">
        <f t="shared" si="43"/>
        <v>13</v>
      </c>
      <c r="Y92" s="25">
        <f t="shared" si="43"/>
        <v>3</v>
      </c>
      <c r="Z92" s="25">
        <f t="shared" si="43"/>
        <v>9</v>
      </c>
      <c r="AA92" s="25">
        <f t="shared" si="43"/>
        <v>0</v>
      </c>
      <c r="AB92" s="25">
        <f t="shared" si="43"/>
        <v>3</v>
      </c>
      <c r="AC92" s="25">
        <f t="shared" si="43"/>
        <v>10</v>
      </c>
      <c r="AD92" s="25">
        <f t="shared" si="43"/>
        <v>9</v>
      </c>
      <c r="AE92" s="25">
        <f t="shared" si="43"/>
        <v>11</v>
      </c>
      <c r="AF92" s="25">
        <f t="shared" si="43"/>
        <v>14</v>
      </c>
      <c r="AG92" s="29">
        <f t="shared" si="24"/>
        <v>3</v>
      </c>
      <c r="AH92" s="29">
        <f t="shared" si="25"/>
        <v>4</v>
      </c>
      <c r="AI92" s="29">
        <f t="shared" si="26"/>
        <v>7</v>
      </c>
      <c r="AJ92" s="29">
        <f t="shared" si="27"/>
        <v>2</v>
      </c>
      <c r="AK92" s="29">
        <f t="shared" si="28"/>
        <v>3</v>
      </c>
      <c r="AL92" s="29">
        <f t="shared" si="29"/>
        <v>0</v>
      </c>
      <c r="AM92" s="29">
        <f t="shared" si="30"/>
        <v>3</v>
      </c>
      <c r="AN92" s="29">
        <f t="shared" si="31"/>
        <v>4</v>
      </c>
      <c r="AO92" s="29">
        <f t="shared" si="32"/>
        <v>0</v>
      </c>
      <c r="AP92" s="29">
        <f t="shared" si="33"/>
        <v>3</v>
      </c>
      <c r="AQ92" s="29">
        <f t="shared" si="34"/>
        <v>10</v>
      </c>
      <c r="AR92" s="29">
        <f t="shared" si="35"/>
        <v>8</v>
      </c>
      <c r="AS92" s="29">
        <f t="shared" si="36"/>
        <v>10</v>
      </c>
      <c r="AT92" s="29">
        <f t="shared" si="37"/>
        <v>9</v>
      </c>
      <c r="AU92" s="34">
        <f t="shared" si="38"/>
        <v>66</v>
      </c>
      <c r="AV92" s="19">
        <f t="shared" si="39"/>
        <v>58</v>
      </c>
    </row>
    <row r="93" spans="2:48">
      <c r="B93" s="21">
        <v>59</v>
      </c>
      <c r="C93" s="23">
        <v>6</v>
      </c>
      <c r="D93" s="22">
        <v>10</v>
      </c>
      <c r="E93" s="24">
        <f t="shared" si="42"/>
        <v>3</v>
      </c>
      <c r="F93" s="24">
        <f t="shared" si="42"/>
        <v>4</v>
      </c>
      <c r="G93" s="24">
        <f t="shared" si="42"/>
        <v>10</v>
      </c>
      <c r="H93" s="24">
        <f t="shared" si="42"/>
        <v>11</v>
      </c>
      <c r="I93" s="24">
        <f t="shared" si="42"/>
        <v>10</v>
      </c>
      <c r="J93" s="24">
        <f t="shared" si="42"/>
        <v>0</v>
      </c>
      <c r="K93" s="24">
        <f t="shared" si="42"/>
        <v>10</v>
      </c>
      <c r="L93" s="24">
        <f t="shared" si="42"/>
        <v>4</v>
      </c>
      <c r="M93" s="24">
        <f t="shared" si="42"/>
        <v>13</v>
      </c>
      <c r="N93" s="24">
        <f t="shared" si="42"/>
        <v>12</v>
      </c>
      <c r="O93" s="24">
        <f t="shared" si="42"/>
        <v>11</v>
      </c>
      <c r="P93" s="24">
        <f t="shared" si="42"/>
        <v>8</v>
      </c>
      <c r="Q93" s="24">
        <f t="shared" si="42"/>
        <v>10</v>
      </c>
      <c r="R93" s="24">
        <f t="shared" si="42"/>
        <v>9</v>
      </c>
      <c r="S93" s="25">
        <f t="shared" si="43"/>
        <v>11</v>
      </c>
      <c r="T93" s="25">
        <f t="shared" si="43"/>
        <v>8</v>
      </c>
      <c r="U93" s="25">
        <f t="shared" si="43"/>
        <v>4</v>
      </c>
      <c r="V93" s="25">
        <f t="shared" si="43"/>
        <v>3</v>
      </c>
      <c r="W93" s="25">
        <f t="shared" si="43"/>
        <v>2</v>
      </c>
      <c r="X93" s="25">
        <f t="shared" si="43"/>
        <v>12</v>
      </c>
      <c r="Y93" s="25">
        <f t="shared" si="43"/>
        <v>2</v>
      </c>
      <c r="Z93" s="25">
        <f t="shared" si="43"/>
        <v>8</v>
      </c>
      <c r="AA93" s="25">
        <f t="shared" si="43"/>
        <v>3</v>
      </c>
      <c r="AB93" s="25">
        <f t="shared" si="43"/>
        <v>0</v>
      </c>
      <c r="AC93" s="25">
        <f t="shared" si="43"/>
        <v>7</v>
      </c>
      <c r="AD93" s="25">
        <f t="shared" si="43"/>
        <v>6</v>
      </c>
      <c r="AE93" s="25">
        <f t="shared" si="43"/>
        <v>8</v>
      </c>
      <c r="AF93" s="25">
        <f t="shared" si="43"/>
        <v>11</v>
      </c>
      <c r="AG93" s="29">
        <f t="shared" si="24"/>
        <v>3</v>
      </c>
      <c r="AH93" s="29">
        <f t="shared" si="25"/>
        <v>4</v>
      </c>
      <c r="AI93" s="29">
        <f t="shared" si="26"/>
        <v>4</v>
      </c>
      <c r="AJ93" s="29">
        <f t="shared" si="27"/>
        <v>3</v>
      </c>
      <c r="AK93" s="29">
        <f t="shared" si="28"/>
        <v>2</v>
      </c>
      <c r="AL93" s="29">
        <f t="shared" si="29"/>
        <v>0</v>
      </c>
      <c r="AM93" s="29">
        <f t="shared" si="30"/>
        <v>2</v>
      </c>
      <c r="AN93" s="29">
        <f t="shared" si="31"/>
        <v>4</v>
      </c>
      <c r="AO93" s="29">
        <f t="shared" si="32"/>
        <v>3</v>
      </c>
      <c r="AP93" s="29">
        <f t="shared" si="33"/>
        <v>0</v>
      </c>
      <c r="AQ93" s="29">
        <f t="shared" si="34"/>
        <v>7</v>
      </c>
      <c r="AR93" s="29">
        <f t="shared" si="35"/>
        <v>6</v>
      </c>
      <c r="AS93" s="29">
        <f t="shared" si="36"/>
        <v>8</v>
      </c>
      <c r="AT93" s="29">
        <f t="shared" si="37"/>
        <v>9</v>
      </c>
      <c r="AU93" s="34">
        <f t="shared" si="38"/>
        <v>55</v>
      </c>
      <c r="AV93" s="19">
        <f t="shared" si="39"/>
        <v>59</v>
      </c>
    </row>
    <row r="94" spans="2:48">
      <c r="B94" s="21">
        <v>60</v>
      </c>
      <c r="C94" s="23">
        <v>6</v>
      </c>
      <c r="D94" s="22">
        <v>11</v>
      </c>
      <c r="E94" s="24">
        <f t="shared" si="42"/>
        <v>3</v>
      </c>
      <c r="F94" s="24">
        <f t="shared" si="42"/>
        <v>4</v>
      </c>
      <c r="G94" s="24">
        <f t="shared" si="42"/>
        <v>10</v>
      </c>
      <c r="H94" s="24">
        <f t="shared" si="42"/>
        <v>11</v>
      </c>
      <c r="I94" s="24">
        <f t="shared" si="42"/>
        <v>10</v>
      </c>
      <c r="J94" s="24">
        <f t="shared" si="42"/>
        <v>0</v>
      </c>
      <c r="K94" s="24">
        <f t="shared" si="42"/>
        <v>10</v>
      </c>
      <c r="L94" s="24">
        <f t="shared" si="42"/>
        <v>4</v>
      </c>
      <c r="M94" s="24">
        <f t="shared" si="42"/>
        <v>13</v>
      </c>
      <c r="N94" s="24">
        <f t="shared" si="42"/>
        <v>12</v>
      </c>
      <c r="O94" s="24">
        <f t="shared" si="42"/>
        <v>11</v>
      </c>
      <c r="P94" s="24">
        <f t="shared" si="42"/>
        <v>8</v>
      </c>
      <c r="Q94" s="24">
        <f t="shared" si="42"/>
        <v>10</v>
      </c>
      <c r="R94" s="24">
        <f t="shared" si="42"/>
        <v>9</v>
      </c>
      <c r="S94" s="25">
        <f t="shared" si="43"/>
        <v>10</v>
      </c>
      <c r="T94" s="25">
        <f t="shared" si="43"/>
        <v>7</v>
      </c>
      <c r="U94" s="25">
        <f t="shared" si="43"/>
        <v>3</v>
      </c>
      <c r="V94" s="25">
        <f t="shared" si="43"/>
        <v>10</v>
      </c>
      <c r="W94" s="25">
        <f t="shared" si="43"/>
        <v>9</v>
      </c>
      <c r="X94" s="25">
        <f t="shared" si="43"/>
        <v>11</v>
      </c>
      <c r="Y94" s="25">
        <f t="shared" si="43"/>
        <v>9</v>
      </c>
      <c r="Z94" s="25">
        <f t="shared" si="43"/>
        <v>7</v>
      </c>
      <c r="AA94" s="25">
        <f t="shared" si="43"/>
        <v>10</v>
      </c>
      <c r="AB94" s="25">
        <f t="shared" si="43"/>
        <v>7</v>
      </c>
      <c r="AC94" s="25">
        <f t="shared" si="43"/>
        <v>0</v>
      </c>
      <c r="AD94" s="25">
        <f t="shared" si="43"/>
        <v>3</v>
      </c>
      <c r="AE94" s="25">
        <f t="shared" si="43"/>
        <v>1</v>
      </c>
      <c r="AF94" s="25">
        <f t="shared" si="43"/>
        <v>4</v>
      </c>
      <c r="AG94" s="29">
        <f t="shared" si="24"/>
        <v>3</v>
      </c>
      <c r="AH94" s="29">
        <f t="shared" si="25"/>
        <v>4</v>
      </c>
      <c r="AI94" s="29">
        <f t="shared" si="26"/>
        <v>3</v>
      </c>
      <c r="AJ94" s="29">
        <f t="shared" si="27"/>
        <v>10</v>
      </c>
      <c r="AK94" s="29">
        <f t="shared" si="28"/>
        <v>9</v>
      </c>
      <c r="AL94" s="29">
        <f t="shared" si="29"/>
        <v>0</v>
      </c>
      <c r="AM94" s="29">
        <f t="shared" si="30"/>
        <v>9</v>
      </c>
      <c r="AN94" s="29">
        <f t="shared" si="31"/>
        <v>4</v>
      </c>
      <c r="AO94" s="29">
        <f t="shared" si="32"/>
        <v>10</v>
      </c>
      <c r="AP94" s="29">
        <f t="shared" si="33"/>
        <v>7</v>
      </c>
      <c r="AQ94" s="29">
        <f t="shared" si="34"/>
        <v>0</v>
      </c>
      <c r="AR94" s="29">
        <f t="shared" si="35"/>
        <v>3</v>
      </c>
      <c r="AS94" s="29">
        <f t="shared" si="36"/>
        <v>1</v>
      </c>
      <c r="AT94" s="29">
        <f t="shared" si="37"/>
        <v>4</v>
      </c>
      <c r="AU94" s="34">
        <f t="shared" si="38"/>
        <v>67</v>
      </c>
      <c r="AV94" s="19">
        <f t="shared" si="39"/>
        <v>60</v>
      </c>
    </row>
    <row r="95" spans="2:48">
      <c r="B95" s="21">
        <v>61</v>
      </c>
      <c r="C95" s="23">
        <v>6</v>
      </c>
      <c r="D95" s="22">
        <v>12</v>
      </c>
      <c r="E95" s="24">
        <f t="shared" ref="E95:R104" si="44">ABS(VLOOKUP($C95,$B$8:$D$21,2,0)-VLOOKUP(E$34,$B$8:$D$21,2,0))+ABS(VLOOKUP($C95,$B$8:$D$21,3,0)-VLOOKUP(E$34,$B$8:$D$21,3,0))</f>
        <v>3</v>
      </c>
      <c r="F95" s="24">
        <f t="shared" si="44"/>
        <v>4</v>
      </c>
      <c r="G95" s="24">
        <f t="shared" si="44"/>
        <v>10</v>
      </c>
      <c r="H95" s="24">
        <f t="shared" si="44"/>
        <v>11</v>
      </c>
      <c r="I95" s="24">
        <f t="shared" si="44"/>
        <v>10</v>
      </c>
      <c r="J95" s="24">
        <f t="shared" si="44"/>
        <v>0</v>
      </c>
      <c r="K95" s="24">
        <f t="shared" si="44"/>
        <v>10</v>
      </c>
      <c r="L95" s="24">
        <f t="shared" si="44"/>
        <v>4</v>
      </c>
      <c r="M95" s="24">
        <f t="shared" si="44"/>
        <v>13</v>
      </c>
      <c r="N95" s="24">
        <f t="shared" si="44"/>
        <v>12</v>
      </c>
      <c r="O95" s="24">
        <f t="shared" si="44"/>
        <v>11</v>
      </c>
      <c r="P95" s="24">
        <f t="shared" si="44"/>
        <v>8</v>
      </c>
      <c r="Q95" s="24">
        <f t="shared" si="44"/>
        <v>10</v>
      </c>
      <c r="R95" s="24">
        <f t="shared" si="44"/>
        <v>9</v>
      </c>
      <c r="S95" s="25">
        <f t="shared" ref="S95:AF104" si="45">ABS(VLOOKUP($D95,$B$8:$D$21,2,0)-VLOOKUP(S$34,$B$8:$D$21,2,0))+ABS(VLOOKUP($D95,$B$8:$D$21,3,0)-VLOOKUP(S$34,$B$8:$D$21,3,0))</f>
        <v>7</v>
      </c>
      <c r="T95" s="25">
        <f t="shared" si="45"/>
        <v>4</v>
      </c>
      <c r="U95" s="25">
        <f t="shared" si="45"/>
        <v>2</v>
      </c>
      <c r="V95" s="25">
        <f t="shared" si="45"/>
        <v>9</v>
      </c>
      <c r="W95" s="25">
        <f t="shared" si="45"/>
        <v>8</v>
      </c>
      <c r="X95" s="25">
        <f t="shared" si="45"/>
        <v>8</v>
      </c>
      <c r="Y95" s="25">
        <f t="shared" si="45"/>
        <v>8</v>
      </c>
      <c r="Z95" s="25">
        <f t="shared" si="45"/>
        <v>6</v>
      </c>
      <c r="AA95" s="25">
        <f t="shared" si="45"/>
        <v>9</v>
      </c>
      <c r="AB95" s="25">
        <f t="shared" si="45"/>
        <v>6</v>
      </c>
      <c r="AC95" s="25">
        <f t="shared" si="45"/>
        <v>3</v>
      </c>
      <c r="AD95" s="25">
        <f t="shared" si="45"/>
        <v>0</v>
      </c>
      <c r="AE95" s="25">
        <f t="shared" si="45"/>
        <v>2</v>
      </c>
      <c r="AF95" s="25">
        <f t="shared" si="45"/>
        <v>5</v>
      </c>
      <c r="AG95" s="29">
        <f t="shared" si="24"/>
        <v>3</v>
      </c>
      <c r="AH95" s="29">
        <f t="shared" si="25"/>
        <v>4</v>
      </c>
      <c r="AI95" s="29">
        <f t="shared" si="26"/>
        <v>2</v>
      </c>
      <c r="AJ95" s="29">
        <f t="shared" si="27"/>
        <v>9</v>
      </c>
      <c r="AK95" s="29">
        <f t="shared" si="28"/>
        <v>8</v>
      </c>
      <c r="AL95" s="29">
        <f t="shared" si="29"/>
        <v>0</v>
      </c>
      <c r="AM95" s="29">
        <f t="shared" si="30"/>
        <v>8</v>
      </c>
      <c r="AN95" s="29">
        <f t="shared" si="31"/>
        <v>4</v>
      </c>
      <c r="AO95" s="29">
        <f t="shared" si="32"/>
        <v>9</v>
      </c>
      <c r="AP95" s="29">
        <f t="shared" si="33"/>
        <v>6</v>
      </c>
      <c r="AQ95" s="29">
        <f t="shared" si="34"/>
        <v>3</v>
      </c>
      <c r="AR95" s="29">
        <f t="shared" si="35"/>
        <v>0</v>
      </c>
      <c r="AS95" s="29">
        <f t="shared" si="36"/>
        <v>2</v>
      </c>
      <c r="AT95" s="29">
        <f t="shared" si="37"/>
        <v>5</v>
      </c>
      <c r="AU95" s="34">
        <f t="shared" si="38"/>
        <v>63</v>
      </c>
      <c r="AV95" s="19">
        <f t="shared" si="39"/>
        <v>61</v>
      </c>
    </row>
    <row r="96" spans="2:48">
      <c r="B96" s="21">
        <v>62</v>
      </c>
      <c r="C96" s="23">
        <v>6</v>
      </c>
      <c r="D96" s="22">
        <v>13</v>
      </c>
      <c r="E96" s="24">
        <f t="shared" si="44"/>
        <v>3</v>
      </c>
      <c r="F96" s="24">
        <f t="shared" si="44"/>
        <v>4</v>
      </c>
      <c r="G96" s="24">
        <f t="shared" si="44"/>
        <v>10</v>
      </c>
      <c r="H96" s="24">
        <f t="shared" si="44"/>
        <v>11</v>
      </c>
      <c r="I96" s="24">
        <f t="shared" si="44"/>
        <v>10</v>
      </c>
      <c r="J96" s="24">
        <f t="shared" si="44"/>
        <v>0</v>
      </c>
      <c r="K96" s="24">
        <f t="shared" si="44"/>
        <v>10</v>
      </c>
      <c r="L96" s="24">
        <f t="shared" si="44"/>
        <v>4</v>
      </c>
      <c r="M96" s="24">
        <f t="shared" si="44"/>
        <v>13</v>
      </c>
      <c r="N96" s="24">
        <f t="shared" si="44"/>
        <v>12</v>
      </c>
      <c r="O96" s="24">
        <f t="shared" si="44"/>
        <v>11</v>
      </c>
      <c r="P96" s="24">
        <f t="shared" si="44"/>
        <v>8</v>
      </c>
      <c r="Q96" s="24">
        <f t="shared" si="44"/>
        <v>10</v>
      </c>
      <c r="R96" s="24">
        <f t="shared" si="44"/>
        <v>9</v>
      </c>
      <c r="S96" s="25">
        <f t="shared" si="45"/>
        <v>9</v>
      </c>
      <c r="T96" s="25">
        <f t="shared" si="45"/>
        <v>6</v>
      </c>
      <c r="U96" s="25">
        <f t="shared" si="45"/>
        <v>4</v>
      </c>
      <c r="V96" s="25">
        <f t="shared" si="45"/>
        <v>11</v>
      </c>
      <c r="W96" s="25">
        <f t="shared" si="45"/>
        <v>10</v>
      </c>
      <c r="X96" s="25">
        <f t="shared" si="45"/>
        <v>10</v>
      </c>
      <c r="Y96" s="25">
        <f t="shared" si="45"/>
        <v>10</v>
      </c>
      <c r="Z96" s="25">
        <f t="shared" si="45"/>
        <v>8</v>
      </c>
      <c r="AA96" s="25">
        <f t="shared" si="45"/>
        <v>11</v>
      </c>
      <c r="AB96" s="25">
        <f t="shared" si="45"/>
        <v>8</v>
      </c>
      <c r="AC96" s="25">
        <f t="shared" si="45"/>
        <v>1</v>
      </c>
      <c r="AD96" s="25">
        <f t="shared" si="45"/>
        <v>2</v>
      </c>
      <c r="AE96" s="25">
        <f t="shared" si="45"/>
        <v>0</v>
      </c>
      <c r="AF96" s="25">
        <f t="shared" si="45"/>
        <v>3</v>
      </c>
      <c r="AG96" s="29">
        <f t="shared" si="24"/>
        <v>3</v>
      </c>
      <c r="AH96" s="29">
        <f t="shared" si="25"/>
        <v>4</v>
      </c>
      <c r="AI96" s="29">
        <f t="shared" si="26"/>
        <v>4</v>
      </c>
      <c r="AJ96" s="29">
        <f t="shared" si="27"/>
        <v>11</v>
      </c>
      <c r="AK96" s="29">
        <f t="shared" si="28"/>
        <v>10</v>
      </c>
      <c r="AL96" s="29">
        <f t="shared" si="29"/>
        <v>0</v>
      </c>
      <c r="AM96" s="29">
        <f t="shared" si="30"/>
        <v>10</v>
      </c>
      <c r="AN96" s="29">
        <f t="shared" si="31"/>
        <v>4</v>
      </c>
      <c r="AO96" s="29">
        <f t="shared" si="32"/>
        <v>11</v>
      </c>
      <c r="AP96" s="29">
        <f t="shared" si="33"/>
        <v>8</v>
      </c>
      <c r="AQ96" s="29">
        <f t="shared" si="34"/>
        <v>1</v>
      </c>
      <c r="AR96" s="29">
        <f t="shared" si="35"/>
        <v>2</v>
      </c>
      <c r="AS96" s="29">
        <f t="shared" si="36"/>
        <v>0</v>
      </c>
      <c r="AT96" s="29">
        <f t="shared" si="37"/>
        <v>3</v>
      </c>
      <c r="AU96" s="34">
        <f t="shared" si="38"/>
        <v>71</v>
      </c>
      <c r="AV96" s="19">
        <f t="shared" si="39"/>
        <v>62</v>
      </c>
    </row>
    <row r="97" spans="2:48">
      <c r="B97" s="21">
        <v>63</v>
      </c>
      <c r="C97" s="23">
        <v>6</v>
      </c>
      <c r="D97" s="22">
        <v>14</v>
      </c>
      <c r="E97" s="24">
        <f t="shared" si="44"/>
        <v>3</v>
      </c>
      <c r="F97" s="24">
        <f t="shared" si="44"/>
        <v>4</v>
      </c>
      <c r="G97" s="24">
        <f t="shared" si="44"/>
        <v>10</v>
      </c>
      <c r="H97" s="24">
        <f t="shared" si="44"/>
        <v>11</v>
      </c>
      <c r="I97" s="24">
        <f t="shared" si="44"/>
        <v>10</v>
      </c>
      <c r="J97" s="24">
        <f t="shared" si="44"/>
        <v>0</v>
      </c>
      <c r="K97" s="24">
        <f t="shared" si="44"/>
        <v>10</v>
      </c>
      <c r="L97" s="24">
        <f t="shared" si="44"/>
        <v>4</v>
      </c>
      <c r="M97" s="24">
        <f t="shared" si="44"/>
        <v>13</v>
      </c>
      <c r="N97" s="24">
        <f t="shared" si="44"/>
        <v>12</v>
      </c>
      <c r="O97" s="24">
        <f t="shared" si="44"/>
        <v>11</v>
      </c>
      <c r="P97" s="24">
        <f t="shared" si="44"/>
        <v>8</v>
      </c>
      <c r="Q97" s="24">
        <f t="shared" si="44"/>
        <v>10</v>
      </c>
      <c r="R97" s="24">
        <f t="shared" si="44"/>
        <v>9</v>
      </c>
      <c r="S97" s="25">
        <f t="shared" si="45"/>
        <v>6</v>
      </c>
      <c r="T97" s="25">
        <f t="shared" si="45"/>
        <v>7</v>
      </c>
      <c r="U97" s="25">
        <f t="shared" si="45"/>
        <v>7</v>
      </c>
      <c r="V97" s="25">
        <f t="shared" si="45"/>
        <v>14</v>
      </c>
      <c r="W97" s="25">
        <f t="shared" si="45"/>
        <v>13</v>
      </c>
      <c r="X97" s="25">
        <f t="shared" si="45"/>
        <v>9</v>
      </c>
      <c r="Y97" s="25">
        <f t="shared" si="45"/>
        <v>13</v>
      </c>
      <c r="Z97" s="25">
        <f t="shared" si="45"/>
        <v>11</v>
      </c>
      <c r="AA97" s="25">
        <f t="shared" si="45"/>
        <v>14</v>
      </c>
      <c r="AB97" s="25">
        <f t="shared" si="45"/>
        <v>11</v>
      </c>
      <c r="AC97" s="25">
        <f t="shared" si="45"/>
        <v>4</v>
      </c>
      <c r="AD97" s="25">
        <f t="shared" si="45"/>
        <v>5</v>
      </c>
      <c r="AE97" s="25">
        <f t="shared" si="45"/>
        <v>3</v>
      </c>
      <c r="AF97" s="25">
        <f t="shared" si="45"/>
        <v>0</v>
      </c>
      <c r="AG97" s="29">
        <f t="shared" si="24"/>
        <v>3</v>
      </c>
      <c r="AH97" s="29">
        <f t="shared" si="25"/>
        <v>4</v>
      </c>
      <c r="AI97" s="29">
        <f t="shared" si="26"/>
        <v>7</v>
      </c>
      <c r="AJ97" s="29">
        <f t="shared" si="27"/>
        <v>11</v>
      </c>
      <c r="AK97" s="29">
        <f t="shared" si="28"/>
        <v>10</v>
      </c>
      <c r="AL97" s="29">
        <f t="shared" si="29"/>
        <v>0</v>
      </c>
      <c r="AM97" s="29">
        <f t="shared" si="30"/>
        <v>10</v>
      </c>
      <c r="AN97" s="29">
        <f t="shared" si="31"/>
        <v>4</v>
      </c>
      <c r="AO97" s="29">
        <f t="shared" si="32"/>
        <v>13</v>
      </c>
      <c r="AP97" s="29">
        <f t="shared" si="33"/>
        <v>11</v>
      </c>
      <c r="AQ97" s="29">
        <f t="shared" si="34"/>
        <v>4</v>
      </c>
      <c r="AR97" s="29">
        <f t="shared" si="35"/>
        <v>5</v>
      </c>
      <c r="AS97" s="29">
        <f t="shared" si="36"/>
        <v>3</v>
      </c>
      <c r="AT97" s="29">
        <f t="shared" si="37"/>
        <v>0</v>
      </c>
      <c r="AU97" s="34">
        <f t="shared" si="38"/>
        <v>85</v>
      </c>
      <c r="AV97" s="19">
        <f t="shared" si="39"/>
        <v>63</v>
      </c>
    </row>
    <row r="98" spans="2:48">
      <c r="B98" s="21">
        <v>64</v>
      </c>
      <c r="C98" s="23">
        <v>7</v>
      </c>
      <c r="D98" s="22">
        <v>8</v>
      </c>
      <c r="E98" s="24">
        <f t="shared" si="44"/>
        <v>9</v>
      </c>
      <c r="F98" s="24">
        <f t="shared" si="44"/>
        <v>6</v>
      </c>
      <c r="G98" s="24">
        <f t="shared" si="44"/>
        <v>6</v>
      </c>
      <c r="H98" s="24">
        <f t="shared" si="44"/>
        <v>1</v>
      </c>
      <c r="I98" s="24">
        <f t="shared" si="44"/>
        <v>0</v>
      </c>
      <c r="J98" s="24">
        <f t="shared" si="44"/>
        <v>10</v>
      </c>
      <c r="K98" s="24">
        <f t="shared" si="44"/>
        <v>0</v>
      </c>
      <c r="L98" s="24">
        <f t="shared" si="44"/>
        <v>6</v>
      </c>
      <c r="M98" s="24">
        <f t="shared" si="44"/>
        <v>3</v>
      </c>
      <c r="N98" s="24">
        <f t="shared" si="44"/>
        <v>2</v>
      </c>
      <c r="O98" s="24">
        <f t="shared" si="44"/>
        <v>9</v>
      </c>
      <c r="P98" s="24">
        <f t="shared" si="44"/>
        <v>8</v>
      </c>
      <c r="Q98" s="24">
        <f t="shared" si="44"/>
        <v>10</v>
      </c>
      <c r="R98" s="24">
        <f t="shared" si="44"/>
        <v>13</v>
      </c>
      <c r="S98" s="25">
        <f t="shared" si="45"/>
        <v>5</v>
      </c>
      <c r="T98" s="25">
        <f t="shared" si="45"/>
        <v>4</v>
      </c>
      <c r="U98" s="25">
        <f t="shared" si="45"/>
        <v>6</v>
      </c>
      <c r="V98" s="25">
        <f t="shared" si="45"/>
        <v>7</v>
      </c>
      <c r="W98" s="25">
        <f t="shared" si="45"/>
        <v>6</v>
      </c>
      <c r="X98" s="25">
        <f t="shared" si="45"/>
        <v>4</v>
      </c>
      <c r="Y98" s="25">
        <f t="shared" si="45"/>
        <v>6</v>
      </c>
      <c r="Z98" s="25">
        <f t="shared" si="45"/>
        <v>0</v>
      </c>
      <c r="AA98" s="25">
        <f t="shared" si="45"/>
        <v>9</v>
      </c>
      <c r="AB98" s="25">
        <f t="shared" si="45"/>
        <v>8</v>
      </c>
      <c r="AC98" s="25">
        <f t="shared" si="45"/>
        <v>7</v>
      </c>
      <c r="AD98" s="25">
        <f t="shared" si="45"/>
        <v>6</v>
      </c>
      <c r="AE98" s="25">
        <f t="shared" si="45"/>
        <v>8</v>
      </c>
      <c r="AF98" s="25">
        <f t="shared" si="45"/>
        <v>11</v>
      </c>
      <c r="AG98" s="29">
        <f t="shared" si="24"/>
        <v>5</v>
      </c>
      <c r="AH98" s="29">
        <f t="shared" si="25"/>
        <v>4</v>
      </c>
      <c r="AI98" s="29">
        <f t="shared" si="26"/>
        <v>6</v>
      </c>
      <c r="AJ98" s="29">
        <f t="shared" si="27"/>
        <v>1</v>
      </c>
      <c r="AK98" s="29">
        <f t="shared" si="28"/>
        <v>0</v>
      </c>
      <c r="AL98" s="29">
        <f t="shared" si="29"/>
        <v>4</v>
      </c>
      <c r="AM98" s="29">
        <f t="shared" si="30"/>
        <v>0</v>
      </c>
      <c r="AN98" s="29">
        <f t="shared" si="31"/>
        <v>0</v>
      </c>
      <c r="AO98" s="29">
        <f t="shared" si="32"/>
        <v>3</v>
      </c>
      <c r="AP98" s="29">
        <f t="shared" si="33"/>
        <v>2</v>
      </c>
      <c r="AQ98" s="29">
        <f t="shared" si="34"/>
        <v>7</v>
      </c>
      <c r="AR98" s="29">
        <f t="shared" si="35"/>
        <v>6</v>
      </c>
      <c r="AS98" s="29">
        <f t="shared" si="36"/>
        <v>8</v>
      </c>
      <c r="AT98" s="29">
        <f t="shared" si="37"/>
        <v>11</v>
      </c>
      <c r="AU98" s="34">
        <f t="shared" si="38"/>
        <v>57</v>
      </c>
      <c r="AV98" s="19">
        <f t="shared" si="39"/>
        <v>64</v>
      </c>
    </row>
    <row r="99" spans="2:48">
      <c r="B99" s="21">
        <v>65</v>
      </c>
      <c r="C99" s="23">
        <v>7</v>
      </c>
      <c r="D99" s="22">
        <v>9</v>
      </c>
      <c r="E99" s="24">
        <f t="shared" si="44"/>
        <v>9</v>
      </c>
      <c r="F99" s="24">
        <f t="shared" si="44"/>
        <v>6</v>
      </c>
      <c r="G99" s="24">
        <f t="shared" si="44"/>
        <v>6</v>
      </c>
      <c r="H99" s="24">
        <f t="shared" si="44"/>
        <v>1</v>
      </c>
      <c r="I99" s="24">
        <f t="shared" si="44"/>
        <v>0</v>
      </c>
      <c r="J99" s="24">
        <f t="shared" si="44"/>
        <v>10</v>
      </c>
      <c r="K99" s="24">
        <f t="shared" si="44"/>
        <v>0</v>
      </c>
      <c r="L99" s="24">
        <f t="shared" si="44"/>
        <v>6</v>
      </c>
      <c r="M99" s="24">
        <f t="shared" si="44"/>
        <v>3</v>
      </c>
      <c r="N99" s="24">
        <f t="shared" si="44"/>
        <v>2</v>
      </c>
      <c r="O99" s="24">
        <f t="shared" si="44"/>
        <v>9</v>
      </c>
      <c r="P99" s="24">
        <f t="shared" si="44"/>
        <v>8</v>
      </c>
      <c r="Q99" s="24">
        <f t="shared" si="44"/>
        <v>10</v>
      </c>
      <c r="R99" s="24">
        <f t="shared" si="44"/>
        <v>13</v>
      </c>
      <c r="S99" s="25">
        <f t="shared" si="45"/>
        <v>12</v>
      </c>
      <c r="T99" s="25">
        <f t="shared" si="45"/>
        <v>9</v>
      </c>
      <c r="U99" s="25">
        <f t="shared" si="45"/>
        <v>7</v>
      </c>
      <c r="V99" s="25">
        <f t="shared" si="45"/>
        <v>2</v>
      </c>
      <c r="W99" s="25">
        <f t="shared" si="45"/>
        <v>3</v>
      </c>
      <c r="X99" s="25">
        <f t="shared" si="45"/>
        <v>13</v>
      </c>
      <c r="Y99" s="25">
        <f t="shared" si="45"/>
        <v>3</v>
      </c>
      <c r="Z99" s="25">
        <f t="shared" si="45"/>
        <v>9</v>
      </c>
      <c r="AA99" s="25">
        <f t="shared" si="45"/>
        <v>0</v>
      </c>
      <c r="AB99" s="25">
        <f t="shared" si="45"/>
        <v>3</v>
      </c>
      <c r="AC99" s="25">
        <f t="shared" si="45"/>
        <v>10</v>
      </c>
      <c r="AD99" s="25">
        <f t="shared" si="45"/>
        <v>9</v>
      </c>
      <c r="AE99" s="25">
        <f t="shared" si="45"/>
        <v>11</v>
      </c>
      <c r="AF99" s="25">
        <f t="shared" si="45"/>
        <v>14</v>
      </c>
      <c r="AG99" s="29">
        <f t="shared" ref="AG99:AG125" si="46">MIN(E99,S99)</f>
        <v>9</v>
      </c>
      <c r="AH99" s="29">
        <f t="shared" ref="AH99:AH125" si="47">MIN(F99,T99)</f>
        <v>6</v>
      </c>
      <c r="AI99" s="29">
        <f t="shared" ref="AI99:AI125" si="48">MIN(G99,U99)</f>
        <v>6</v>
      </c>
      <c r="AJ99" s="29">
        <f t="shared" ref="AJ99:AJ125" si="49">MIN(H99,V99)</f>
        <v>1</v>
      </c>
      <c r="AK99" s="29">
        <f t="shared" ref="AK99:AK125" si="50">MIN(I99,W99)</f>
        <v>0</v>
      </c>
      <c r="AL99" s="29">
        <f t="shared" ref="AL99:AL125" si="51">MIN(J99,X99)</f>
        <v>10</v>
      </c>
      <c r="AM99" s="29">
        <f t="shared" ref="AM99:AM125" si="52">MIN(K99,Y99)</f>
        <v>0</v>
      </c>
      <c r="AN99" s="29">
        <f t="shared" ref="AN99:AN125" si="53">MIN(L99,Z99)</f>
        <v>6</v>
      </c>
      <c r="AO99" s="29">
        <f t="shared" ref="AO99:AO125" si="54">MIN(M99,AA99)</f>
        <v>0</v>
      </c>
      <c r="AP99" s="29">
        <f t="shared" ref="AP99:AP125" si="55">MIN(N99,AB99)</f>
        <v>2</v>
      </c>
      <c r="AQ99" s="29">
        <f t="shared" ref="AQ99:AQ125" si="56">MIN(O99,AC99)</f>
        <v>9</v>
      </c>
      <c r="AR99" s="29">
        <f t="shared" ref="AR99:AR125" si="57">MIN(P99,AD99)</f>
        <v>8</v>
      </c>
      <c r="AS99" s="29">
        <f t="shared" ref="AS99:AS125" si="58">MIN(Q99,AE99)</f>
        <v>10</v>
      </c>
      <c r="AT99" s="29">
        <f t="shared" ref="AT99:AT125" si="59">MIN(R99,AF99)</f>
        <v>13</v>
      </c>
      <c r="AU99" s="34">
        <f t="shared" ref="AU99:AU125" si="60">SUM(AG99:AT99)</f>
        <v>80</v>
      </c>
      <c r="AV99" s="19">
        <f t="shared" ref="AV99:AV125" si="61">B99</f>
        <v>65</v>
      </c>
    </row>
    <row r="100" spans="2:48">
      <c r="B100" s="21">
        <v>66</v>
      </c>
      <c r="C100" s="23">
        <v>7</v>
      </c>
      <c r="D100" s="22">
        <v>10</v>
      </c>
      <c r="E100" s="24">
        <f t="shared" si="44"/>
        <v>9</v>
      </c>
      <c r="F100" s="24">
        <f t="shared" si="44"/>
        <v>6</v>
      </c>
      <c r="G100" s="24">
        <f t="shared" si="44"/>
        <v>6</v>
      </c>
      <c r="H100" s="24">
        <f t="shared" si="44"/>
        <v>1</v>
      </c>
      <c r="I100" s="24">
        <f t="shared" si="44"/>
        <v>0</v>
      </c>
      <c r="J100" s="24">
        <f t="shared" si="44"/>
        <v>10</v>
      </c>
      <c r="K100" s="24">
        <f t="shared" si="44"/>
        <v>0</v>
      </c>
      <c r="L100" s="24">
        <f t="shared" si="44"/>
        <v>6</v>
      </c>
      <c r="M100" s="24">
        <f t="shared" si="44"/>
        <v>3</v>
      </c>
      <c r="N100" s="24">
        <f t="shared" si="44"/>
        <v>2</v>
      </c>
      <c r="O100" s="24">
        <f t="shared" si="44"/>
        <v>9</v>
      </c>
      <c r="P100" s="24">
        <f t="shared" si="44"/>
        <v>8</v>
      </c>
      <c r="Q100" s="24">
        <f t="shared" si="44"/>
        <v>10</v>
      </c>
      <c r="R100" s="24">
        <f t="shared" si="44"/>
        <v>13</v>
      </c>
      <c r="S100" s="25">
        <f t="shared" si="45"/>
        <v>11</v>
      </c>
      <c r="T100" s="25">
        <f t="shared" si="45"/>
        <v>8</v>
      </c>
      <c r="U100" s="25">
        <f t="shared" si="45"/>
        <v>4</v>
      </c>
      <c r="V100" s="25">
        <f t="shared" si="45"/>
        <v>3</v>
      </c>
      <c r="W100" s="25">
        <f t="shared" si="45"/>
        <v>2</v>
      </c>
      <c r="X100" s="25">
        <f t="shared" si="45"/>
        <v>12</v>
      </c>
      <c r="Y100" s="25">
        <f t="shared" si="45"/>
        <v>2</v>
      </c>
      <c r="Z100" s="25">
        <f t="shared" si="45"/>
        <v>8</v>
      </c>
      <c r="AA100" s="25">
        <f t="shared" si="45"/>
        <v>3</v>
      </c>
      <c r="AB100" s="25">
        <f t="shared" si="45"/>
        <v>0</v>
      </c>
      <c r="AC100" s="25">
        <f t="shared" si="45"/>
        <v>7</v>
      </c>
      <c r="AD100" s="25">
        <f t="shared" si="45"/>
        <v>6</v>
      </c>
      <c r="AE100" s="25">
        <f t="shared" si="45"/>
        <v>8</v>
      </c>
      <c r="AF100" s="25">
        <f t="shared" si="45"/>
        <v>11</v>
      </c>
      <c r="AG100" s="29">
        <f t="shared" si="46"/>
        <v>9</v>
      </c>
      <c r="AH100" s="29">
        <f t="shared" si="47"/>
        <v>6</v>
      </c>
      <c r="AI100" s="29">
        <f t="shared" si="48"/>
        <v>4</v>
      </c>
      <c r="AJ100" s="29">
        <f t="shared" si="49"/>
        <v>1</v>
      </c>
      <c r="AK100" s="29">
        <f t="shared" si="50"/>
        <v>0</v>
      </c>
      <c r="AL100" s="29">
        <f t="shared" si="51"/>
        <v>10</v>
      </c>
      <c r="AM100" s="29">
        <f t="shared" si="52"/>
        <v>0</v>
      </c>
      <c r="AN100" s="29">
        <f t="shared" si="53"/>
        <v>6</v>
      </c>
      <c r="AO100" s="29">
        <f t="shared" si="54"/>
        <v>3</v>
      </c>
      <c r="AP100" s="29">
        <f t="shared" si="55"/>
        <v>0</v>
      </c>
      <c r="AQ100" s="29">
        <f t="shared" si="56"/>
        <v>7</v>
      </c>
      <c r="AR100" s="29">
        <f t="shared" si="57"/>
        <v>6</v>
      </c>
      <c r="AS100" s="29">
        <f t="shared" si="58"/>
        <v>8</v>
      </c>
      <c r="AT100" s="29">
        <f t="shared" si="59"/>
        <v>11</v>
      </c>
      <c r="AU100" s="34">
        <f t="shared" si="60"/>
        <v>71</v>
      </c>
      <c r="AV100" s="19">
        <f t="shared" si="61"/>
        <v>66</v>
      </c>
    </row>
    <row r="101" spans="2:48">
      <c r="B101" s="21">
        <v>67</v>
      </c>
      <c r="C101" s="23">
        <v>7</v>
      </c>
      <c r="D101" s="22">
        <v>11</v>
      </c>
      <c r="E101" s="24">
        <f t="shared" si="44"/>
        <v>9</v>
      </c>
      <c r="F101" s="24">
        <f t="shared" si="44"/>
        <v>6</v>
      </c>
      <c r="G101" s="24">
        <f t="shared" si="44"/>
        <v>6</v>
      </c>
      <c r="H101" s="24">
        <f t="shared" si="44"/>
        <v>1</v>
      </c>
      <c r="I101" s="24">
        <f t="shared" si="44"/>
        <v>0</v>
      </c>
      <c r="J101" s="24">
        <f t="shared" si="44"/>
        <v>10</v>
      </c>
      <c r="K101" s="24">
        <f t="shared" si="44"/>
        <v>0</v>
      </c>
      <c r="L101" s="24">
        <f t="shared" si="44"/>
        <v>6</v>
      </c>
      <c r="M101" s="24">
        <f t="shared" si="44"/>
        <v>3</v>
      </c>
      <c r="N101" s="24">
        <f t="shared" si="44"/>
        <v>2</v>
      </c>
      <c r="O101" s="24">
        <f t="shared" si="44"/>
        <v>9</v>
      </c>
      <c r="P101" s="24">
        <f t="shared" si="44"/>
        <v>8</v>
      </c>
      <c r="Q101" s="24">
        <f t="shared" si="44"/>
        <v>10</v>
      </c>
      <c r="R101" s="24">
        <f t="shared" si="44"/>
        <v>13</v>
      </c>
      <c r="S101" s="25">
        <f t="shared" si="45"/>
        <v>10</v>
      </c>
      <c r="T101" s="25">
        <f t="shared" si="45"/>
        <v>7</v>
      </c>
      <c r="U101" s="25">
        <f t="shared" si="45"/>
        <v>3</v>
      </c>
      <c r="V101" s="25">
        <f t="shared" si="45"/>
        <v>10</v>
      </c>
      <c r="W101" s="25">
        <f t="shared" si="45"/>
        <v>9</v>
      </c>
      <c r="X101" s="25">
        <f t="shared" si="45"/>
        <v>11</v>
      </c>
      <c r="Y101" s="25">
        <f t="shared" si="45"/>
        <v>9</v>
      </c>
      <c r="Z101" s="25">
        <f t="shared" si="45"/>
        <v>7</v>
      </c>
      <c r="AA101" s="25">
        <f t="shared" si="45"/>
        <v>10</v>
      </c>
      <c r="AB101" s="25">
        <f t="shared" si="45"/>
        <v>7</v>
      </c>
      <c r="AC101" s="25">
        <f t="shared" si="45"/>
        <v>0</v>
      </c>
      <c r="AD101" s="25">
        <f t="shared" si="45"/>
        <v>3</v>
      </c>
      <c r="AE101" s="25">
        <f t="shared" si="45"/>
        <v>1</v>
      </c>
      <c r="AF101" s="25">
        <f t="shared" si="45"/>
        <v>4</v>
      </c>
      <c r="AG101" s="29">
        <f t="shared" si="46"/>
        <v>9</v>
      </c>
      <c r="AH101" s="29">
        <f t="shared" si="47"/>
        <v>6</v>
      </c>
      <c r="AI101" s="29">
        <f t="shared" si="48"/>
        <v>3</v>
      </c>
      <c r="AJ101" s="29">
        <f t="shared" si="49"/>
        <v>1</v>
      </c>
      <c r="AK101" s="29">
        <f t="shared" si="50"/>
        <v>0</v>
      </c>
      <c r="AL101" s="29">
        <f t="shared" si="51"/>
        <v>10</v>
      </c>
      <c r="AM101" s="29">
        <f t="shared" si="52"/>
        <v>0</v>
      </c>
      <c r="AN101" s="29">
        <f t="shared" si="53"/>
        <v>6</v>
      </c>
      <c r="AO101" s="29">
        <f t="shared" si="54"/>
        <v>3</v>
      </c>
      <c r="AP101" s="29">
        <f t="shared" si="55"/>
        <v>2</v>
      </c>
      <c r="AQ101" s="29">
        <f t="shared" si="56"/>
        <v>0</v>
      </c>
      <c r="AR101" s="29">
        <f t="shared" si="57"/>
        <v>3</v>
      </c>
      <c r="AS101" s="29">
        <f t="shared" si="58"/>
        <v>1</v>
      </c>
      <c r="AT101" s="29">
        <f t="shared" si="59"/>
        <v>4</v>
      </c>
      <c r="AU101" s="34">
        <f t="shared" si="60"/>
        <v>48</v>
      </c>
      <c r="AV101" s="19">
        <f t="shared" si="61"/>
        <v>67</v>
      </c>
    </row>
    <row r="102" spans="2:48">
      <c r="B102" s="21">
        <v>68</v>
      </c>
      <c r="C102" s="23">
        <v>7</v>
      </c>
      <c r="D102" s="22">
        <v>12</v>
      </c>
      <c r="E102" s="24">
        <f t="shared" si="44"/>
        <v>9</v>
      </c>
      <c r="F102" s="24">
        <f t="shared" si="44"/>
        <v>6</v>
      </c>
      <c r="G102" s="24">
        <f t="shared" si="44"/>
        <v>6</v>
      </c>
      <c r="H102" s="24">
        <f t="shared" si="44"/>
        <v>1</v>
      </c>
      <c r="I102" s="24">
        <f t="shared" si="44"/>
        <v>0</v>
      </c>
      <c r="J102" s="24">
        <f t="shared" si="44"/>
        <v>10</v>
      </c>
      <c r="K102" s="24">
        <f t="shared" si="44"/>
        <v>0</v>
      </c>
      <c r="L102" s="24">
        <f t="shared" si="44"/>
        <v>6</v>
      </c>
      <c r="M102" s="24">
        <f t="shared" si="44"/>
        <v>3</v>
      </c>
      <c r="N102" s="24">
        <f t="shared" si="44"/>
        <v>2</v>
      </c>
      <c r="O102" s="24">
        <f t="shared" si="44"/>
        <v>9</v>
      </c>
      <c r="P102" s="24">
        <f t="shared" si="44"/>
        <v>8</v>
      </c>
      <c r="Q102" s="24">
        <f t="shared" si="44"/>
        <v>10</v>
      </c>
      <c r="R102" s="24">
        <f t="shared" si="44"/>
        <v>13</v>
      </c>
      <c r="S102" s="25">
        <f t="shared" si="45"/>
        <v>7</v>
      </c>
      <c r="T102" s="25">
        <f t="shared" si="45"/>
        <v>4</v>
      </c>
      <c r="U102" s="25">
        <f t="shared" si="45"/>
        <v>2</v>
      </c>
      <c r="V102" s="25">
        <f t="shared" si="45"/>
        <v>9</v>
      </c>
      <c r="W102" s="25">
        <f t="shared" si="45"/>
        <v>8</v>
      </c>
      <c r="X102" s="25">
        <f t="shared" si="45"/>
        <v>8</v>
      </c>
      <c r="Y102" s="25">
        <f t="shared" si="45"/>
        <v>8</v>
      </c>
      <c r="Z102" s="25">
        <f t="shared" si="45"/>
        <v>6</v>
      </c>
      <c r="AA102" s="25">
        <f t="shared" si="45"/>
        <v>9</v>
      </c>
      <c r="AB102" s="25">
        <f t="shared" si="45"/>
        <v>6</v>
      </c>
      <c r="AC102" s="25">
        <f t="shared" si="45"/>
        <v>3</v>
      </c>
      <c r="AD102" s="25">
        <f t="shared" si="45"/>
        <v>0</v>
      </c>
      <c r="AE102" s="25">
        <f t="shared" si="45"/>
        <v>2</v>
      </c>
      <c r="AF102" s="25">
        <f t="shared" si="45"/>
        <v>5</v>
      </c>
      <c r="AG102" s="29">
        <f t="shared" si="46"/>
        <v>7</v>
      </c>
      <c r="AH102" s="29">
        <f t="shared" si="47"/>
        <v>4</v>
      </c>
      <c r="AI102" s="29">
        <f t="shared" si="48"/>
        <v>2</v>
      </c>
      <c r="AJ102" s="29">
        <f t="shared" si="49"/>
        <v>1</v>
      </c>
      <c r="AK102" s="29">
        <f t="shared" si="50"/>
        <v>0</v>
      </c>
      <c r="AL102" s="29">
        <f t="shared" si="51"/>
        <v>8</v>
      </c>
      <c r="AM102" s="29">
        <f t="shared" si="52"/>
        <v>0</v>
      </c>
      <c r="AN102" s="29">
        <f t="shared" si="53"/>
        <v>6</v>
      </c>
      <c r="AO102" s="29">
        <f t="shared" si="54"/>
        <v>3</v>
      </c>
      <c r="AP102" s="29">
        <f t="shared" si="55"/>
        <v>2</v>
      </c>
      <c r="AQ102" s="29">
        <f t="shared" si="56"/>
        <v>3</v>
      </c>
      <c r="AR102" s="29">
        <f t="shared" si="57"/>
        <v>0</v>
      </c>
      <c r="AS102" s="29">
        <f t="shared" si="58"/>
        <v>2</v>
      </c>
      <c r="AT102" s="29">
        <f t="shared" si="59"/>
        <v>5</v>
      </c>
      <c r="AU102" s="34">
        <f t="shared" si="60"/>
        <v>43</v>
      </c>
      <c r="AV102" s="19">
        <f t="shared" si="61"/>
        <v>68</v>
      </c>
    </row>
    <row r="103" spans="2:48">
      <c r="B103" s="21">
        <v>69</v>
      </c>
      <c r="C103" s="23">
        <v>7</v>
      </c>
      <c r="D103" s="22">
        <v>13</v>
      </c>
      <c r="E103" s="24">
        <f t="shared" si="44"/>
        <v>9</v>
      </c>
      <c r="F103" s="24">
        <f t="shared" si="44"/>
        <v>6</v>
      </c>
      <c r="G103" s="24">
        <f t="shared" si="44"/>
        <v>6</v>
      </c>
      <c r="H103" s="24">
        <f t="shared" si="44"/>
        <v>1</v>
      </c>
      <c r="I103" s="24">
        <f t="shared" si="44"/>
        <v>0</v>
      </c>
      <c r="J103" s="24">
        <f t="shared" si="44"/>
        <v>10</v>
      </c>
      <c r="K103" s="24">
        <f t="shared" si="44"/>
        <v>0</v>
      </c>
      <c r="L103" s="24">
        <f t="shared" si="44"/>
        <v>6</v>
      </c>
      <c r="M103" s="24">
        <f t="shared" si="44"/>
        <v>3</v>
      </c>
      <c r="N103" s="24">
        <f t="shared" si="44"/>
        <v>2</v>
      </c>
      <c r="O103" s="24">
        <f t="shared" si="44"/>
        <v>9</v>
      </c>
      <c r="P103" s="24">
        <f t="shared" si="44"/>
        <v>8</v>
      </c>
      <c r="Q103" s="24">
        <f t="shared" si="44"/>
        <v>10</v>
      </c>
      <c r="R103" s="24">
        <f t="shared" si="44"/>
        <v>13</v>
      </c>
      <c r="S103" s="25">
        <f t="shared" si="45"/>
        <v>9</v>
      </c>
      <c r="T103" s="25">
        <f t="shared" si="45"/>
        <v>6</v>
      </c>
      <c r="U103" s="25">
        <f t="shared" si="45"/>
        <v>4</v>
      </c>
      <c r="V103" s="25">
        <f t="shared" si="45"/>
        <v>11</v>
      </c>
      <c r="W103" s="25">
        <f t="shared" si="45"/>
        <v>10</v>
      </c>
      <c r="X103" s="25">
        <f t="shared" si="45"/>
        <v>10</v>
      </c>
      <c r="Y103" s="25">
        <f t="shared" si="45"/>
        <v>10</v>
      </c>
      <c r="Z103" s="25">
        <f t="shared" si="45"/>
        <v>8</v>
      </c>
      <c r="AA103" s="25">
        <f t="shared" si="45"/>
        <v>11</v>
      </c>
      <c r="AB103" s="25">
        <f t="shared" si="45"/>
        <v>8</v>
      </c>
      <c r="AC103" s="25">
        <f t="shared" si="45"/>
        <v>1</v>
      </c>
      <c r="AD103" s="25">
        <f t="shared" si="45"/>
        <v>2</v>
      </c>
      <c r="AE103" s="25">
        <f t="shared" si="45"/>
        <v>0</v>
      </c>
      <c r="AF103" s="25">
        <f t="shared" si="45"/>
        <v>3</v>
      </c>
      <c r="AG103" s="29">
        <f t="shared" si="46"/>
        <v>9</v>
      </c>
      <c r="AH103" s="29">
        <f t="shared" si="47"/>
        <v>6</v>
      </c>
      <c r="AI103" s="29">
        <f t="shared" si="48"/>
        <v>4</v>
      </c>
      <c r="AJ103" s="29">
        <f t="shared" si="49"/>
        <v>1</v>
      </c>
      <c r="AK103" s="29">
        <f t="shared" si="50"/>
        <v>0</v>
      </c>
      <c r="AL103" s="29">
        <f t="shared" si="51"/>
        <v>10</v>
      </c>
      <c r="AM103" s="29">
        <f t="shared" si="52"/>
        <v>0</v>
      </c>
      <c r="AN103" s="29">
        <f t="shared" si="53"/>
        <v>6</v>
      </c>
      <c r="AO103" s="29">
        <f t="shared" si="54"/>
        <v>3</v>
      </c>
      <c r="AP103" s="29">
        <f t="shared" si="55"/>
        <v>2</v>
      </c>
      <c r="AQ103" s="29">
        <f t="shared" si="56"/>
        <v>1</v>
      </c>
      <c r="AR103" s="29">
        <f t="shared" si="57"/>
        <v>2</v>
      </c>
      <c r="AS103" s="29">
        <f t="shared" si="58"/>
        <v>0</v>
      </c>
      <c r="AT103" s="29">
        <f t="shared" si="59"/>
        <v>3</v>
      </c>
      <c r="AU103" s="34">
        <f t="shared" si="60"/>
        <v>47</v>
      </c>
      <c r="AV103" s="19">
        <f t="shared" si="61"/>
        <v>69</v>
      </c>
    </row>
    <row r="104" spans="2:48">
      <c r="B104" s="21">
        <v>70</v>
      </c>
      <c r="C104" s="23">
        <v>7</v>
      </c>
      <c r="D104" s="22">
        <v>14</v>
      </c>
      <c r="E104" s="24">
        <f t="shared" si="44"/>
        <v>9</v>
      </c>
      <c r="F104" s="24">
        <f t="shared" si="44"/>
        <v>6</v>
      </c>
      <c r="G104" s="24">
        <f t="shared" si="44"/>
        <v>6</v>
      </c>
      <c r="H104" s="24">
        <f t="shared" si="44"/>
        <v>1</v>
      </c>
      <c r="I104" s="24">
        <f t="shared" si="44"/>
        <v>0</v>
      </c>
      <c r="J104" s="24">
        <f t="shared" si="44"/>
        <v>10</v>
      </c>
      <c r="K104" s="24">
        <f t="shared" si="44"/>
        <v>0</v>
      </c>
      <c r="L104" s="24">
        <f t="shared" si="44"/>
        <v>6</v>
      </c>
      <c r="M104" s="24">
        <f t="shared" si="44"/>
        <v>3</v>
      </c>
      <c r="N104" s="24">
        <f t="shared" si="44"/>
        <v>2</v>
      </c>
      <c r="O104" s="24">
        <f t="shared" si="44"/>
        <v>9</v>
      </c>
      <c r="P104" s="24">
        <f t="shared" si="44"/>
        <v>8</v>
      </c>
      <c r="Q104" s="24">
        <f t="shared" si="44"/>
        <v>10</v>
      </c>
      <c r="R104" s="24">
        <f t="shared" si="44"/>
        <v>13</v>
      </c>
      <c r="S104" s="25">
        <f t="shared" si="45"/>
        <v>6</v>
      </c>
      <c r="T104" s="25">
        <f t="shared" si="45"/>
        <v>7</v>
      </c>
      <c r="U104" s="25">
        <f t="shared" si="45"/>
        <v>7</v>
      </c>
      <c r="V104" s="25">
        <f t="shared" si="45"/>
        <v>14</v>
      </c>
      <c r="W104" s="25">
        <f t="shared" si="45"/>
        <v>13</v>
      </c>
      <c r="X104" s="25">
        <f t="shared" si="45"/>
        <v>9</v>
      </c>
      <c r="Y104" s="25">
        <f t="shared" si="45"/>
        <v>13</v>
      </c>
      <c r="Z104" s="25">
        <f t="shared" si="45"/>
        <v>11</v>
      </c>
      <c r="AA104" s="25">
        <f t="shared" si="45"/>
        <v>14</v>
      </c>
      <c r="AB104" s="25">
        <f t="shared" si="45"/>
        <v>11</v>
      </c>
      <c r="AC104" s="25">
        <f t="shared" si="45"/>
        <v>4</v>
      </c>
      <c r="AD104" s="25">
        <f t="shared" si="45"/>
        <v>5</v>
      </c>
      <c r="AE104" s="25">
        <f t="shared" si="45"/>
        <v>3</v>
      </c>
      <c r="AF104" s="25">
        <f t="shared" si="45"/>
        <v>0</v>
      </c>
      <c r="AG104" s="29">
        <f t="shared" si="46"/>
        <v>6</v>
      </c>
      <c r="AH104" s="29">
        <f t="shared" si="47"/>
        <v>6</v>
      </c>
      <c r="AI104" s="29">
        <f t="shared" si="48"/>
        <v>6</v>
      </c>
      <c r="AJ104" s="29">
        <f t="shared" si="49"/>
        <v>1</v>
      </c>
      <c r="AK104" s="29">
        <f t="shared" si="50"/>
        <v>0</v>
      </c>
      <c r="AL104" s="29">
        <f t="shared" si="51"/>
        <v>9</v>
      </c>
      <c r="AM104" s="29">
        <f t="shared" si="52"/>
        <v>0</v>
      </c>
      <c r="AN104" s="29">
        <f t="shared" si="53"/>
        <v>6</v>
      </c>
      <c r="AO104" s="29">
        <f t="shared" si="54"/>
        <v>3</v>
      </c>
      <c r="AP104" s="29">
        <f t="shared" si="55"/>
        <v>2</v>
      </c>
      <c r="AQ104" s="29">
        <f t="shared" si="56"/>
        <v>4</v>
      </c>
      <c r="AR104" s="29">
        <f t="shared" si="57"/>
        <v>5</v>
      </c>
      <c r="AS104" s="29">
        <f t="shared" si="58"/>
        <v>3</v>
      </c>
      <c r="AT104" s="29">
        <f t="shared" si="59"/>
        <v>0</v>
      </c>
      <c r="AU104" s="34">
        <f t="shared" si="60"/>
        <v>51</v>
      </c>
      <c r="AV104" s="19">
        <f t="shared" si="61"/>
        <v>70</v>
      </c>
    </row>
    <row r="105" spans="2:48">
      <c r="B105" s="21">
        <v>71</v>
      </c>
      <c r="C105" s="23">
        <v>8</v>
      </c>
      <c r="D105" s="22">
        <v>9</v>
      </c>
      <c r="E105" s="24">
        <f t="shared" ref="E105:R114" si="62">ABS(VLOOKUP($C105,$B$8:$D$21,2,0)-VLOOKUP(E$34,$B$8:$D$21,2,0))+ABS(VLOOKUP($C105,$B$8:$D$21,3,0)-VLOOKUP(E$34,$B$8:$D$21,3,0))</f>
        <v>5</v>
      </c>
      <c r="F105" s="24">
        <f t="shared" si="62"/>
        <v>4</v>
      </c>
      <c r="G105" s="24">
        <f t="shared" si="62"/>
        <v>6</v>
      </c>
      <c r="H105" s="24">
        <f t="shared" si="62"/>
        <v>7</v>
      </c>
      <c r="I105" s="24">
        <f t="shared" si="62"/>
        <v>6</v>
      </c>
      <c r="J105" s="24">
        <f t="shared" si="62"/>
        <v>4</v>
      </c>
      <c r="K105" s="24">
        <f t="shared" si="62"/>
        <v>6</v>
      </c>
      <c r="L105" s="24">
        <f t="shared" si="62"/>
        <v>0</v>
      </c>
      <c r="M105" s="24">
        <f t="shared" si="62"/>
        <v>9</v>
      </c>
      <c r="N105" s="24">
        <f t="shared" si="62"/>
        <v>8</v>
      </c>
      <c r="O105" s="24">
        <f t="shared" si="62"/>
        <v>7</v>
      </c>
      <c r="P105" s="24">
        <f t="shared" si="62"/>
        <v>6</v>
      </c>
      <c r="Q105" s="24">
        <f t="shared" si="62"/>
        <v>8</v>
      </c>
      <c r="R105" s="24">
        <f t="shared" si="62"/>
        <v>11</v>
      </c>
      <c r="S105" s="25">
        <f t="shared" ref="S105:AF114" si="63">ABS(VLOOKUP($D105,$B$8:$D$21,2,0)-VLOOKUP(S$34,$B$8:$D$21,2,0))+ABS(VLOOKUP($D105,$B$8:$D$21,3,0)-VLOOKUP(S$34,$B$8:$D$21,3,0))</f>
        <v>12</v>
      </c>
      <c r="T105" s="25">
        <f t="shared" si="63"/>
        <v>9</v>
      </c>
      <c r="U105" s="25">
        <f t="shared" si="63"/>
        <v>7</v>
      </c>
      <c r="V105" s="25">
        <f t="shared" si="63"/>
        <v>2</v>
      </c>
      <c r="W105" s="25">
        <f t="shared" si="63"/>
        <v>3</v>
      </c>
      <c r="X105" s="25">
        <f t="shared" si="63"/>
        <v>13</v>
      </c>
      <c r="Y105" s="25">
        <f t="shared" si="63"/>
        <v>3</v>
      </c>
      <c r="Z105" s="25">
        <f t="shared" si="63"/>
        <v>9</v>
      </c>
      <c r="AA105" s="25">
        <f t="shared" si="63"/>
        <v>0</v>
      </c>
      <c r="AB105" s="25">
        <f t="shared" si="63"/>
        <v>3</v>
      </c>
      <c r="AC105" s="25">
        <f t="shared" si="63"/>
        <v>10</v>
      </c>
      <c r="AD105" s="25">
        <f t="shared" si="63"/>
        <v>9</v>
      </c>
      <c r="AE105" s="25">
        <f t="shared" si="63"/>
        <v>11</v>
      </c>
      <c r="AF105" s="25">
        <f t="shared" si="63"/>
        <v>14</v>
      </c>
      <c r="AG105" s="29">
        <f t="shared" si="46"/>
        <v>5</v>
      </c>
      <c r="AH105" s="29">
        <f t="shared" si="47"/>
        <v>4</v>
      </c>
      <c r="AI105" s="29">
        <f t="shared" si="48"/>
        <v>6</v>
      </c>
      <c r="AJ105" s="29">
        <f t="shared" si="49"/>
        <v>2</v>
      </c>
      <c r="AK105" s="29">
        <f t="shared" si="50"/>
        <v>3</v>
      </c>
      <c r="AL105" s="29">
        <f t="shared" si="51"/>
        <v>4</v>
      </c>
      <c r="AM105" s="29">
        <f t="shared" si="52"/>
        <v>3</v>
      </c>
      <c r="AN105" s="29">
        <f t="shared" si="53"/>
        <v>0</v>
      </c>
      <c r="AO105" s="29">
        <f t="shared" si="54"/>
        <v>0</v>
      </c>
      <c r="AP105" s="29">
        <f t="shared" si="55"/>
        <v>3</v>
      </c>
      <c r="AQ105" s="29">
        <f t="shared" si="56"/>
        <v>7</v>
      </c>
      <c r="AR105" s="29">
        <f t="shared" si="57"/>
        <v>6</v>
      </c>
      <c r="AS105" s="29">
        <f t="shared" si="58"/>
        <v>8</v>
      </c>
      <c r="AT105" s="29">
        <f t="shared" si="59"/>
        <v>11</v>
      </c>
      <c r="AU105" s="34">
        <f t="shared" si="60"/>
        <v>62</v>
      </c>
      <c r="AV105" s="19">
        <f t="shared" si="61"/>
        <v>71</v>
      </c>
    </row>
    <row r="106" spans="2:48">
      <c r="B106" s="21">
        <v>72</v>
      </c>
      <c r="C106" s="23">
        <v>8</v>
      </c>
      <c r="D106" s="22">
        <v>10</v>
      </c>
      <c r="E106" s="24">
        <f t="shared" si="62"/>
        <v>5</v>
      </c>
      <c r="F106" s="24">
        <f t="shared" si="62"/>
        <v>4</v>
      </c>
      <c r="G106" s="24">
        <f t="shared" si="62"/>
        <v>6</v>
      </c>
      <c r="H106" s="24">
        <f t="shared" si="62"/>
        <v>7</v>
      </c>
      <c r="I106" s="24">
        <f t="shared" si="62"/>
        <v>6</v>
      </c>
      <c r="J106" s="24">
        <f t="shared" si="62"/>
        <v>4</v>
      </c>
      <c r="K106" s="24">
        <f t="shared" si="62"/>
        <v>6</v>
      </c>
      <c r="L106" s="24">
        <f t="shared" si="62"/>
        <v>0</v>
      </c>
      <c r="M106" s="24">
        <f t="shared" si="62"/>
        <v>9</v>
      </c>
      <c r="N106" s="24">
        <f t="shared" si="62"/>
        <v>8</v>
      </c>
      <c r="O106" s="24">
        <f t="shared" si="62"/>
        <v>7</v>
      </c>
      <c r="P106" s="24">
        <f t="shared" si="62"/>
        <v>6</v>
      </c>
      <c r="Q106" s="24">
        <f t="shared" si="62"/>
        <v>8</v>
      </c>
      <c r="R106" s="24">
        <f t="shared" si="62"/>
        <v>11</v>
      </c>
      <c r="S106" s="25">
        <f t="shared" si="63"/>
        <v>11</v>
      </c>
      <c r="T106" s="25">
        <f t="shared" si="63"/>
        <v>8</v>
      </c>
      <c r="U106" s="25">
        <f t="shared" si="63"/>
        <v>4</v>
      </c>
      <c r="V106" s="25">
        <f t="shared" si="63"/>
        <v>3</v>
      </c>
      <c r="W106" s="25">
        <f t="shared" si="63"/>
        <v>2</v>
      </c>
      <c r="X106" s="25">
        <f t="shared" si="63"/>
        <v>12</v>
      </c>
      <c r="Y106" s="25">
        <f t="shared" si="63"/>
        <v>2</v>
      </c>
      <c r="Z106" s="25">
        <f t="shared" si="63"/>
        <v>8</v>
      </c>
      <c r="AA106" s="25">
        <f t="shared" si="63"/>
        <v>3</v>
      </c>
      <c r="AB106" s="25">
        <f t="shared" si="63"/>
        <v>0</v>
      </c>
      <c r="AC106" s="25">
        <f t="shared" si="63"/>
        <v>7</v>
      </c>
      <c r="AD106" s="25">
        <f t="shared" si="63"/>
        <v>6</v>
      </c>
      <c r="AE106" s="25">
        <f t="shared" si="63"/>
        <v>8</v>
      </c>
      <c r="AF106" s="25">
        <f t="shared" si="63"/>
        <v>11</v>
      </c>
      <c r="AG106" s="29">
        <f t="shared" si="46"/>
        <v>5</v>
      </c>
      <c r="AH106" s="29">
        <f t="shared" si="47"/>
        <v>4</v>
      </c>
      <c r="AI106" s="29">
        <f t="shared" si="48"/>
        <v>4</v>
      </c>
      <c r="AJ106" s="29">
        <f t="shared" si="49"/>
        <v>3</v>
      </c>
      <c r="AK106" s="29">
        <f t="shared" si="50"/>
        <v>2</v>
      </c>
      <c r="AL106" s="29">
        <f t="shared" si="51"/>
        <v>4</v>
      </c>
      <c r="AM106" s="29">
        <f t="shared" si="52"/>
        <v>2</v>
      </c>
      <c r="AN106" s="29">
        <f t="shared" si="53"/>
        <v>0</v>
      </c>
      <c r="AO106" s="29">
        <f t="shared" si="54"/>
        <v>3</v>
      </c>
      <c r="AP106" s="29">
        <f t="shared" si="55"/>
        <v>0</v>
      </c>
      <c r="AQ106" s="29">
        <f t="shared" si="56"/>
        <v>7</v>
      </c>
      <c r="AR106" s="29">
        <f t="shared" si="57"/>
        <v>6</v>
      </c>
      <c r="AS106" s="29">
        <f t="shared" si="58"/>
        <v>8</v>
      </c>
      <c r="AT106" s="29">
        <f t="shared" si="59"/>
        <v>11</v>
      </c>
      <c r="AU106" s="34">
        <f t="shared" si="60"/>
        <v>59</v>
      </c>
      <c r="AV106" s="19">
        <f t="shared" si="61"/>
        <v>72</v>
      </c>
    </row>
    <row r="107" spans="2:48">
      <c r="B107" s="21">
        <v>73</v>
      </c>
      <c r="C107" s="23">
        <v>8</v>
      </c>
      <c r="D107" s="22">
        <v>11</v>
      </c>
      <c r="E107" s="24">
        <f t="shared" si="62"/>
        <v>5</v>
      </c>
      <c r="F107" s="24">
        <f t="shared" si="62"/>
        <v>4</v>
      </c>
      <c r="G107" s="24">
        <f t="shared" si="62"/>
        <v>6</v>
      </c>
      <c r="H107" s="24">
        <f t="shared" si="62"/>
        <v>7</v>
      </c>
      <c r="I107" s="24">
        <f t="shared" si="62"/>
        <v>6</v>
      </c>
      <c r="J107" s="24">
        <f t="shared" si="62"/>
        <v>4</v>
      </c>
      <c r="K107" s="24">
        <f t="shared" si="62"/>
        <v>6</v>
      </c>
      <c r="L107" s="24">
        <f t="shared" si="62"/>
        <v>0</v>
      </c>
      <c r="M107" s="24">
        <f t="shared" si="62"/>
        <v>9</v>
      </c>
      <c r="N107" s="24">
        <f t="shared" si="62"/>
        <v>8</v>
      </c>
      <c r="O107" s="24">
        <f t="shared" si="62"/>
        <v>7</v>
      </c>
      <c r="P107" s="24">
        <f t="shared" si="62"/>
        <v>6</v>
      </c>
      <c r="Q107" s="24">
        <f t="shared" si="62"/>
        <v>8</v>
      </c>
      <c r="R107" s="24">
        <f t="shared" si="62"/>
        <v>11</v>
      </c>
      <c r="S107" s="25">
        <f t="shared" si="63"/>
        <v>10</v>
      </c>
      <c r="T107" s="25">
        <f t="shared" si="63"/>
        <v>7</v>
      </c>
      <c r="U107" s="25">
        <f t="shared" si="63"/>
        <v>3</v>
      </c>
      <c r="V107" s="25">
        <f t="shared" si="63"/>
        <v>10</v>
      </c>
      <c r="W107" s="25">
        <f t="shared" si="63"/>
        <v>9</v>
      </c>
      <c r="X107" s="25">
        <f t="shared" si="63"/>
        <v>11</v>
      </c>
      <c r="Y107" s="25">
        <f t="shared" si="63"/>
        <v>9</v>
      </c>
      <c r="Z107" s="25">
        <f t="shared" si="63"/>
        <v>7</v>
      </c>
      <c r="AA107" s="25">
        <f t="shared" si="63"/>
        <v>10</v>
      </c>
      <c r="AB107" s="25">
        <f t="shared" si="63"/>
        <v>7</v>
      </c>
      <c r="AC107" s="25">
        <f t="shared" si="63"/>
        <v>0</v>
      </c>
      <c r="AD107" s="25">
        <f t="shared" si="63"/>
        <v>3</v>
      </c>
      <c r="AE107" s="25">
        <f t="shared" si="63"/>
        <v>1</v>
      </c>
      <c r="AF107" s="25">
        <f t="shared" si="63"/>
        <v>4</v>
      </c>
      <c r="AG107" s="29">
        <f t="shared" si="46"/>
        <v>5</v>
      </c>
      <c r="AH107" s="29">
        <f t="shared" si="47"/>
        <v>4</v>
      </c>
      <c r="AI107" s="29">
        <f t="shared" si="48"/>
        <v>3</v>
      </c>
      <c r="AJ107" s="29">
        <f t="shared" si="49"/>
        <v>7</v>
      </c>
      <c r="AK107" s="29">
        <f t="shared" si="50"/>
        <v>6</v>
      </c>
      <c r="AL107" s="29">
        <f t="shared" si="51"/>
        <v>4</v>
      </c>
      <c r="AM107" s="29">
        <f t="shared" si="52"/>
        <v>6</v>
      </c>
      <c r="AN107" s="29">
        <f t="shared" si="53"/>
        <v>0</v>
      </c>
      <c r="AO107" s="29">
        <f t="shared" si="54"/>
        <v>9</v>
      </c>
      <c r="AP107" s="29">
        <f t="shared" si="55"/>
        <v>7</v>
      </c>
      <c r="AQ107" s="29">
        <f t="shared" si="56"/>
        <v>0</v>
      </c>
      <c r="AR107" s="29">
        <f t="shared" si="57"/>
        <v>3</v>
      </c>
      <c r="AS107" s="29">
        <f t="shared" si="58"/>
        <v>1</v>
      </c>
      <c r="AT107" s="29">
        <f t="shared" si="59"/>
        <v>4</v>
      </c>
      <c r="AU107" s="34">
        <f t="shared" si="60"/>
        <v>59</v>
      </c>
      <c r="AV107" s="19">
        <f t="shared" si="61"/>
        <v>73</v>
      </c>
    </row>
    <row r="108" spans="2:48">
      <c r="B108" s="21">
        <v>74</v>
      </c>
      <c r="C108" s="23">
        <v>8</v>
      </c>
      <c r="D108" s="22">
        <v>12</v>
      </c>
      <c r="E108" s="24">
        <f t="shared" si="62"/>
        <v>5</v>
      </c>
      <c r="F108" s="24">
        <f t="shared" si="62"/>
        <v>4</v>
      </c>
      <c r="G108" s="24">
        <f t="shared" si="62"/>
        <v>6</v>
      </c>
      <c r="H108" s="24">
        <f t="shared" si="62"/>
        <v>7</v>
      </c>
      <c r="I108" s="24">
        <f t="shared" si="62"/>
        <v>6</v>
      </c>
      <c r="J108" s="24">
        <f t="shared" si="62"/>
        <v>4</v>
      </c>
      <c r="K108" s="24">
        <f t="shared" si="62"/>
        <v>6</v>
      </c>
      <c r="L108" s="24">
        <f t="shared" si="62"/>
        <v>0</v>
      </c>
      <c r="M108" s="24">
        <f t="shared" si="62"/>
        <v>9</v>
      </c>
      <c r="N108" s="24">
        <f t="shared" si="62"/>
        <v>8</v>
      </c>
      <c r="O108" s="24">
        <f t="shared" si="62"/>
        <v>7</v>
      </c>
      <c r="P108" s="24">
        <f t="shared" si="62"/>
        <v>6</v>
      </c>
      <c r="Q108" s="24">
        <f t="shared" si="62"/>
        <v>8</v>
      </c>
      <c r="R108" s="24">
        <f t="shared" si="62"/>
        <v>11</v>
      </c>
      <c r="S108" s="25">
        <f t="shared" si="63"/>
        <v>7</v>
      </c>
      <c r="T108" s="25">
        <f t="shared" si="63"/>
        <v>4</v>
      </c>
      <c r="U108" s="25">
        <f t="shared" si="63"/>
        <v>2</v>
      </c>
      <c r="V108" s="25">
        <f t="shared" si="63"/>
        <v>9</v>
      </c>
      <c r="W108" s="25">
        <f t="shared" si="63"/>
        <v>8</v>
      </c>
      <c r="X108" s="25">
        <f t="shared" si="63"/>
        <v>8</v>
      </c>
      <c r="Y108" s="25">
        <f t="shared" si="63"/>
        <v>8</v>
      </c>
      <c r="Z108" s="25">
        <f t="shared" si="63"/>
        <v>6</v>
      </c>
      <c r="AA108" s="25">
        <f t="shared" si="63"/>
        <v>9</v>
      </c>
      <c r="AB108" s="25">
        <f t="shared" si="63"/>
        <v>6</v>
      </c>
      <c r="AC108" s="25">
        <f t="shared" si="63"/>
        <v>3</v>
      </c>
      <c r="AD108" s="25">
        <f t="shared" si="63"/>
        <v>0</v>
      </c>
      <c r="AE108" s="25">
        <f t="shared" si="63"/>
        <v>2</v>
      </c>
      <c r="AF108" s="25">
        <f t="shared" si="63"/>
        <v>5</v>
      </c>
      <c r="AG108" s="29">
        <f t="shared" si="46"/>
        <v>5</v>
      </c>
      <c r="AH108" s="29">
        <f t="shared" si="47"/>
        <v>4</v>
      </c>
      <c r="AI108" s="29">
        <f t="shared" si="48"/>
        <v>2</v>
      </c>
      <c r="AJ108" s="29">
        <f t="shared" si="49"/>
        <v>7</v>
      </c>
      <c r="AK108" s="29">
        <f t="shared" si="50"/>
        <v>6</v>
      </c>
      <c r="AL108" s="29">
        <f t="shared" si="51"/>
        <v>4</v>
      </c>
      <c r="AM108" s="29">
        <f t="shared" si="52"/>
        <v>6</v>
      </c>
      <c r="AN108" s="29">
        <f t="shared" si="53"/>
        <v>0</v>
      </c>
      <c r="AO108" s="29">
        <f t="shared" si="54"/>
        <v>9</v>
      </c>
      <c r="AP108" s="29">
        <f t="shared" si="55"/>
        <v>6</v>
      </c>
      <c r="AQ108" s="29">
        <f t="shared" si="56"/>
        <v>3</v>
      </c>
      <c r="AR108" s="29">
        <f t="shared" si="57"/>
        <v>0</v>
      </c>
      <c r="AS108" s="29">
        <f t="shared" si="58"/>
        <v>2</v>
      </c>
      <c r="AT108" s="29">
        <f t="shared" si="59"/>
        <v>5</v>
      </c>
      <c r="AU108" s="34">
        <f t="shared" si="60"/>
        <v>59</v>
      </c>
      <c r="AV108" s="19">
        <f t="shared" si="61"/>
        <v>74</v>
      </c>
    </row>
    <row r="109" spans="2:48">
      <c r="B109" s="21">
        <v>75</v>
      </c>
      <c r="C109" s="23">
        <v>8</v>
      </c>
      <c r="D109" s="22">
        <v>13</v>
      </c>
      <c r="E109" s="24">
        <f t="shared" si="62"/>
        <v>5</v>
      </c>
      <c r="F109" s="24">
        <f t="shared" si="62"/>
        <v>4</v>
      </c>
      <c r="G109" s="24">
        <f t="shared" si="62"/>
        <v>6</v>
      </c>
      <c r="H109" s="24">
        <f t="shared" si="62"/>
        <v>7</v>
      </c>
      <c r="I109" s="24">
        <f t="shared" si="62"/>
        <v>6</v>
      </c>
      <c r="J109" s="24">
        <f t="shared" si="62"/>
        <v>4</v>
      </c>
      <c r="K109" s="24">
        <f t="shared" si="62"/>
        <v>6</v>
      </c>
      <c r="L109" s="24">
        <f t="shared" si="62"/>
        <v>0</v>
      </c>
      <c r="M109" s="24">
        <f t="shared" si="62"/>
        <v>9</v>
      </c>
      <c r="N109" s="24">
        <f t="shared" si="62"/>
        <v>8</v>
      </c>
      <c r="O109" s="24">
        <f t="shared" si="62"/>
        <v>7</v>
      </c>
      <c r="P109" s="24">
        <f t="shared" si="62"/>
        <v>6</v>
      </c>
      <c r="Q109" s="24">
        <f t="shared" si="62"/>
        <v>8</v>
      </c>
      <c r="R109" s="24">
        <f t="shared" si="62"/>
        <v>11</v>
      </c>
      <c r="S109" s="25">
        <f t="shared" si="63"/>
        <v>9</v>
      </c>
      <c r="T109" s="25">
        <f t="shared" si="63"/>
        <v>6</v>
      </c>
      <c r="U109" s="25">
        <f t="shared" si="63"/>
        <v>4</v>
      </c>
      <c r="V109" s="25">
        <f t="shared" si="63"/>
        <v>11</v>
      </c>
      <c r="W109" s="25">
        <f t="shared" si="63"/>
        <v>10</v>
      </c>
      <c r="X109" s="25">
        <f t="shared" si="63"/>
        <v>10</v>
      </c>
      <c r="Y109" s="25">
        <f t="shared" si="63"/>
        <v>10</v>
      </c>
      <c r="Z109" s="25">
        <f t="shared" si="63"/>
        <v>8</v>
      </c>
      <c r="AA109" s="25">
        <f t="shared" si="63"/>
        <v>11</v>
      </c>
      <c r="AB109" s="25">
        <f t="shared" si="63"/>
        <v>8</v>
      </c>
      <c r="AC109" s="25">
        <f t="shared" si="63"/>
        <v>1</v>
      </c>
      <c r="AD109" s="25">
        <f t="shared" si="63"/>
        <v>2</v>
      </c>
      <c r="AE109" s="25">
        <f t="shared" si="63"/>
        <v>0</v>
      </c>
      <c r="AF109" s="25">
        <f t="shared" si="63"/>
        <v>3</v>
      </c>
      <c r="AG109" s="29">
        <f t="shared" si="46"/>
        <v>5</v>
      </c>
      <c r="AH109" s="29">
        <f t="shared" si="47"/>
        <v>4</v>
      </c>
      <c r="AI109" s="29">
        <f t="shared" si="48"/>
        <v>4</v>
      </c>
      <c r="AJ109" s="29">
        <f t="shared" si="49"/>
        <v>7</v>
      </c>
      <c r="AK109" s="29">
        <f t="shared" si="50"/>
        <v>6</v>
      </c>
      <c r="AL109" s="29">
        <f t="shared" si="51"/>
        <v>4</v>
      </c>
      <c r="AM109" s="29">
        <f t="shared" si="52"/>
        <v>6</v>
      </c>
      <c r="AN109" s="29">
        <f t="shared" si="53"/>
        <v>0</v>
      </c>
      <c r="AO109" s="29">
        <f t="shared" si="54"/>
        <v>9</v>
      </c>
      <c r="AP109" s="29">
        <f t="shared" si="55"/>
        <v>8</v>
      </c>
      <c r="AQ109" s="29">
        <f t="shared" si="56"/>
        <v>1</v>
      </c>
      <c r="AR109" s="29">
        <f t="shared" si="57"/>
        <v>2</v>
      </c>
      <c r="AS109" s="29">
        <f t="shared" si="58"/>
        <v>0</v>
      </c>
      <c r="AT109" s="29">
        <f t="shared" si="59"/>
        <v>3</v>
      </c>
      <c r="AU109" s="34">
        <f t="shared" si="60"/>
        <v>59</v>
      </c>
      <c r="AV109" s="19">
        <f t="shared" si="61"/>
        <v>75</v>
      </c>
    </row>
    <row r="110" spans="2:48">
      <c r="B110" s="21">
        <v>76</v>
      </c>
      <c r="C110" s="23">
        <v>8</v>
      </c>
      <c r="D110" s="22">
        <v>14</v>
      </c>
      <c r="E110" s="24">
        <f t="shared" si="62"/>
        <v>5</v>
      </c>
      <c r="F110" s="24">
        <f t="shared" si="62"/>
        <v>4</v>
      </c>
      <c r="G110" s="24">
        <f t="shared" si="62"/>
        <v>6</v>
      </c>
      <c r="H110" s="24">
        <f t="shared" si="62"/>
        <v>7</v>
      </c>
      <c r="I110" s="24">
        <f t="shared" si="62"/>
        <v>6</v>
      </c>
      <c r="J110" s="24">
        <f t="shared" si="62"/>
        <v>4</v>
      </c>
      <c r="K110" s="24">
        <f t="shared" si="62"/>
        <v>6</v>
      </c>
      <c r="L110" s="24">
        <f t="shared" si="62"/>
        <v>0</v>
      </c>
      <c r="M110" s="24">
        <f t="shared" si="62"/>
        <v>9</v>
      </c>
      <c r="N110" s="24">
        <f t="shared" si="62"/>
        <v>8</v>
      </c>
      <c r="O110" s="24">
        <f t="shared" si="62"/>
        <v>7</v>
      </c>
      <c r="P110" s="24">
        <f t="shared" si="62"/>
        <v>6</v>
      </c>
      <c r="Q110" s="24">
        <f t="shared" si="62"/>
        <v>8</v>
      </c>
      <c r="R110" s="24">
        <f t="shared" si="62"/>
        <v>11</v>
      </c>
      <c r="S110" s="25">
        <f t="shared" si="63"/>
        <v>6</v>
      </c>
      <c r="T110" s="25">
        <f t="shared" si="63"/>
        <v>7</v>
      </c>
      <c r="U110" s="25">
        <f t="shared" si="63"/>
        <v>7</v>
      </c>
      <c r="V110" s="25">
        <f t="shared" si="63"/>
        <v>14</v>
      </c>
      <c r="W110" s="25">
        <f t="shared" si="63"/>
        <v>13</v>
      </c>
      <c r="X110" s="25">
        <f t="shared" si="63"/>
        <v>9</v>
      </c>
      <c r="Y110" s="25">
        <f t="shared" si="63"/>
        <v>13</v>
      </c>
      <c r="Z110" s="25">
        <f t="shared" si="63"/>
        <v>11</v>
      </c>
      <c r="AA110" s="25">
        <f t="shared" si="63"/>
        <v>14</v>
      </c>
      <c r="AB110" s="25">
        <f t="shared" si="63"/>
        <v>11</v>
      </c>
      <c r="AC110" s="25">
        <f t="shared" si="63"/>
        <v>4</v>
      </c>
      <c r="AD110" s="25">
        <f t="shared" si="63"/>
        <v>5</v>
      </c>
      <c r="AE110" s="25">
        <f t="shared" si="63"/>
        <v>3</v>
      </c>
      <c r="AF110" s="25">
        <f t="shared" si="63"/>
        <v>0</v>
      </c>
      <c r="AG110" s="29">
        <f t="shared" si="46"/>
        <v>5</v>
      </c>
      <c r="AH110" s="29">
        <f t="shared" si="47"/>
        <v>4</v>
      </c>
      <c r="AI110" s="29">
        <f t="shared" si="48"/>
        <v>6</v>
      </c>
      <c r="AJ110" s="29">
        <f t="shared" si="49"/>
        <v>7</v>
      </c>
      <c r="AK110" s="29">
        <f t="shared" si="50"/>
        <v>6</v>
      </c>
      <c r="AL110" s="29">
        <f t="shared" si="51"/>
        <v>4</v>
      </c>
      <c r="AM110" s="29">
        <f t="shared" si="52"/>
        <v>6</v>
      </c>
      <c r="AN110" s="29">
        <f t="shared" si="53"/>
        <v>0</v>
      </c>
      <c r="AO110" s="29">
        <f t="shared" si="54"/>
        <v>9</v>
      </c>
      <c r="AP110" s="29">
        <f t="shared" si="55"/>
        <v>8</v>
      </c>
      <c r="AQ110" s="29">
        <f t="shared" si="56"/>
        <v>4</v>
      </c>
      <c r="AR110" s="29">
        <f t="shared" si="57"/>
        <v>5</v>
      </c>
      <c r="AS110" s="29">
        <f t="shared" si="58"/>
        <v>3</v>
      </c>
      <c r="AT110" s="29">
        <f t="shared" si="59"/>
        <v>0</v>
      </c>
      <c r="AU110" s="34">
        <f t="shared" si="60"/>
        <v>67</v>
      </c>
      <c r="AV110" s="19">
        <f t="shared" si="61"/>
        <v>76</v>
      </c>
    </row>
    <row r="111" spans="2:48">
      <c r="B111" s="21">
        <v>77</v>
      </c>
      <c r="C111" s="23">
        <v>9</v>
      </c>
      <c r="D111" s="22">
        <v>10</v>
      </c>
      <c r="E111" s="24">
        <f t="shared" si="62"/>
        <v>12</v>
      </c>
      <c r="F111" s="24">
        <f t="shared" si="62"/>
        <v>9</v>
      </c>
      <c r="G111" s="24">
        <f t="shared" si="62"/>
        <v>7</v>
      </c>
      <c r="H111" s="24">
        <f t="shared" si="62"/>
        <v>2</v>
      </c>
      <c r="I111" s="24">
        <f t="shared" si="62"/>
        <v>3</v>
      </c>
      <c r="J111" s="24">
        <f t="shared" si="62"/>
        <v>13</v>
      </c>
      <c r="K111" s="24">
        <f t="shared" si="62"/>
        <v>3</v>
      </c>
      <c r="L111" s="24">
        <f t="shared" si="62"/>
        <v>9</v>
      </c>
      <c r="M111" s="24">
        <f t="shared" si="62"/>
        <v>0</v>
      </c>
      <c r="N111" s="24">
        <f t="shared" si="62"/>
        <v>3</v>
      </c>
      <c r="O111" s="24">
        <f t="shared" si="62"/>
        <v>10</v>
      </c>
      <c r="P111" s="24">
        <f t="shared" si="62"/>
        <v>9</v>
      </c>
      <c r="Q111" s="24">
        <f t="shared" si="62"/>
        <v>11</v>
      </c>
      <c r="R111" s="24">
        <f t="shared" si="62"/>
        <v>14</v>
      </c>
      <c r="S111" s="25">
        <f t="shared" si="63"/>
        <v>11</v>
      </c>
      <c r="T111" s="25">
        <f t="shared" si="63"/>
        <v>8</v>
      </c>
      <c r="U111" s="25">
        <f t="shared" si="63"/>
        <v>4</v>
      </c>
      <c r="V111" s="25">
        <f t="shared" si="63"/>
        <v>3</v>
      </c>
      <c r="W111" s="25">
        <f t="shared" si="63"/>
        <v>2</v>
      </c>
      <c r="X111" s="25">
        <f t="shared" si="63"/>
        <v>12</v>
      </c>
      <c r="Y111" s="25">
        <f t="shared" si="63"/>
        <v>2</v>
      </c>
      <c r="Z111" s="25">
        <f t="shared" si="63"/>
        <v>8</v>
      </c>
      <c r="AA111" s="25">
        <f t="shared" si="63"/>
        <v>3</v>
      </c>
      <c r="AB111" s="25">
        <f t="shared" si="63"/>
        <v>0</v>
      </c>
      <c r="AC111" s="25">
        <f t="shared" si="63"/>
        <v>7</v>
      </c>
      <c r="AD111" s="25">
        <f t="shared" si="63"/>
        <v>6</v>
      </c>
      <c r="AE111" s="25">
        <f t="shared" si="63"/>
        <v>8</v>
      </c>
      <c r="AF111" s="25">
        <f t="shared" si="63"/>
        <v>11</v>
      </c>
      <c r="AG111" s="29">
        <f t="shared" si="46"/>
        <v>11</v>
      </c>
      <c r="AH111" s="29">
        <f t="shared" si="47"/>
        <v>8</v>
      </c>
      <c r="AI111" s="29">
        <f t="shared" si="48"/>
        <v>4</v>
      </c>
      <c r="AJ111" s="29">
        <f t="shared" si="49"/>
        <v>2</v>
      </c>
      <c r="AK111" s="29">
        <f t="shared" si="50"/>
        <v>2</v>
      </c>
      <c r="AL111" s="29">
        <f t="shared" si="51"/>
        <v>12</v>
      </c>
      <c r="AM111" s="29">
        <f t="shared" si="52"/>
        <v>2</v>
      </c>
      <c r="AN111" s="29">
        <f t="shared" si="53"/>
        <v>8</v>
      </c>
      <c r="AO111" s="29">
        <f t="shared" si="54"/>
        <v>0</v>
      </c>
      <c r="AP111" s="29">
        <f t="shared" si="55"/>
        <v>0</v>
      </c>
      <c r="AQ111" s="29">
        <f t="shared" si="56"/>
        <v>7</v>
      </c>
      <c r="AR111" s="29">
        <f t="shared" si="57"/>
        <v>6</v>
      </c>
      <c r="AS111" s="29">
        <f t="shared" si="58"/>
        <v>8</v>
      </c>
      <c r="AT111" s="29">
        <f t="shared" si="59"/>
        <v>11</v>
      </c>
      <c r="AU111" s="34">
        <f t="shared" si="60"/>
        <v>81</v>
      </c>
      <c r="AV111" s="19">
        <f t="shared" si="61"/>
        <v>77</v>
      </c>
    </row>
    <row r="112" spans="2:48">
      <c r="B112" s="21">
        <v>78</v>
      </c>
      <c r="C112" s="23">
        <v>9</v>
      </c>
      <c r="D112" s="22">
        <v>11</v>
      </c>
      <c r="E112" s="24">
        <f t="shared" si="62"/>
        <v>12</v>
      </c>
      <c r="F112" s="24">
        <f t="shared" si="62"/>
        <v>9</v>
      </c>
      <c r="G112" s="24">
        <f t="shared" si="62"/>
        <v>7</v>
      </c>
      <c r="H112" s="24">
        <f t="shared" si="62"/>
        <v>2</v>
      </c>
      <c r="I112" s="24">
        <f t="shared" si="62"/>
        <v>3</v>
      </c>
      <c r="J112" s="24">
        <f t="shared" si="62"/>
        <v>13</v>
      </c>
      <c r="K112" s="24">
        <f t="shared" si="62"/>
        <v>3</v>
      </c>
      <c r="L112" s="24">
        <f t="shared" si="62"/>
        <v>9</v>
      </c>
      <c r="M112" s="24">
        <f t="shared" si="62"/>
        <v>0</v>
      </c>
      <c r="N112" s="24">
        <f t="shared" si="62"/>
        <v>3</v>
      </c>
      <c r="O112" s="24">
        <f t="shared" si="62"/>
        <v>10</v>
      </c>
      <c r="P112" s="24">
        <f t="shared" si="62"/>
        <v>9</v>
      </c>
      <c r="Q112" s="24">
        <f t="shared" si="62"/>
        <v>11</v>
      </c>
      <c r="R112" s="24">
        <f t="shared" si="62"/>
        <v>14</v>
      </c>
      <c r="S112" s="25">
        <f t="shared" si="63"/>
        <v>10</v>
      </c>
      <c r="T112" s="25">
        <f t="shared" si="63"/>
        <v>7</v>
      </c>
      <c r="U112" s="25">
        <f t="shared" si="63"/>
        <v>3</v>
      </c>
      <c r="V112" s="25">
        <f t="shared" si="63"/>
        <v>10</v>
      </c>
      <c r="W112" s="25">
        <f t="shared" si="63"/>
        <v>9</v>
      </c>
      <c r="X112" s="25">
        <f t="shared" si="63"/>
        <v>11</v>
      </c>
      <c r="Y112" s="25">
        <f t="shared" si="63"/>
        <v>9</v>
      </c>
      <c r="Z112" s="25">
        <f t="shared" si="63"/>
        <v>7</v>
      </c>
      <c r="AA112" s="25">
        <f t="shared" si="63"/>
        <v>10</v>
      </c>
      <c r="AB112" s="25">
        <f t="shared" si="63"/>
        <v>7</v>
      </c>
      <c r="AC112" s="25">
        <f t="shared" si="63"/>
        <v>0</v>
      </c>
      <c r="AD112" s="25">
        <f t="shared" si="63"/>
        <v>3</v>
      </c>
      <c r="AE112" s="25">
        <f t="shared" si="63"/>
        <v>1</v>
      </c>
      <c r="AF112" s="25">
        <f t="shared" si="63"/>
        <v>4</v>
      </c>
      <c r="AG112" s="29">
        <f t="shared" si="46"/>
        <v>10</v>
      </c>
      <c r="AH112" s="29">
        <f t="shared" si="47"/>
        <v>7</v>
      </c>
      <c r="AI112" s="29">
        <f t="shared" si="48"/>
        <v>3</v>
      </c>
      <c r="AJ112" s="29">
        <f t="shared" si="49"/>
        <v>2</v>
      </c>
      <c r="AK112" s="29">
        <f t="shared" si="50"/>
        <v>3</v>
      </c>
      <c r="AL112" s="29">
        <f t="shared" si="51"/>
        <v>11</v>
      </c>
      <c r="AM112" s="29">
        <f t="shared" si="52"/>
        <v>3</v>
      </c>
      <c r="AN112" s="29">
        <f t="shared" si="53"/>
        <v>7</v>
      </c>
      <c r="AO112" s="29">
        <f t="shared" si="54"/>
        <v>0</v>
      </c>
      <c r="AP112" s="29">
        <f t="shared" si="55"/>
        <v>3</v>
      </c>
      <c r="AQ112" s="29">
        <f t="shared" si="56"/>
        <v>0</v>
      </c>
      <c r="AR112" s="29">
        <f t="shared" si="57"/>
        <v>3</v>
      </c>
      <c r="AS112" s="29">
        <f t="shared" si="58"/>
        <v>1</v>
      </c>
      <c r="AT112" s="29">
        <f t="shared" si="59"/>
        <v>4</v>
      </c>
      <c r="AU112" s="34">
        <f t="shared" si="60"/>
        <v>57</v>
      </c>
      <c r="AV112" s="19">
        <f t="shared" si="61"/>
        <v>78</v>
      </c>
    </row>
    <row r="113" spans="2:48">
      <c r="B113" s="21">
        <v>79</v>
      </c>
      <c r="C113" s="23">
        <v>9</v>
      </c>
      <c r="D113" s="22">
        <v>12</v>
      </c>
      <c r="E113" s="24">
        <f t="shared" si="62"/>
        <v>12</v>
      </c>
      <c r="F113" s="24">
        <f t="shared" si="62"/>
        <v>9</v>
      </c>
      <c r="G113" s="24">
        <f t="shared" si="62"/>
        <v>7</v>
      </c>
      <c r="H113" s="24">
        <f t="shared" si="62"/>
        <v>2</v>
      </c>
      <c r="I113" s="24">
        <f t="shared" si="62"/>
        <v>3</v>
      </c>
      <c r="J113" s="24">
        <f t="shared" si="62"/>
        <v>13</v>
      </c>
      <c r="K113" s="24">
        <f t="shared" si="62"/>
        <v>3</v>
      </c>
      <c r="L113" s="24">
        <f t="shared" si="62"/>
        <v>9</v>
      </c>
      <c r="M113" s="24">
        <f t="shared" si="62"/>
        <v>0</v>
      </c>
      <c r="N113" s="24">
        <f t="shared" si="62"/>
        <v>3</v>
      </c>
      <c r="O113" s="24">
        <f t="shared" si="62"/>
        <v>10</v>
      </c>
      <c r="P113" s="24">
        <f t="shared" si="62"/>
        <v>9</v>
      </c>
      <c r="Q113" s="24">
        <f t="shared" si="62"/>
        <v>11</v>
      </c>
      <c r="R113" s="24">
        <f t="shared" si="62"/>
        <v>14</v>
      </c>
      <c r="S113" s="25">
        <f t="shared" si="63"/>
        <v>7</v>
      </c>
      <c r="T113" s="25">
        <f t="shared" si="63"/>
        <v>4</v>
      </c>
      <c r="U113" s="25">
        <f t="shared" si="63"/>
        <v>2</v>
      </c>
      <c r="V113" s="25">
        <f t="shared" si="63"/>
        <v>9</v>
      </c>
      <c r="W113" s="25">
        <f t="shared" si="63"/>
        <v>8</v>
      </c>
      <c r="X113" s="25">
        <f t="shared" si="63"/>
        <v>8</v>
      </c>
      <c r="Y113" s="25">
        <f t="shared" si="63"/>
        <v>8</v>
      </c>
      <c r="Z113" s="25">
        <f t="shared" si="63"/>
        <v>6</v>
      </c>
      <c r="AA113" s="25">
        <f t="shared" si="63"/>
        <v>9</v>
      </c>
      <c r="AB113" s="25">
        <f t="shared" si="63"/>
        <v>6</v>
      </c>
      <c r="AC113" s="25">
        <f t="shared" si="63"/>
        <v>3</v>
      </c>
      <c r="AD113" s="25">
        <f t="shared" si="63"/>
        <v>0</v>
      </c>
      <c r="AE113" s="25">
        <f t="shared" si="63"/>
        <v>2</v>
      </c>
      <c r="AF113" s="25">
        <f t="shared" si="63"/>
        <v>5</v>
      </c>
      <c r="AG113" s="29">
        <f t="shared" si="46"/>
        <v>7</v>
      </c>
      <c r="AH113" s="29">
        <f t="shared" si="47"/>
        <v>4</v>
      </c>
      <c r="AI113" s="29">
        <f t="shared" si="48"/>
        <v>2</v>
      </c>
      <c r="AJ113" s="29">
        <f t="shared" si="49"/>
        <v>2</v>
      </c>
      <c r="AK113" s="29">
        <f t="shared" si="50"/>
        <v>3</v>
      </c>
      <c r="AL113" s="29">
        <f t="shared" si="51"/>
        <v>8</v>
      </c>
      <c r="AM113" s="29">
        <f t="shared" si="52"/>
        <v>3</v>
      </c>
      <c r="AN113" s="29">
        <f t="shared" si="53"/>
        <v>6</v>
      </c>
      <c r="AO113" s="29">
        <f t="shared" si="54"/>
        <v>0</v>
      </c>
      <c r="AP113" s="29">
        <f t="shared" si="55"/>
        <v>3</v>
      </c>
      <c r="AQ113" s="29">
        <f t="shared" si="56"/>
        <v>3</v>
      </c>
      <c r="AR113" s="29">
        <f t="shared" si="57"/>
        <v>0</v>
      </c>
      <c r="AS113" s="29">
        <f t="shared" si="58"/>
        <v>2</v>
      </c>
      <c r="AT113" s="29">
        <f t="shared" si="59"/>
        <v>5</v>
      </c>
      <c r="AU113" s="34">
        <f t="shared" si="60"/>
        <v>48</v>
      </c>
      <c r="AV113" s="19">
        <f t="shared" si="61"/>
        <v>79</v>
      </c>
    </row>
    <row r="114" spans="2:48">
      <c r="B114" s="21">
        <v>80</v>
      </c>
      <c r="C114" s="23">
        <v>9</v>
      </c>
      <c r="D114" s="22">
        <v>13</v>
      </c>
      <c r="E114" s="24">
        <f t="shared" si="62"/>
        <v>12</v>
      </c>
      <c r="F114" s="24">
        <f t="shared" si="62"/>
        <v>9</v>
      </c>
      <c r="G114" s="24">
        <f t="shared" si="62"/>
        <v>7</v>
      </c>
      <c r="H114" s="24">
        <f t="shared" si="62"/>
        <v>2</v>
      </c>
      <c r="I114" s="24">
        <f t="shared" si="62"/>
        <v>3</v>
      </c>
      <c r="J114" s="24">
        <f t="shared" si="62"/>
        <v>13</v>
      </c>
      <c r="K114" s="24">
        <f t="shared" si="62"/>
        <v>3</v>
      </c>
      <c r="L114" s="24">
        <f t="shared" si="62"/>
        <v>9</v>
      </c>
      <c r="M114" s="24">
        <f t="shared" si="62"/>
        <v>0</v>
      </c>
      <c r="N114" s="24">
        <f t="shared" si="62"/>
        <v>3</v>
      </c>
      <c r="O114" s="24">
        <f t="shared" si="62"/>
        <v>10</v>
      </c>
      <c r="P114" s="24">
        <f t="shared" si="62"/>
        <v>9</v>
      </c>
      <c r="Q114" s="24">
        <f t="shared" si="62"/>
        <v>11</v>
      </c>
      <c r="R114" s="24">
        <f t="shared" si="62"/>
        <v>14</v>
      </c>
      <c r="S114" s="25">
        <f t="shared" si="63"/>
        <v>9</v>
      </c>
      <c r="T114" s="25">
        <f t="shared" si="63"/>
        <v>6</v>
      </c>
      <c r="U114" s="25">
        <f t="shared" si="63"/>
        <v>4</v>
      </c>
      <c r="V114" s="25">
        <f t="shared" si="63"/>
        <v>11</v>
      </c>
      <c r="W114" s="25">
        <f t="shared" si="63"/>
        <v>10</v>
      </c>
      <c r="X114" s="25">
        <f t="shared" si="63"/>
        <v>10</v>
      </c>
      <c r="Y114" s="25">
        <f t="shared" si="63"/>
        <v>10</v>
      </c>
      <c r="Z114" s="25">
        <f t="shared" si="63"/>
        <v>8</v>
      </c>
      <c r="AA114" s="25">
        <f t="shared" si="63"/>
        <v>11</v>
      </c>
      <c r="AB114" s="25">
        <f t="shared" si="63"/>
        <v>8</v>
      </c>
      <c r="AC114" s="25">
        <f t="shared" si="63"/>
        <v>1</v>
      </c>
      <c r="AD114" s="25">
        <f t="shared" si="63"/>
        <v>2</v>
      </c>
      <c r="AE114" s="25">
        <f t="shared" si="63"/>
        <v>0</v>
      </c>
      <c r="AF114" s="25">
        <f t="shared" si="63"/>
        <v>3</v>
      </c>
      <c r="AG114" s="29">
        <f t="shared" si="46"/>
        <v>9</v>
      </c>
      <c r="AH114" s="29">
        <f t="shared" si="47"/>
        <v>6</v>
      </c>
      <c r="AI114" s="29">
        <f t="shared" si="48"/>
        <v>4</v>
      </c>
      <c r="AJ114" s="29">
        <f t="shared" si="49"/>
        <v>2</v>
      </c>
      <c r="AK114" s="29">
        <f t="shared" si="50"/>
        <v>3</v>
      </c>
      <c r="AL114" s="29">
        <f t="shared" si="51"/>
        <v>10</v>
      </c>
      <c r="AM114" s="29">
        <f t="shared" si="52"/>
        <v>3</v>
      </c>
      <c r="AN114" s="29">
        <f t="shared" si="53"/>
        <v>8</v>
      </c>
      <c r="AO114" s="29">
        <f t="shared" si="54"/>
        <v>0</v>
      </c>
      <c r="AP114" s="29">
        <f t="shared" si="55"/>
        <v>3</v>
      </c>
      <c r="AQ114" s="29">
        <f t="shared" si="56"/>
        <v>1</v>
      </c>
      <c r="AR114" s="29">
        <f t="shared" si="57"/>
        <v>2</v>
      </c>
      <c r="AS114" s="29">
        <f t="shared" si="58"/>
        <v>0</v>
      </c>
      <c r="AT114" s="29">
        <f t="shared" si="59"/>
        <v>3</v>
      </c>
      <c r="AU114" s="34">
        <f t="shared" si="60"/>
        <v>54</v>
      </c>
      <c r="AV114" s="19">
        <f t="shared" si="61"/>
        <v>80</v>
      </c>
    </row>
    <row r="115" spans="2:48">
      <c r="B115" s="21">
        <v>81</v>
      </c>
      <c r="C115" s="23">
        <v>9</v>
      </c>
      <c r="D115" s="22">
        <v>14</v>
      </c>
      <c r="E115" s="24">
        <f t="shared" ref="E115:R125" si="64">ABS(VLOOKUP($C115,$B$8:$D$21,2,0)-VLOOKUP(E$34,$B$8:$D$21,2,0))+ABS(VLOOKUP($C115,$B$8:$D$21,3,0)-VLOOKUP(E$34,$B$8:$D$21,3,0))</f>
        <v>12</v>
      </c>
      <c r="F115" s="24">
        <f t="shared" si="64"/>
        <v>9</v>
      </c>
      <c r="G115" s="24">
        <f t="shared" si="64"/>
        <v>7</v>
      </c>
      <c r="H115" s="24">
        <f t="shared" si="64"/>
        <v>2</v>
      </c>
      <c r="I115" s="24">
        <f t="shared" si="64"/>
        <v>3</v>
      </c>
      <c r="J115" s="24">
        <f t="shared" si="64"/>
        <v>13</v>
      </c>
      <c r="K115" s="24">
        <f t="shared" si="64"/>
        <v>3</v>
      </c>
      <c r="L115" s="24">
        <f t="shared" si="64"/>
        <v>9</v>
      </c>
      <c r="M115" s="24">
        <f t="shared" si="64"/>
        <v>0</v>
      </c>
      <c r="N115" s="24">
        <f t="shared" si="64"/>
        <v>3</v>
      </c>
      <c r="O115" s="24">
        <f t="shared" si="64"/>
        <v>10</v>
      </c>
      <c r="P115" s="24">
        <f t="shared" si="64"/>
        <v>9</v>
      </c>
      <c r="Q115" s="24">
        <f t="shared" si="64"/>
        <v>11</v>
      </c>
      <c r="R115" s="24">
        <f t="shared" si="64"/>
        <v>14</v>
      </c>
      <c r="S115" s="25">
        <f t="shared" ref="S115:AF125" si="65">ABS(VLOOKUP($D115,$B$8:$D$21,2,0)-VLOOKUP(S$34,$B$8:$D$21,2,0))+ABS(VLOOKUP($D115,$B$8:$D$21,3,0)-VLOOKUP(S$34,$B$8:$D$21,3,0))</f>
        <v>6</v>
      </c>
      <c r="T115" s="25">
        <f t="shared" si="65"/>
        <v>7</v>
      </c>
      <c r="U115" s="25">
        <f t="shared" si="65"/>
        <v>7</v>
      </c>
      <c r="V115" s="25">
        <f t="shared" si="65"/>
        <v>14</v>
      </c>
      <c r="W115" s="25">
        <f t="shared" si="65"/>
        <v>13</v>
      </c>
      <c r="X115" s="25">
        <f t="shared" si="65"/>
        <v>9</v>
      </c>
      <c r="Y115" s="25">
        <f t="shared" si="65"/>
        <v>13</v>
      </c>
      <c r="Z115" s="25">
        <f t="shared" si="65"/>
        <v>11</v>
      </c>
      <c r="AA115" s="25">
        <f t="shared" si="65"/>
        <v>14</v>
      </c>
      <c r="AB115" s="25">
        <f t="shared" si="65"/>
        <v>11</v>
      </c>
      <c r="AC115" s="25">
        <f t="shared" si="65"/>
        <v>4</v>
      </c>
      <c r="AD115" s="25">
        <f t="shared" si="65"/>
        <v>5</v>
      </c>
      <c r="AE115" s="25">
        <f t="shared" si="65"/>
        <v>3</v>
      </c>
      <c r="AF115" s="25">
        <f t="shared" si="65"/>
        <v>0</v>
      </c>
      <c r="AG115" s="29">
        <f t="shared" si="46"/>
        <v>6</v>
      </c>
      <c r="AH115" s="29">
        <f t="shared" si="47"/>
        <v>7</v>
      </c>
      <c r="AI115" s="29">
        <f t="shared" si="48"/>
        <v>7</v>
      </c>
      <c r="AJ115" s="29">
        <f t="shared" si="49"/>
        <v>2</v>
      </c>
      <c r="AK115" s="29">
        <f t="shared" si="50"/>
        <v>3</v>
      </c>
      <c r="AL115" s="29">
        <f t="shared" si="51"/>
        <v>9</v>
      </c>
      <c r="AM115" s="29">
        <f t="shared" si="52"/>
        <v>3</v>
      </c>
      <c r="AN115" s="29">
        <f t="shared" si="53"/>
        <v>9</v>
      </c>
      <c r="AO115" s="29">
        <f t="shared" si="54"/>
        <v>0</v>
      </c>
      <c r="AP115" s="29">
        <f t="shared" si="55"/>
        <v>3</v>
      </c>
      <c r="AQ115" s="29">
        <f t="shared" si="56"/>
        <v>4</v>
      </c>
      <c r="AR115" s="29">
        <f t="shared" si="57"/>
        <v>5</v>
      </c>
      <c r="AS115" s="29">
        <f t="shared" si="58"/>
        <v>3</v>
      </c>
      <c r="AT115" s="29">
        <f t="shared" si="59"/>
        <v>0</v>
      </c>
      <c r="AU115" s="34">
        <f t="shared" si="60"/>
        <v>61</v>
      </c>
      <c r="AV115" s="19">
        <f t="shared" si="61"/>
        <v>81</v>
      </c>
    </row>
    <row r="116" spans="2:48">
      <c r="B116" s="21">
        <v>82</v>
      </c>
      <c r="C116" s="23">
        <v>10</v>
      </c>
      <c r="D116" s="22">
        <v>11</v>
      </c>
      <c r="E116" s="24">
        <f t="shared" si="64"/>
        <v>11</v>
      </c>
      <c r="F116" s="24">
        <f t="shared" si="64"/>
        <v>8</v>
      </c>
      <c r="G116" s="24">
        <f t="shared" si="64"/>
        <v>4</v>
      </c>
      <c r="H116" s="24">
        <f t="shared" si="64"/>
        <v>3</v>
      </c>
      <c r="I116" s="24">
        <f t="shared" si="64"/>
        <v>2</v>
      </c>
      <c r="J116" s="24">
        <f t="shared" si="64"/>
        <v>12</v>
      </c>
      <c r="K116" s="24">
        <f t="shared" si="64"/>
        <v>2</v>
      </c>
      <c r="L116" s="24">
        <f t="shared" si="64"/>
        <v>8</v>
      </c>
      <c r="M116" s="24">
        <f t="shared" si="64"/>
        <v>3</v>
      </c>
      <c r="N116" s="24">
        <f t="shared" si="64"/>
        <v>0</v>
      </c>
      <c r="O116" s="24">
        <f t="shared" si="64"/>
        <v>7</v>
      </c>
      <c r="P116" s="24">
        <f t="shared" si="64"/>
        <v>6</v>
      </c>
      <c r="Q116" s="24">
        <f t="shared" si="64"/>
        <v>8</v>
      </c>
      <c r="R116" s="24">
        <f t="shared" si="64"/>
        <v>11</v>
      </c>
      <c r="S116" s="25">
        <f t="shared" si="65"/>
        <v>10</v>
      </c>
      <c r="T116" s="25">
        <f t="shared" si="65"/>
        <v>7</v>
      </c>
      <c r="U116" s="25">
        <f t="shared" si="65"/>
        <v>3</v>
      </c>
      <c r="V116" s="25">
        <f t="shared" si="65"/>
        <v>10</v>
      </c>
      <c r="W116" s="25">
        <f t="shared" si="65"/>
        <v>9</v>
      </c>
      <c r="X116" s="25">
        <f t="shared" si="65"/>
        <v>11</v>
      </c>
      <c r="Y116" s="25">
        <f t="shared" si="65"/>
        <v>9</v>
      </c>
      <c r="Z116" s="25">
        <f t="shared" si="65"/>
        <v>7</v>
      </c>
      <c r="AA116" s="25">
        <f t="shared" si="65"/>
        <v>10</v>
      </c>
      <c r="AB116" s="25">
        <f t="shared" si="65"/>
        <v>7</v>
      </c>
      <c r="AC116" s="25">
        <f t="shared" si="65"/>
        <v>0</v>
      </c>
      <c r="AD116" s="25">
        <f t="shared" si="65"/>
        <v>3</v>
      </c>
      <c r="AE116" s="25">
        <f t="shared" si="65"/>
        <v>1</v>
      </c>
      <c r="AF116" s="25">
        <f t="shared" si="65"/>
        <v>4</v>
      </c>
      <c r="AG116" s="29">
        <f t="shared" si="46"/>
        <v>10</v>
      </c>
      <c r="AH116" s="29">
        <f t="shared" si="47"/>
        <v>7</v>
      </c>
      <c r="AI116" s="29">
        <f t="shared" si="48"/>
        <v>3</v>
      </c>
      <c r="AJ116" s="29">
        <f t="shared" si="49"/>
        <v>3</v>
      </c>
      <c r="AK116" s="29">
        <f t="shared" si="50"/>
        <v>2</v>
      </c>
      <c r="AL116" s="29">
        <f t="shared" si="51"/>
        <v>11</v>
      </c>
      <c r="AM116" s="29">
        <f t="shared" si="52"/>
        <v>2</v>
      </c>
      <c r="AN116" s="29">
        <f t="shared" si="53"/>
        <v>7</v>
      </c>
      <c r="AO116" s="29">
        <f t="shared" si="54"/>
        <v>3</v>
      </c>
      <c r="AP116" s="29">
        <f t="shared" si="55"/>
        <v>0</v>
      </c>
      <c r="AQ116" s="29">
        <f t="shared" si="56"/>
        <v>0</v>
      </c>
      <c r="AR116" s="29">
        <f t="shared" si="57"/>
        <v>3</v>
      </c>
      <c r="AS116" s="29">
        <f t="shared" si="58"/>
        <v>1</v>
      </c>
      <c r="AT116" s="29">
        <f t="shared" si="59"/>
        <v>4</v>
      </c>
      <c r="AU116" s="34">
        <f t="shared" si="60"/>
        <v>56</v>
      </c>
      <c r="AV116" s="19">
        <f t="shared" si="61"/>
        <v>82</v>
      </c>
    </row>
    <row r="117" spans="2:48">
      <c r="B117" s="21">
        <v>83</v>
      </c>
      <c r="C117" s="23">
        <v>10</v>
      </c>
      <c r="D117" s="22">
        <v>12</v>
      </c>
      <c r="E117" s="24">
        <f t="shared" si="64"/>
        <v>11</v>
      </c>
      <c r="F117" s="24">
        <f t="shared" si="64"/>
        <v>8</v>
      </c>
      <c r="G117" s="24">
        <f t="shared" si="64"/>
        <v>4</v>
      </c>
      <c r="H117" s="24">
        <f t="shared" si="64"/>
        <v>3</v>
      </c>
      <c r="I117" s="24">
        <f t="shared" si="64"/>
        <v>2</v>
      </c>
      <c r="J117" s="24">
        <f t="shared" si="64"/>
        <v>12</v>
      </c>
      <c r="K117" s="24">
        <f t="shared" si="64"/>
        <v>2</v>
      </c>
      <c r="L117" s="24">
        <f t="shared" si="64"/>
        <v>8</v>
      </c>
      <c r="M117" s="24">
        <f t="shared" si="64"/>
        <v>3</v>
      </c>
      <c r="N117" s="24">
        <f t="shared" si="64"/>
        <v>0</v>
      </c>
      <c r="O117" s="24">
        <f t="shared" si="64"/>
        <v>7</v>
      </c>
      <c r="P117" s="24">
        <f t="shared" si="64"/>
        <v>6</v>
      </c>
      <c r="Q117" s="24">
        <f t="shared" si="64"/>
        <v>8</v>
      </c>
      <c r="R117" s="24">
        <f t="shared" si="64"/>
        <v>11</v>
      </c>
      <c r="S117" s="25">
        <f t="shared" si="65"/>
        <v>7</v>
      </c>
      <c r="T117" s="25">
        <f t="shared" si="65"/>
        <v>4</v>
      </c>
      <c r="U117" s="25">
        <f t="shared" si="65"/>
        <v>2</v>
      </c>
      <c r="V117" s="25">
        <f t="shared" si="65"/>
        <v>9</v>
      </c>
      <c r="W117" s="25">
        <f t="shared" si="65"/>
        <v>8</v>
      </c>
      <c r="X117" s="25">
        <f t="shared" si="65"/>
        <v>8</v>
      </c>
      <c r="Y117" s="25">
        <f t="shared" si="65"/>
        <v>8</v>
      </c>
      <c r="Z117" s="25">
        <f t="shared" si="65"/>
        <v>6</v>
      </c>
      <c r="AA117" s="25">
        <f t="shared" si="65"/>
        <v>9</v>
      </c>
      <c r="AB117" s="25">
        <f t="shared" si="65"/>
        <v>6</v>
      </c>
      <c r="AC117" s="25">
        <f t="shared" si="65"/>
        <v>3</v>
      </c>
      <c r="AD117" s="25">
        <f t="shared" si="65"/>
        <v>0</v>
      </c>
      <c r="AE117" s="25">
        <f t="shared" si="65"/>
        <v>2</v>
      </c>
      <c r="AF117" s="25">
        <f t="shared" si="65"/>
        <v>5</v>
      </c>
      <c r="AG117" s="29">
        <f t="shared" si="46"/>
        <v>7</v>
      </c>
      <c r="AH117" s="29">
        <f t="shared" si="47"/>
        <v>4</v>
      </c>
      <c r="AI117" s="29">
        <f t="shared" si="48"/>
        <v>2</v>
      </c>
      <c r="AJ117" s="29">
        <f t="shared" si="49"/>
        <v>3</v>
      </c>
      <c r="AK117" s="29">
        <f t="shared" si="50"/>
        <v>2</v>
      </c>
      <c r="AL117" s="29">
        <f t="shared" si="51"/>
        <v>8</v>
      </c>
      <c r="AM117" s="29">
        <f t="shared" si="52"/>
        <v>2</v>
      </c>
      <c r="AN117" s="29">
        <f t="shared" si="53"/>
        <v>6</v>
      </c>
      <c r="AO117" s="29">
        <f t="shared" si="54"/>
        <v>3</v>
      </c>
      <c r="AP117" s="29">
        <f t="shared" si="55"/>
        <v>0</v>
      </c>
      <c r="AQ117" s="29">
        <f t="shared" si="56"/>
        <v>3</v>
      </c>
      <c r="AR117" s="29">
        <f t="shared" si="57"/>
        <v>0</v>
      </c>
      <c r="AS117" s="29">
        <f t="shared" si="58"/>
        <v>2</v>
      </c>
      <c r="AT117" s="29">
        <f t="shared" si="59"/>
        <v>5</v>
      </c>
      <c r="AU117" s="34">
        <f t="shared" si="60"/>
        <v>47</v>
      </c>
      <c r="AV117" s="19">
        <f t="shared" si="61"/>
        <v>83</v>
      </c>
    </row>
    <row r="118" spans="2:48">
      <c r="B118" s="21">
        <v>84</v>
      </c>
      <c r="C118" s="23">
        <v>10</v>
      </c>
      <c r="D118" s="22">
        <v>13</v>
      </c>
      <c r="E118" s="24">
        <f t="shared" si="64"/>
        <v>11</v>
      </c>
      <c r="F118" s="24">
        <f t="shared" si="64"/>
        <v>8</v>
      </c>
      <c r="G118" s="24">
        <f t="shared" si="64"/>
        <v>4</v>
      </c>
      <c r="H118" s="24">
        <f t="shared" si="64"/>
        <v>3</v>
      </c>
      <c r="I118" s="24">
        <f t="shared" si="64"/>
        <v>2</v>
      </c>
      <c r="J118" s="24">
        <f t="shared" si="64"/>
        <v>12</v>
      </c>
      <c r="K118" s="24">
        <f t="shared" si="64"/>
        <v>2</v>
      </c>
      <c r="L118" s="24">
        <f t="shared" si="64"/>
        <v>8</v>
      </c>
      <c r="M118" s="24">
        <f t="shared" si="64"/>
        <v>3</v>
      </c>
      <c r="N118" s="24">
        <f t="shared" si="64"/>
        <v>0</v>
      </c>
      <c r="O118" s="24">
        <f t="shared" si="64"/>
        <v>7</v>
      </c>
      <c r="P118" s="24">
        <f t="shared" si="64"/>
        <v>6</v>
      </c>
      <c r="Q118" s="24">
        <f t="shared" si="64"/>
        <v>8</v>
      </c>
      <c r="R118" s="24">
        <f t="shared" si="64"/>
        <v>11</v>
      </c>
      <c r="S118" s="25">
        <f t="shared" si="65"/>
        <v>9</v>
      </c>
      <c r="T118" s="25">
        <f t="shared" si="65"/>
        <v>6</v>
      </c>
      <c r="U118" s="25">
        <f t="shared" si="65"/>
        <v>4</v>
      </c>
      <c r="V118" s="25">
        <f t="shared" si="65"/>
        <v>11</v>
      </c>
      <c r="W118" s="25">
        <f t="shared" si="65"/>
        <v>10</v>
      </c>
      <c r="X118" s="25">
        <f t="shared" si="65"/>
        <v>10</v>
      </c>
      <c r="Y118" s="25">
        <f t="shared" si="65"/>
        <v>10</v>
      </c>
      <c r="Z118" s="25">
        <f t="shared" si="65"/>
        <v>8</v>
      </c>
      <c r="AA118" s="25">
        <f t="shared" si="65"/>
        <v>11</v>
      </c>
      <c r="AB118" s="25">
        <f t="shared" si="65"/>
        <v>8</v>
      </c>
      <c r="AC118" s="25">
        <f t="shared" si="65"/>
        <v>1</v>
      </c>
      <c r="AD118" s="25">
        <f t="shared" si="65"/>
        <v>2</v>
      </c>
      <c r="AE118" s="25">
        <f t="shared" si="65"/>
        <v>0</v>
      </c>
      <c r="AF118" s="25">
        <f t="shared" si="65"/>
        <v>3</v>
      </c>
      <c r="AG118" s="29">
        <f t="shared" si="46"/>
        <v>9</v>
      </c>
      <c r="AH118" s="29">
        <f t="shared" si="47"/>
        <v>6</v>
      </c>
      <c r="AI118" s="29">
        <f t="shared" si="48"/>
        <v>4</v>
      </c>
      <c r="AJ118" s="29">
        <f t="shared" si="49"/>
        <v>3</v>
      </c>
      <c r="AK118" s="29">
        <f t="shared" si="50"/>
        <v>2</v>
      </c>
      <c r="AL118" s="29">
        <f t="shared" si="51"/>
        <v>10</v>
      </c>
      <c r="AM118" s="29">
        <f t="shared" si="52"/>
        <v>2</v>
      </c>
      <c r="AN118" s="29">
        <f t="shared" si="53"/>
        <v>8</v>
      </c>
      <c r="AO118" s="29">
        <f t="shared" si="54"/>
        <v>3</v>
      </c>
      <c r="AP118" s="29">
        <f t="shared" si="55"/>
        <v>0</v>
      </c>
      <c r="AQ118" s="29">
        <f t="shared" si="56"/>
        <v>1</v>
      </c>
      <c r="AR118" s="29">
        <f t="shared" si="57"/>
        <v>2</v>
      </c>
      <c r="AS118" s="29">
        <f t="shared" si="58"/>
        <v>0</v>
      </c>
      <c r="AT118" s="29">
        <f t="shared" si="59"/>
        <v>3</v>
      </c>
      <c r="AU118" s="34">
        <f t="shared" si="60"/>
        <v>53</v>
      </c>
      <c r="AV118" s="19">
        <f t="shared" si="61"/>
        <v>84</v>
      </c>
    </row>
    <row r="119" spans="2:48">
      <c r="B119" s="21">
        <v>85</v>
      </c>
      <c r="C119" s="23">
        <v>10</v>
      </c>
      <c r="D119" s="22">
        <v>14</v>
      </c>
      <c r="E119" s="24">
        <f t="shared" si="64"/>
        <v>11</v>
      </c>
      <c r="F119" s="24">
        <f t="shared" si="64"/>
        <v>8</v>
      </c>
      <c r="G119" s="24">
        <f t="shared" si="64"/>
        <v>4</v>
      </c>
      <c r="H119" s="24">
        <f t="shared" si="64"/>
        <v>3</v>
      </c>
      <c r="I119" s="24">
        <f t="shared" si="64"/>
        <v>2</v>
      </c>
      <c r="J119" s="24">
        <f t="shared" si="64"/>
        <v>12</v>
      </c>
      <c r="K119" s="24">
        <f t="shared" si="64"/>
        <v>2</v>
      </c>
      <c r="L119" s="24">
        <f t="shared" si="64"/>
        <v>8</v>
      </c>
      <c r="M119" s="24">
        <f t="shared" si="64"/>
        <v>3</v>
      </c>
      <c r="N119" s="24">
        <f t="shared" si="64"/>
        <v>0</v>
      </c>
      <c r="O119" s="24">
        <f t="shared" si="64"/>
        <v>7</v>
      </c>
      <c r="P119" s="24">
        <f t="shared" si="64"/>
        <v>6</v>
      </c>
      <c r="Q119" s="24">
        <f t="shared" si="64"/>
        <v>8</v>
      </c>
      <c r="R119" s="24">
        <f t="shared" si="64"/>
        <v>11</v>
      </c>
      <c r="S119" s="25">
        <f t="shared" si="65"/>
        <v>6</v>
      </c>
      <c r="T119" s="25">
        <f t="shared" si="65"/>
        <v>7</v>
      </c>
      <c r="U119" s="25">
        <f t="shared" si="65"/>
        <v>7</v>
      </c>
      <c r="V119" s="25">
        <f t="shared" si="65"/>
        <v>14</v>
      </c>
      <c r="W119" s="25">
        <f t="shared" si="65"/>
        <v>13</v>
      </c>
      <c r="X119" s="25">
        <f t="shared" si="65"/>
        <v>9</v>
      </c>
      <c r="Y119" s="25">
        <f t="shared" si="65"/>
        <v>13</v>
      </c>
      <c r="Z119" s="25">
        <f t="shared" si="65"/>
        <v>11</v>
      </c>
      <c r="AA119" s="25">
        <f t="shared" si="65"/>
        <v>14</v>
      </c>
      <c r="AB119" s="25">
        <f t="shared" si="65"/>
        <v>11</v>
      </c>
      <c r="AC119" s="25">
        <f t="shared" si="65"/>
        <v>4</v>
      </c>
      <c r="AD119" s="25">
        <f t="shared" si="65"/>
        <v>5</v>
      </c>
      <c r="AE119" s="25">
        <f t="shared" si="65"/>
        <v>3</v>
      </c>
      <c r="AF119" s="25">
        <f t="shared" si="65"/>
        <v>0</v>
      </c>
      <c r="AG119" s="29">
        <f t="shared" si="46"/>
        <v>6</v>
      </c>
      <c r="AH119" s="29">
        <f t="shared" si="47"/>
        <v>7</v>
      </c>
      <c r="AI119" s="29">
        <f t="shared" si="48"/>
        <v>4</v>
      </c>
      <c r="AJ119" s="29">
        <f t="shared" si="49"/>
        <v>3</v>
      </c>
      <c r="AK119" s="29">
        <f t="shared" si="50"/>
        <v>2</v>
      </c>
      <c r="AL119" s="29">
        <f t="shared" si="51"/>
        <v>9</v>
      </c>
      <c r="AM119" s="29">
        <f t="shared" si="52"/>
        <v>2</v>
      </c>
      <c r="AN119" s="29">
        <f t="shared" si="53"/>
        <v>8</v>
      </c>
      <c r="AO119" s="29">
        <f t="shared" si="54"/>
        <v>3</v>
      </c>
      <c r="AP119" s="29">
        <f t="shared" si="55"/>
        <v>0</v>
      </c>
      <c r="AQ119" s="29">
        <f t="shared" si="56"/>
        <v>4</v>
      </c>
      <c r="AR119" s="29">
        <f t="shared" si="57"/>
        <v>5</v>
      </c>
      <c r="AS119" s="29">
        <f t="shared" si="58"/>
        <v>3</v>
      </c>
      <c r="AT119" s="29">
        <f t="shared" si="59"/>
        <v>0</v>
      </c>
      <c r="AU119" s="34">
        <f t="shared" si="60"/>
        <v>56</v>
      </c>
      <c r="AV119" s="19">
        <f t="shared" si="61"/>
        <v>85</v>
      </c>
    </row>
    <row r="120" spans="2:48">
      <c r="B120" s="21">
        <v>86</v>
      </c>
      <c r="C120" s="23">
        <v>11</v>
      </c>
      <c r="D120" s="22">
        <v>12</v>
      </c>
      <c r="E120" s="24">
        <f t="shared" si="64"/>
        <v>10</v>
      </c>
      <c r="F120" s="24">
        <f t="shared" si="64"/>
        <v>7</v>
      </c>
      <c r="G120" s="24">
        <f t="shared" si="64"/>
        <v>3</v>
      </c>
      <c r="H120" s="24">
        <f t="shared" si="64"/>
        <v>10</v>
      </c>
      <c r="I120" s="24">
        <f t="shared" si="64"/>
        <v>9</v>
      </c>
      <c r="J120" s="24">
        <f t="shared" si="64"/>
        <v>11</v>
      </c>
      <c r="K120" s="24">
        <f t="shared" si="64"/>
        <v>9</v>
      </c>
      <c r="L120" s="24">
        <f t="shared" si="64"/>
        <v>7</v>
      </c>
      <c r="M120" s="24">
        <f t="shared" si="64"/>
        <v>10</v>
      </c>
      <c r="N120" s="24">
        <f t="shared" si="64"/>
        <v>7</v>
      </c>
      <c r="O120" s="24">
        <f t="shared" si="64"/>
        <v>0</v>
      </c>
      <c r="P120" s="24">
        <f t="shared" si="64"/>
        <v>3</v>
      </c>
      <c r="Q120" s="24">
        <f t="shared" si="64"/>
        <v>1</v>
      </c>
      <c r="R120" s="24">
        <f t="shared" si="64"/>
        <v>4</v>
      </c>
      <c r="S120" s="25">
        <f t="shared" si="65"/>
        <v>7</v>
      </c>
      <c r="T120" s="25">
        <f t="shared" si="65"/>
        <v>4</v>
      </c>
      <c r="U120" s="25">
        <f t="shared" si="65"/>
        <v>2</v>
      </c>
      <c r="V120" s="25">
        <f t="shared" si="65"/>
        <v>9</v>
      </c>
      <c r="W120" s="25">
        <f t="shared" si="65"/>
        <v>8</v>
      </c>
      <c r="X120" s="25">
        <f t="shared" si="65"/>
        <v>8</v>
      </c>
      <c r="Y120" s="25">
        <f t="shared" si="65"/>
        <v>8</v>
      </c>
      <c r="Z120" s="25">
        <f t="shared" si="65"/>
        <v>6</v>
      </c>
      <c r="AA120" s="25">
        <f t="shared" si="65"/>
        <v>9</v>
      </c>
      <c r="AB120" s="25">
        <f t="shared" si="65"/>
        <v>6</v>
      </c>
      <c r="AC120" s="25">
        <f t="shared" si="65"/>
        <v>3</v>
      </c>
      <c r="AD120" s="25">
        <f t="shared" si="65"/>
        <v>0</v>
      </c>
      <c r="AE120" s="25">
        <f t="shared" si="65"/>
        <v>2</v>
      </c>
      <c r="AF120" s="25">
        <f t="shared" si="65"/>
        <v>5</v>
      </c>
      <c r="AG120" s="29">
        <f t="shared" si="46"/>
        <v>7</v>
      </c>
      <c r="AH120" s="29">
        <f t="shared" si="47"/>
        <v>4</v>
      </c>
      <c r="AI120" s="29">
        <f t="shared" si="48"/>
        <v>2</v>
      </c>
      <c r="AJ120" s="29">
        <f t="shared" si="49"/>
        <v>9</v>
      </c>
      <c r="AK120" s="29">
        <f t="shared" si="50"/>
        <v>8</v>
      </c>
      <c r="AL120" s="29">
        <f t="shared" si="51"/>
        <v>8</v>
      </c>
      <c r="AM120" s="29">
        <f t="shared" si="52"/>
        <v>8</v>
      </c>
      <c r="AN120" s="29">
        <f t="shared" si="53"/>
        <v>6</v>
      </c>
      <c r="AO120" s="29">
        <f t="shared" si="54"/>
        <v>9</v>
      </c>
      <c r="AP120" s="29">
        <f t="shared" si="55"/>
        <v>6</v>
      </c>
      <c r="AQ120" s="29">
        <f t="shared" si="56"/>
        <v>0</v>
      </c>
      <c r="AR120" s="29">
        <f t="shared" si="57"/>
        <v>0</v>
      </c>
      <c r="AS120" s="29">
        <f t="shared" si="58"/>
        <v>1</v>
      </c>
      <c r="AT120" s="29">
        <f t="shared" si="59"/>
        <v>4</v>
      </c>
      <c r="AU120" s="34">
        <f t="shared" si="60"/>
        <v>72</v>
      </c>
      <c r="AV120" s="19">
        <f t="shared" si="61"/>
        <v>86</v>
      </c>
    </row>
    <row r="121" spans="2:48">
      <c r="B121" s="21">
        <v>87</v>
      </c>
      <c r="C121" s="23">
        <v>11</v>
      </c>
      <c r="D121" s="22">
        <v>13</v>
      </c>
      <c r="E121" s="24">
        <f t="shared" si="64"/>
        <v>10</v>
      </c>
      <c r="F121" s="24">
        <f t="shared" si="64"/>
        <v>7</v>
      </c>
      <c r="G121" s="24">
        <f t="shared" si="64"/>
        <v>3</v>
      </c>
      <c r="H121" s="24">
        <f t="shared" si="64"/>
        <v>10</v>
      </c>
      <c r="I121" s="24">
        <f t="shared" si="64"/>
        <v>9</v>
      </c>
      <c r="J121" s="24">
        <f t="shared" si="64"/>
        <v>11</v>
      </c>
      <c r="K121" s="24">
        <f t="shared" si="64"/>
        <v>9</v>
      </c>
      <c r="L121" s="24">
        <f t="shared" si="64"/>
        <v>7</v>
      </c>
      <c r="M121" s="24">
        <f t="shared" si="64"/>
        <v>10</v>
      </c>
      <c r="N121" s="24">
        <f t="shared" si="64"/>
        <v>7</v>
      </c>
      <c r="O121" s="24">
        <f t="shared" si="64"/>
        <v>0</v>
      </c>
      <c r="P121" s="24">
        <f t="shared" si="64"/>
        <v>3</v>
      </c>
      <c r="Q121" s="24">
        <f t="shared" si="64"/>
        <v>1</v>
      </c>
      <c r="R121" s="24">
        <f t="shared" si="64"/>
        <v>4</v>
      </c>
      <c r="S121" s="25">
        <f t="shared" si="65"/>
        <v>9</v>
      </c>
      <c r="T121" s="25">
        <f t="shared" si="65"/>
        <v>6</v>
      </c>
      <c r="U121" s="25">
        <f t="shared" si="65"/>
        <v>4</v>
      </c>
      <c r="V121" s="25">
        <f t="shared" si="65"/>
        <v>11</v>
      </c>
      <c r="W121" s="25">
        <f t="shared" si="65"/>
        <v>10</v>
      </c>
      <c r="X121" s="25">
        <f t="shared" si="65"/>
        <v>10</v>
      </c>
      <c r="Y121" s="25">
        <f t="shared" si="65"/>
        <v>10</v>
      </c>
      <c r="Z121" s="25">
        <f t="shared" si="65"/>
        <v>8</v>
      </c>
      <c r="AA121" s="25">
        <f t="shared" si="65"/>
        <v>11</v>
      </c>
      <c r="AB121" s="25">
        <f t="shared" si="65"/>
        <v>8</v>
      </c>
      <c r="AC121" s="25">
        <f t="shared" si="65"/>
        <v>1</v>
      </c>
      <c r="AD121" s="25">
        <f t="shared" si="65"/>
        <v>2</v>
      </c>
      <c r="AE121" s="25">
        <f t="shared" si="65"/>
        <v>0</v>
      </c>
      <c r="AF121" s="25">
        <f t="shared" si="65"/>
        <v>3</v>
      </c>
      <c r="AG121" s="29">
        <f t="shared" si="46"/>
        <v>9</v>
      </c>
      <c r="AH121" s="29">
        <f t="shared" si="47"/>
        <v>6</v>
      </c>
      <c r="AI121" s="29">
        <f t="shared" si="48"/>
        <v>3</v>
      </c>
      <c r="AJ121" s="29">
        <f t="shared" si="49"/>
        <v>10</v>
      </c>
      <c r="AK121" s="29">
        <f t="shared" si="50"/>
        <v>9</v>
      </c>
      <c r="AL121" s="29">
        <f t="shared" si="51"/>
        <v>10</v>
      </c>
      <c r="AM121" s="29">
        <f t="shared" si="52"/>
        <v>9</v>
      </c>
      <c r="AN121" s="29">
        <f t="shared" si="53"/>
        <v>7</v>
      </c>
      <c r="AO121" s="29">
        <f t="shared" si="54"/>
        <v>10</v>
      </c>
      <c r="AP121" s="29">
        <f t="shared" si="55"/>
        <v>7</v>
      </c>
      <c r="AQ121" s="29">
        <f t="shared" si="56"/>
        <v>0</v>
      </c>
      <c r="AR121" s="29">
        <f t="shared" si="57"/>
        <v>2</v>
      </c>
      <c r="AS121" s="29">
        <f t="shared" si="58"/>
        <v>0</v>
      </c>
      <c r="AT121" s="29">
        <f t="shared" si="59"/>
        <v>3</v>
      </c>
      <c r="AU121" s="34">
        <f t="shared" si="60"/>
        <v>85</v>
      </c>
      <c r="AV121" s="19">
        <f t="shared" si="61"/>
        <v>87</v>
      </c>
    </row>
    <row r="122" spans="2:48">
      <c r="B122" s="21">
        <v>88</v>
      </c>
      <c r="C122" s="23">
        <v>11</v>
      </c>
      <c r="D122" s="22">
        <v>14</v>
      </c>
      <c r="E122" s="24">
        <f t="shared" si="64"/>
        <v>10</v>
      </c>
      <c r="F122" s="24">
        <f t="shared" si="64"/>
        <v>7</v>
      </c>
      <c r="G122" s="24">
        <f t="shared" si="64"/>
        <v>3</v>
      </c>
      <c r="H122" s="24">
        <f t="shared" si="64"/>
        <v>10</v>
      </c>
      <c r="I122" s="24">
        <f t="shared" si="64"/>
        <v>9</v>
      </c>
      <c r="J122" s="24">
        <f t="shared" si="64"/>
        <v>11</v>
      </c>
      <c r="K122" s="24">
        <f t="shared" si="64"/>
        <v>9</v>
      </c>
      <c r="L122" s="24">
        <f t="shared" si="64"/>
        <v>7</v>
      </c>
      <c r="M122" s="24">
        <f t="shared" si="64"/>
        <v>10</v>
      </c>
      <c r="N122" s="24">
        <f t="shared" si="64"/>
        <v>7</v>
      </c>
      <c r="O122" s="24">
        <f t="shared" si="64"/>
        <v>0</v>
      </c>
      <c r="P122" s="24">
        <f t="shared" si="64"/>
        <v>3</v>
      </c>
      <c r="Q122" s="24">
        <f t="shared" si="64"/>
        <v>1</v>
      </c>
      <c r="R122" s="24">
        <f t="shared" si="64"/>
        <v>4</v>
      </c>
      <c r="S122" s="25">
        <f t="shared" si="65"/>
        <v>6</v>
      </c>
      <c r="T122" s="25">
        <f t="shared" si="65"/>
        <v>7</v>
      </c>
      <c r="U122" s="25">
        <f t="shared" si="65"/>
        <v>7</v>
      </c>
      <c r="V122" s="25">
        <f t="shared" si="65"/>
        <v>14</v>
      </c>
      <c r="W122" s="25">
        <f t="shared" si="65"/>
        <v>13</v>
      </c>
      <c r="X122" s="25">
        <f t="shared" si="65"/>
        <v>9</v>
      </c>
      <c r="Y122" s="25">
        <f t="shared" si="65"/>
        <v>13</v>
      </c>
      <c r="Z122" s="25">
        <f t="shared" si="65"/>
        <v>11</v>
      </c>
      <c r="AA122" s="25">
        <f t="shared" si="65"/>
        <v>14</v>
      </c>
      <c r="AB122" s="25">
        <f t="shared" si="65"/>
        <v>11</v>
      </c>
      <c r="AC122" s="25">
        <f t="shared" si="65"/>
        <v>4</v>
      </c>
      <c r="AD122" s="25">
        <f t="shared" si="65"/>
        <v>5</v>
      </c>
      <c r="AE122" s="25">
        <f t="shared" si="65"/>
        <v>3</v>
      </c>
      <c r="AF122" s="25">
        <f t="shared" si="65"/>
        <v>0</v>
      </c>
      <c r="AG122" s="29">
        <f t="shared" si="46"/>
        <v>6</v>
      </c>
      <c r="AH122" s="29">
        <f t="shared" si="47"/>
        <v>7</v>
      </c>
      <c r="AI122" s="29">
        <f t="shared" si="48"/>
        <v>3</v>
      </c>
      <c r="AJ122" s="29">
        <f t="shared" si="49"/>
        <v>10</v>
      </c>
      <c r="AK122" s="29">
        <f t="shared" si="50"/>
        <v>9</v>
      </c>
      <c r="AL122" s="29">
        <f t="shared" si="51"/>
        <v>9</v>
      </c>
      <c r="AM122" s="29">
        <f t="shared" si="52"/>
        <v>9</v>
      </c>
      <c r="AN122" s="29">
        <f t="shared" si="53"/>
        <v>7</v>
      </c>
      <c r="AO122" s="29">
        <f t="shared" si="54"/>
        <v>10</v>
      </c>
      <c r="AP122" s="29">
        <f t="shared" si="55"/>
        <v>7</v>
      </c>
      <c r="AQ122" s="29">
        <f t="shared" si="56"/>
        <v>0</v>
      </c>
      <c r="AR122" s="29">
        <f t="shared" si="57"/>
        <v>3</v>
      </c>
      <c r="AS122" s="29">
        <f t="shared" si="58"/>
        <v>1</v>
      </c>
      <c r="AT122" s="29">
        <f t="shared" si="59"/>
        <v>0</v>
      </c>
      <c r="AU122" s="34">
        <f t="shared" si="60"/>
        <v>81</v>
      </c>
      <c r="AV122" s="19">
        <f t="shared" si="61"/>
        <v>88</v>
      </c>
    </row>
    <row r="123" spans="2:48">
      <c r="B123" s="21">
        <v>89</v>
      </c>
      <c r="C123" s="23">
        <v>12</v>
      </c>
      <c r="D123" s="22">
        <v>13</v>
      </c>
      <c r="E123" s="24">
        <f t="shared" si="64"/>
        <v>7</v>
      </c>
      <c r="F123" s="24">
        <f t="shared" si="64"/>
        <v>4</v>
      </c>
      <c r="G123" s="24">
        <f t="shared" si="64"/>
        <v>2</v>
      </c>
      <c r="H123" s="24">
        <f t="shared" si="64"/>
        <v>9</v>
      </c>
      <c r="I123" s="24">
        <f t="shared" si="64"/>
        <v>8</v>
      </c>
      <c r="J123" s="24">
        <f t="shared" si="64"/>
        <v>8</v>
      </c>
      <c r="K123" s="24">
        <f t="shared" si="64"/>
        <v>8</v>
      </c>
      <c r="L123" s="24">
        <f t="shared" si="64"/>
        <v>6</v>
      </c>
      <c r="M123" s="24">
        <f t="shared" si="64"/>
        <v>9</v>
      </c>
      <c r="N123" s="24">
        <f t="shared" si="64"/>
        <v>6</v>
      </c>
      <c r="O123" s="24">
        <f t="shared" si="64"/>
        <v>3</v>
      </c>
      <c r="P123" s="24">
        <f t="shared" si="64"/>
        <v>0</v>
      </c>
      <c r="Q123" s="24">
        <f t="shared" si="64"/>
        <v>2</v>
      </c>
      <c r="R123" s="24">
        <f t="shared" si="64"/>
        <v>5</v>
      </c>
      <c r="S123" s="25">
        <f t="shared" si="65"/>
        <v>9</v>
      </c>
      <c r="T123" s="25">
        <f t="shared" si="65"/>
        <v>6</v>
      </c>
      <c r="U123" s="25">
        <f t="shared" si="65"/>
        <v>4</v>
      </c>
      <c r="V123" s="25">
        <f t="shared" si="65"/>
        <v>11</v>
      </c>
      <c r="W123" s="25">
        <f t="shared" si="65"/>
        <v>10</v>
      </c>
      <c r="X123" s="25">
        <f t="shared" si="65"/>
        <v>10</v>
      </c>
      <c r="Y123" s="25">
        <f t="shared" si="65"/>
        <v>10</v>
      </c>
      <c r="Z123" s="25">
        <f t="shared" si="65"/>
        <v>8</v>
      </c>
      <c r="AA123" s="25">
        <f t="shared" si="65"/>
        <v>11</v>
      </c>
      <c r="AB123" s="25">
        <f t="shared" si="65"/>
        <v>8</v>
      </c>
      <c r="AC123" s="25">
        <f t="shared" si="65"/>
        <v>1</v>
      </c>
      <c r="AD123" s="25">
        <f t="shared" si="65"/>
        <v>2</v>
      </c>
      <c r="AE123" s="25">
        <f t="shared" si="65"/>
        <v>0</v>
      </c>
      <c r="AF123" s="25">
        <f t="shared" si="65"/>
        <v>3</v>
      </c>
      <c r="AG123" s="29">
        <f t="shared" si="46"/>
        <v>7</v>
      </c>
      <c r="AH123" s="29">
        <f t="shared" si="47"/>
        <v>4</v>
      </c>
      <c r="AI123" s="29">
        <f t="shared" si="48"/>
        <v>2</v>
      </c>
      <c r="AJ123" s="29">
        <f t="shared" si="49"/>
        <v>9</v>
      </c>
      <c r="AK123" s="29">
        <f t="shared" si="50"/>
        <v>8</v>
      </c>
      <c r="AL123" s="29">
        <f t="shared" si="51"/>
        <v>8</v>
      </c>
      <c r="AM123" s="29">
        <f t="shared" si="52"/>
        <v>8</v>
      </c>
      <c r="AN123" s="29">
        <f t="shared" si="53"/>
        <v>6</v>
      </c>
      <c r="AO123" s="29">
        <f t="shared" si="54"/>
        <v>9</v>
      </c>
      <c r="AP123" s="29">
        <f t="shared" si="55"/>
        <v>6</v>
      </c>
      <c r="AQ123" s="29">
        <f t="shared" si="56"/>
        <v>1</v>
      </c>
      <c r="AR123" s="29">
        <f t="shared" si="57"/>
        <v>0</v>
      </c>
      <c r="AS123" s="29">
        <f t="shared" si="58"/>
        <v>0</v>
      </c>
      <c r="AT123" s="29">
        <f t="shared" si="59"/>
        <v>3</v>
      </c>
      <c r="AU123" s="34">
        <f t="shared" si="60"/>
        <v>71</v>
      </c>
      <c r="AV123" s="19">
        <f t="shared" si="61"/>
        <v>89</v>
      </c>
    </row>
    <row r="124" spans="2:48">
      <c r="B124" s="21">
        <v>90</v>
      </c>
      <c r="C124" s="23">
        <v>12</v>
      </c>
      <c r="D124" s="22">
        <v>14</v>
      </c>
      <c r="E124" s="24">
        <f t="shared" si="64"/>
        <v>7</v>
      </c>
      <c r="F124" s="24">
        <f t="shared" si="64"/>
        <v>4</v>
      </c>
      <c r="G124" s="24">
        <f t="shared" si="64"/>
        <v>2</v>
      </c>
      <c r="H124" s="24">
        <f t="shared" si="64"/>
        <v>9</v>
      </c>
      <c r="I124" s="24">
        <f t="shared" si="64"/>
        <v>8</v>
      </c>
      <c r="J124" s="24">
        <f t="shared" si="64"/>
        <v>8</v>
      </c>
      <c r="K124" s="24">
        <f t="shared" si="64"/>
        <v>8</v>
      </c>
      <c r="L124" s="24">
        <f t="shared" si="64"/>
        <v>6</v>
      </c>
      <c r="M124" s="24">
        <f t="shared" si="64"/>
        <v>9</v>
      </c>
      <c r="N124" s="24">
        <f t="shared" si="64"/>
        <v>6</v>
      </c>
      <c r="O124" s="24">
        <f t="shared" si="64"/>
        <v>3</v>
      </c>
      <c r="P124" s="24">
        <f t="shared" si="64"/>
        <v>0</v>
      </c>
      <c r="Q124" s="24">
        <f t="shared" si="64"/>
        <v>2</v>
      </c>
      <c r="R124" s="24">
        <f t="shared" si="64"/>
        <v>5</v>
      </c>
      <c r="S124" s="25">
        <f t="shared" si="65"/>
        <v>6</v>
      </c>
      <c r="T124" s="25">
        <f t="shared" si="65"/>
        <v>7</v>
      </c>
      <c r="U124" s="25">
        <f t="shared" si="65"/>
        <v>7</v>
      </c>
      <c r="V124" s="25">
        <f t="shared" si="65"/>
        <v>14</v>
      </c>
      <c r="W124" s="25">
        <f t="shared" si="65"/>
        <v>13</v>
      </c>
      <c r="X124" s="25">
        <f t="shared" si="65"/>
        <v>9</v>
      </c>
      <c r="Y124" s="25">
        <f t="shared" si="65"/>
        <v>13</v>
      </c>
      <c r="Z124" s="25">
        <f t="shared" si="65"/>
        <v>11</v>
      </c>
      <c r="AA124" s="25">
        <f t="shared" si="65"/>
        <v>14</v>
      </c>
      <c r="AB124" s="25">
        <f t="shared" si="65"/>
        <v>11</v>
      </c>
      <c r="AC124" s="25">
        <f t="shared" si="65"/>
        <v>4</v>
      </c>
      <c r="AD124" s="25">
        <f t="shared" si="65"/>
        <v>5</v>
      </c>
      <c r="AE124" s="25">
        <f t="shared" si="65"/>
        <v>3</v>
      </c>
      <c r="AF124" s="25">
        <f t="shared" si="65"/>
        <v>0</v>
      </c>
      <c r="AG124" s="29">
        <f t="shared" si="46"/>
        <v>6</v>
      </c>
      <c r="AH124" s="29">
        <f t="shared" si="47"/>
        <v>4</v>
      </c>
      <c r="AI124" s="29">
        <f t="shared" si="48"/>
        <v>2</v>
      </c>
      <c r="AJ124" s="29">
        <f t="shared" si="49"/>
        <v>9</v>
      </c>
      <c r="AK124" s="29">
        <f t="shared" si="50"/>
        <v>8</v>
      </c>
      <c r="AL124" s="29">
        <f t="shared" si="51"/>
        <v>8</v>
      </c>
      <c r="AM124" s="29">
        <f t="shared" si="52"/>
        <v>8</v>
      </c>
      <c r="AN124" s="29">
        <f t="shared" si="53"/>
        <v>6</v>
      </c>
      <c r="AO124" s="29">
        <f t="shared" si="54"/>
        <v>9</v>
      </c>
      <c r="AP124" s="29">
        <f t="shared" si="55"/>
        <v>6</v>
      </c>
      <c r="AQ124" s="29">
        <f t="shared" si="56"/>
        <v>3</v>
      </c>
      <c r="AR124" s="29">
        <f t="shared" si="57"/>
        <v>0</v>
      </c>
      <c r="AS124" s="29">
        <f t="shared" si="58"/>
        <v>2</v>
      </c>
      <c r="AT124" s="29">
        <f t="shared" si="59"/>
        <v>0</v>
      </c>
      <c r="AU124" s="34">
        <f t="shared" si="60"/>
        <v>71</v>
      </c>
      <c r="AV124" s="19">
        <f t="shared" si="61"/>
        <v>90</v>
      </c>
    </row>
    <row r="125" spans="2:48">
      <c r="B125" s="21">
        <v>91</v>
      </c>
      <c r="C125" s="23">
        <v>13</v>
      </c>
      <c r="D125" s="22">
        <v>14</v>
      </c>
      <c r="E125" s="24">
        <f t="shared" si="64"/>
        <v>9</v>
      </c>
      <c r="F125" s="24">
        <f t="shared" si="64"/>
        <v>6</v>
      </c>
      <c r="G125" s="24">
        <f t="shared" si="64"/>
        <v>4</v>
      </c>
      <c r="H125" s="24">
        <f t="shared" si="64"/>
        <v>11</v>
      </c>
      <c r="I125" s="24">
        <f t="shared" si="64"/>
        <v>10</v>
      </c>
      <c r="J125" s="24">
        <f t="shared" si="64"/>
        <v>10</v>
      </c>
      <c r="K125" s="24">
        <f t="shared" si="64"/>
        <v>10</v>
      </c>
      <c r="L125" s="24">
        <f t="shared" si="64"/>
        <v>8</v>
      </c>
      <c r="M125" s="24">
        <f t="shared" si="64"/>
        <v>11</v>
      </c>
      <c r="N125" s="24">
        <f t="shared" si="64"/>
        <v>8</v>
      </c>
      <c r="O125" s="24">
        <f t="shared" si="64"/>
        <v>1</v>
      </c>
      <c r="P125" s="24">
        <f t="shared" si="64"/>
        <v>2</v>
      </c>
      <c r="Q125" s="24">
        <f t="shared" si="64"/>
        <v>0</v>
      </c>
      <c r="R125" s="24">
        <f t="shared" si="64"/>
        <v>3</v>
      </c>
      <c r="S125" s="25">
        <f t="shared" si="65"/>
        <v>6</v>
      </c>
      <c r="T125" s="25">
        <f t="shared" si="65"/>
        <v>7</v>
      </c>
      <c r="U125" s="25">
        <f t="shared" si="65"/>
        <v>7</v>
      </c>
      <c r="V125" s="25">
        <f t="shared" si="65"/>
        <v>14</v>
      </c>
      <c r="W125" s="25">
        <f t="shared" si="65"/>
        <v>13</v>
      </c>
      <c r="X125" s="25">
        <f t="shared" si="65"/>
        <v>9</v>
      </c>
      <c r="Y125" s="25">
        <f t="shared" si="65"/>
        <v>13</v>
      </c>
      <c r="Z125" s="25">
        <f t="shared" si="65"/>
        <v>11</v>
      </c>
      <c r="AA125" s="25">
        <f t="shared" si="65"/>
        <v>14</v>
      </c>
      <c r="AB125" s="25">
        <f t="shared" si="65"/>
        <v>11</v>
      </c>
      <c r="AC125" s="25">
        <f t="shared" si="65"/>
        <v>4</v>
      </c>
      <c r="AD125" s="25">
        <f t="shared" si="65"/>
        <v>5</v>
      </c>
      <c r="AE125" s="25">
        <f t="shared" si="65"/>
        <v>3</v>
      </c>
      <c r="AF125" s="25">
        <f t="shared" si="65"/>
        <v>0</v>
      </c>
      <c r="AG125" s="29">
        <f t="shared" si="46"/>
        <v>6</v>
      </c>
      <c r="AH125" s="29">
        <f t="shared" si="47"/>
        <v>6</v>
      </c>
      <c r="AI125" s="29">
        <f t="shared" si="48"/>
        <v>4</v>
      </c>
      <c r="AJ125" s="29">
        <f t="shared" si="49"/>
        <v>11</v>
      </c>
      <c r="AK125" s="29">
        <f t="shared" si="50"/>
        <v>10</v>
      </c>
      <c r="AL125" s="29">
        <f t="shared" si="51"/>
        <v>9</v>
      </c>
      <c r="AM125" s="29">
        <f t="shared" si="52"/>
        <v>10</v>
      </c>
      <c r="AN125" s="29">
        <f t="shared" si="53"/>
        <v>8</v>
      </c>
      <c r="AO125" s="29">
        <f t="shared" si="54"/>
        <v>11</v>
      </c>
      <c r="AP125" s="29">
        <f t="shared" si="55"/>
        <v>8</v>
      </c>
      <c r="AQ125" s="29">
        <f t="shared" si="56"/>
        <v>1</v>
      </c>
      <c r="AR125" s="29">
        <f t="shared" si="57"/>
        <v>2</v>
      </c>
      <c r="AS125" s="29">
        <f t="shared" si="58"/>
        <v>0</v>
      </c>
      <c r="AT125" s="29">
        <f t="shared" si="59"/>
        <v>0</v>
      </c>
      <c r="AU125" s="34">
        <f t="shared" si="60"/>
        <v>86</v>
      </c>
      <c r="AV125" s="19">
        <f t="shared" si="61"/>
        <v>91</v>
      </c>
    </row>
    <row r="128" spans="2:48">
      <c r="B128" s="7" t="s">
        <v>765</v>
      </c>
      <c r="C128" s="6">
        <f>MIN(AU35:AU125)</f>
        <v>43</v>
      </c>
    </row>
    <row r="129" spans="2:48">
      <c r="B129" s="7" t="s">
        <v>767</v>
      </c>
      <c r="C129" s="6">
        <f>VLOOKUP(C128,$AU$35:$AV$125,2,0)</f>
        <v>53</v>
      </c>
    </row>
    <row r="130" spans="2:48">
      <c r="B130" s="7"/>
    </row>
    <row r="131" spans="2:48" s="7" customFormat="1">
      <c r="B131" s="21" t="s">
        <v>10</v>
      </c>
      <c r="C131" s="21" t="s">
        <v>762</v>
      </c>
      <c r="D131" s="21" t="s">
        <v>763</v>
      </c>
      <c r="E131" s="35">
        <v>1</v>
      </c>
      <c r="F131" s="35">
        <v>2</v>
      </c>
      <c r="G131" s="35">
        <v>3</v>
      </c>
      <c r="H131" s="35">
        <v>4</v>
      </c>
      <c r="I131" s="35">
        <v>5</v>
      </c>
      <c r="J131" s="35">
        <v>6</v>
      </c>
      <c r="K131" s="35">
        <v>7</v>
      </c>
      <c r="L131" s="35">
        <v>8</v>
      </c>
      <c r="M131" s="35">
        <v>9</v>
      </c>
      <c r="N131" s="35">
        <v>10</v>
      </c>
      <c r="O131" s="35">
        <v>11</v>
      </c>
      <c r="P131" s="35">
        <v>12</v>
      </c>
      <c r="Q131" s="35">
        <v>13</v>
      </c>
      <c r="R131" s="35">
        <v>14</v>
      </c>
      <c r="S131" s="36">
        <v>1</v>
      </c>
      <c r="T131" s="36">
        <v>2</v>
      </c>
      <c r="U131" s="36">
        <v>3</v>
      </c>
      <c r="V131" s="36">
        <v>4</v>
      </c>
      <c r="W131" s="36">
        <v>5</v>
      </c>
      <c r="X131" s="36">
        <v>6</v>
      </c>
      <c r="Y131" s="36">
        <v>7</v>
      </c>
      <c r="Z131" s="36">
        <v>8</v>
      </c>
      <c r="AA131" s="36">
        <v>9</v>
      </c>
      <c r="AB131" s="36">
        <v>10</v>
      </c>
      <c r="AC131" s="36">
        <v>11</v>
      </c>
      <c r="AD131" s="36">
        <v>12</v>
      </c>
      <c r="AE131" s="36">
        <v>13</v>
      </c>
      <c r="AF131" s="36">
        <v>14</v>
      </c>
      <c r="AG131" s="37">
        <v>1</v>
      </c>
      <c r="AH131" s="37">
        <v>2</v>
      </c>
      <c r="AI131" s="37">
        <v>3</v>
      </c>
      <c r="AJ131" s="37">
        <v>4</v>
      </c>
      <c r="AK131" s="37">
        <v>5</v>
      </c>
      <c r="AL131" s="37">
        <v>6</v>
      </c>
      <c r="AM131" s="37">
        <v>7</v>
      </c>
      <c r="AN131" s="37">
        <v>8</v>
      </c>
      <c r="AO131" s="37">
        <v>9</v>
      </c>
      <c r="AP131" s="37">
        <v>10</v>
      </c>
      <c r="AQ131" s="37">
        <v>11</v>
      </c>
      <c r="AR131" s="37">
        <v>12</v>
      </c>
      <c r="AS131" s="37">
        <v>13</v>
      </c>
      <c r="AT131" s="37">
        <v>14</v>
      </c>
      <c r="AU131" s="38" t="s">
        <v>764</v>
      </c>
      <c r="AV131" s="21" t="s">
        <v>766</v>
      </c>
    </row>
    <row r="132" spans="2:48">
      <c r="B132" s="22">
        <v>53</v>
      </c>
      <c r="C132" s="22">
        <v>5</v>
      </c>
      <c r="D132" s="22">
        <v>12</v>
      </c>
      <c r="E132" s="22">
        <v>9</v>
      </c>
      <c r="F132" s="22">
        <v>6</v>
      </c>
      <c r="G132" s="22">
        <v>6</v>
      </c>
      <c r="H132" s="22">
        <v>1</v>
      </c>
      <c r="I132" s="22">
        <v>0</v>
      </c>
      <c r="J132" s="22">
        <v>10</v>
      </c>
      <c r="K132" s="22">
        <v>0</v>
      </c>
      <c r="L132" s="22">
        <v>6</v>
      </c>
      <c r="M132" s="22">
        <v>3</v>
      </c>
      <c r="N132" s="22">
        <v>2</v>
      </c>
      <c r="O132" s="22">
        <v>9</v>
      </c>
      <c r="P132" s="22">
        <v>8</v>
      </c>
      <c r="Q132" s="22">
        <v>10</v>
      </c>
      <c r="R132" s="22">
        <v>13</v>
      </c>
      <c r="S132" s="22">
        <v>7</v>
      </c>
      <c r="T132" s="22">
        <v>4</v>
      </c>
      <c r="U132" s="22">
        <v>2</v>
      </c>
      <c r="V132" s="22">
        <v>9</v>
      </c>
      <c r="W132" s="22">
        <v>8</v>
      </c>
      <c r="X132" s="22">
        <v>8</v>
      </c>
      <c r="Y132" s="22">
        <v>8</v>
      </c>
      <c r="Z132" s="22">
        <v>6</v>
      </c>
      <c r="AA132" s="22">
        <v>9</v>
      </c>
      <c r="AB132" s="22">
        <v>6</v>
      </c>
      <c r="AC132" s="22">
        <v>3</v>
      </c>
      <c r="AD132" s="22">
        <v>0</v>
      </c>
      <c r="AE132" s="22">
        <v>2</v>
      </c>
      <c r="AF132" s="22">
        <v>5</v>
      </c>
      <c r="AG132" s="22">
        <v>7</v>
      </c>
      <c r="AH132" s="22">
        <v>4</v>
      </c>
      <c r="AI132" s="22">
        <v>2</v>
      </c>
      <c r="AJ132" s="22">
        <v>1</v>
      </c>
      <c r="AK132" s="22">
        <v>0</v>
      </c>
      <c r="AL132" s="22">
        <v>8</v>
      </c>
      <c r="AM132" s="22">
        <v>0</v>
      </c>
      <c r="AN132" s="22">
        <v>6</v>
      </c>
      <c r="AO132" s="22">
        <v>3</v>
      </c>
      <c r="AP132" s="22">
        <v>2</v>
      </c>
      <c r="AQ132" s="22">
        <v>3</v>
      </c>
      <c r="AR132" s="22">
        <v>0</v>
      </c>
      <c r="AS132" s="22">
        <v>2</v>
      </c>
      <c r="AT132" s="22">
        <v>5</v>
      </c>
      <c r="AU132" s="22">
        <v>43</v>
      </c>
      <c r="AV132" s="22">
        <v>53</v>
      </c>
    </row>
    <row r="133" spans="2:48">
      <c r="B133" s="7"/>
    </row>
    <row r="134" spans="2:48">
      <c r="B134" s="7"/>
    </row>
    <row r="135" spans="2:48">
      <c r="B135" s="9" t="s">
        <v>10</v>
      </c>
      <c r="C135" s="9" t="s">
        <v>0</v>
      </c>
      <c r="D135" s="9" t="s">
        <v>1</v>
      </c>
      <c r="E135" s="20" t="s">
        <v>768</v>
      </c>
      <c r="F135" s="20" t="s">
        <v>769</v>
      </c>
      <c r="G135" s="20" t="s">
        <v>770</v>
      </c>
      <c r="H135" s="20" t="s">
        <v>771</v>
      </c>
      <c r="I135" s="20" t="s">
        <v>772</v>
      </c>
    </row>
    <row r="136" spans="2:48">
      <c r="B136" s="10">
        <v>1</v>
      </c>
      <c r="C136" s="1">
        <v>4</v>
      </c>
      <c r="D136" s="1">
        <v>12</v>
      </c>
      <c r="E136" s="20">
        <v>9</v>
      </c>
      <c r="F136" s="20">
        <v>7</v>
      </c>
      <c r="G136" s="20">
        <v>7</v>
      </c>
      <c r="H136" s="20" t="e">
        <f>IF(G136=E136,D136,NA())</f>
        <v>#N/A</v>
      </c>
      <c r="I136" s="20">
        <f>IF(G136=F136,D136,NA())</f>
        <v>12</v>
      </c>
    </row>
    <row r="137" spans="2:48">
      <c r="B137" s="10">
        <v>2</v>
      </c>
      <c r="C137" s="1">
        <v>5</v>
      </c>
      <c r="D137" s="1">
        <v>10</v>
      </c>
      <c r="E137" s="20">
        <v>6</v>
      </c>
      <c r="F137" s="20">
        <v>4</v>
      </c>
      <c r="G137" s="20">
        <v>4</v>
      </c>
      <c r="H137" s="20" t="e">
        <f t="shared" ref="H137:H149" si="66">IF(G137=E137,D137,NA())</f>
        <v>#N/A</v>
      </c>
      <c r="I137" s="20">
        <f t="shared" ref="I137:I149" si="67">IF(G137=F137,D137,NA())</f>
        <v>10</v>
      </c>
    </row>
    <row r="138" spans="2:48">
      <c r="B138" s="10">
        <v>3</v>
      </c>
      <c r="C138" s="1">
        <v>8</v>
      </c>
      <c r="D138" s="1">
        <v>7</v>
      </c>
      <c r="E138" s="20">
        <v>6</v>
      </c>
      <c r="F138" s="20">
        <v>2</v>
      </c>
      <c r="G138" s="20">
        <v>2</v>
      </c>
      <c r="H138" s="20" t="e">
        <f t="shared" si="66"/>
        <v>#N/A</v>
      </c>
      <c r="I138" s="20">
        <f t="shared" si="67"/>
        <v>7</v>
      </c>
    </row>
    <row r="139" spans="2:48">
      <c r="B139" s="10">
        <v>4</v>
      </c>
      <c r="C139" s="1">
        <v>5</v>
      </c>
      <c r="D139" s="1">
        <v>3</v>
      </c>
      <c r="E139" s="20">
        <v>1</v>
      </c>
      <c r="F139" s="20">
        <v>9</v>
      </c>
      <c r="G139" s="20">
        <v>1</v>
      </c>
      <c r="H139" s="20">
        <f t="shared" si="66"/>
        <v>3</v>
      </c>
      <c r="I139" s="20" t="e">
        <f t="shared" si="67"/>
        <v>#N/A</v>
      </c>
    </row>
    <row r="140" spans="2:48">
      <c r="B140" s="10">
        <v>5</v>
      </c>
      <c r="C140" s="39">
        <v>5</v>
      </c>
      <c r="D140" s="39">
        <v>4</v>
      </c>
      <c r="E140" s="20">
        <v>0</v>
      </c>
      <c r="F140" s="20">
        <v>8</v>
      </c>
      <c r="G140" s="20">
        <v>0</v>
      </c>
      <c r="H140" s="20">
        <f t="shared" si="66"/>
        <v>4</v>
      </c>
      <c r="I140" s="20" t="e">
        <f t="shared" si="67"/>
        <v>#N/A</v>
      </c>
    </row>
    <row r="141" spans="2:48">
      <c r="B141" s="10">
        <v>6</v>
      </c>
      <c r="C141" s="1">
        <v>2</v>
      </c>
      <c r="D141" s="1">
        <v>11</v>
      </c>
      <c r="E141" s="20">
        <v>10</v>
      </c>
      <c r="F141" s="20">
        <v>8</v>
      </c>
      <c r="G141" s="20">
        <v>8</v>
      </c>
      <c r="H141" s="20" t="e">
        <f t="shared" si="66"/>
        <v>#N/A</v>
      </c>
      <c r="I141" s="20">
        <f t="shared" si="67"/>
        <v>11</v>
      </c>
    </row>
    <row r="142" spans="2:48">
      <c r="B142" s="10">
        <v>7</v>
      </c>
      <c r="C142" s="1">
        <v>5</v>
      </c>
      <c r="D142" s="1">
        <v>4</v>
      </c>
      <c r="E142" s="20">
        <v>0</v>
      </c>
      <c r="F142" s="20">
        <v>8</v>
      </c>
      <c r="G142" s="20">
        <v>0</v>
      </c>
      <c r="H142" s="20">
        <f t="shared" si="66"/>
        <v>4</v>
      </c>
      <c r="I142" s="20" t="e">
        <f t="shared" si="67"/>
        <v>#N/A</v>
      </c>
    </row>
    <row r="143" spans="2:48">
      <c r="B143" s="10">
        <v>8</v>
      </c>
      <c r="C143" s="1">
        <v>3</v>
      </c>
      <c r="D143" s="1">
        <v>8</v>
      </c>
      <c r="E143" s="20">
        <v>6</v>
      </c>
      <c r="F143" s="20">
        <v>6</v>
      </c>
      <c r="G143" s="20">
        <v>6</v>
      </c>
      <c r="H143" s="20">
        <f t="shared" si="66"/>
        <v>8</v>
      </c>
      <c r="I143" s="20">
        <f t="shared" si="67"/>
        <v>8</v>
      </c>
    </row>
    <row r="144" spans="2:48">
      <c r="B144" s="10">
        <v>9</v>
      </c>
      <c r="C144" s="1">
        <v>6</v>
      </c>
      <c r="D144" s="1">
        <v>2</v>
      </c>
      <c r="E144" s="20">
        <v>3</v>
      </c>
      <c r="F144" s="20">
        <v>9</v>
      </c>
      <c r="G144" s="20">
        <v>3</v>
      </c>
      <c r="H144" s="20">
        <f t="shared" si="66"/>
        <v>2</v>
      </c>
      <c r="I144" s="20" t="e">
        <f t="shared" si="67"/>
        <v>#N/A</v>
      </c>
    </row>
    <row r="145" spans="2:48">
      <c r="B145" s="10">
        <v>10</v>
      </c>
      <c r="C145" s="1">
        <v>7</v>
      </c>
      <c r="D145" s="1">
        <v>4</v>
      </c>
      <c r="E145" s="20">
        <v>2</v>
      </c>
      <c r="F145" s="20">
        <v>6</v>
      </c>
      <c r="G145" s="20">
        <v>2</v>
      </c>
      <c r="H145" s="20">
        <f t="shared" si="66"/>
        <v>4</v>
      </c>
      <c r="I145" s="20" t="e">
        <f t="shared" si="67"/>
        <v>#N/A</v>
      </c>
    </row>
    <row r="146" spans="2:48">
      <c r="B146" s="10">
        <v>11</v>
      </c>
      <c r="C146" s="53">
        <v>10</v>
      </c>
      <c r="D146" s="53">
        <v>8</v>
      </c>
      <c r="E146" s="20">
        <v>9</v>
      </c>
      <c r="F146" s="20">
        <v>3</v>
      </c>
      <c r="G146" s="20">
        <v>3</v>
      </c>
      <c r="H146" s="20" t="e">
        <f t="shared" si="66"/>
        <v>#N/A</v>
      </c>
      <c r="I146" s="20">
        <f t="shared" si="67"/>
        <v>8</v>
      </c>
    </row>
    <row r="147" spans="2:48">
      <c r="B147" s="10">
        <v>12</v>
      </c>
      <c r="C147" s="39">
        <v>8</v>
      </c>
      <c r="D147" s="39">
        <v>9</v>
      </c>
      <c r="E147" s="20">
        <v>8</v>
      </c>
      <c r="F147" s="20">
        <v>0</v>
      </c>
      <c r="G147" s="20">
        <v>0</v>
      </c>
      <c r="H147" s="20" t="e">
        <f t="shared" si="66"/>
        <v>#N/A</v>
      </c>
      <c r="I147" s="20">
        <f t="shared" si="67"/>
        <v>9</v>
      </c>
    </row>
    <row r="148" spans="2:48">
      <c r="B148" s="10">
        <v>13</v>
      </c>
      <c r="C148" s="1">
        <v>10</v>
      </c>
      <c r="D148" s="1">
        <v>9</v>
      </c>
      <c r="E148" s="20">
        <v>10</v>
      </c>
      <c r="F148" s="20">
        <v>2</v>
      </c>
      <c r="G148" s="20">
        <v>2</v>
      </c>
      <c r="H148" s="20" t="e">
        <f t="shared" si="66"/>
        <v>#N/A</v>
      </c>
      <c r="I148" s="20">
        <f t="shared" si="67"/>
        <v>9</v>
      </c>
    </row>
    <row r="149" spans="2:48">
      <c r="B149" s="10">
        <v>14</v>
      </c>
      <c r="C149" s="1">
        <v>10</v>
      </c>
      <c r="D149" s="1">
        <v>12</v>
      </c>
      <c r="E149" s="20">
        <v>13</v>
      </c>
      <c r="F149" s="20">
        <v>5</v>
      </c>
      <c r="G149" s="20">
        <v>5</v>
      </c>
      <c r="H149" s="20" t="e">
        <f t="shared" si="66"/>
        <v>#N/A</v>
      </c>
      <c r="I149" s="20">
        <f t="shared" si="67"/>
        <v>12</v>
      </c>
    </row>
    <row r="150" spans="2:48">
      <c r="B150" s="7"/>
    </row>
    <row r="151" spans="2:48">
      <c r="B151" s="7"/>
    </row>
    <row r="152" spans="2:48" s="7" customFormat="1">
      <c r="B152" s="21" t="s">
        <v>10</v>
      </c>
      <c r="C152" s="21" t="s">
        <v>762</v>
      </c>
      <c r="D152" s="21" t="s">
        <v>763</v>
      </c>
      <c r="E152" s="35">
        <v>1</v>
      </c>
      <c r="F152" s="35">
        <v>2</v>
      </c>
      <c r="G152" s="35">
        <v>3</v>
      </c>
      <c r="H152" s="35">
        <v>4</v>
      </c>
      <c r="I152" s="35">
        <v>5</v>
      </c>
      <c r="J152" s="35">
        <v>6</v>
      </c>
      <c r="K152" s="35">
        <v>7</v>
      </c>
      <c r="L152" s="35">
        <v>8</v>
      </c>
      <c r="M152" s="35">
        <v>9</v>
      </c>
      <c r="N152" s="35">
        <v>10</v>
      </c>
      <c r="O152" s="35">
        <v>11</v>
      </c>
      <c r="P152" s="35">
        <v>12</v>
      </c>
      <c r="Q152" s="35">
        <v>13</v>
      </c>
      <c r="R152" s="35">
        <v>14</v>
      </c>
      <c r="S152" s="36">
        <v>1</v>
      </c>
      <c r="T152" s="36">
        <v>2</v>
      </c>
      <c r="U152" s="36">
        <v>3</v>
      </c>
      <c r="V152" s="36">
        <v>4</v>
      </c>
      <c r="W152" s="36">
        <v>5</v>
      </c>
      <c r="X152" s="36">
        <v>6</v>
      </c>
      <c r="Y152" s="36">
        <v>7</v>
      </c>
      <c r="Z152" s="36">
        <v>8</v>
      </c>
      <c r="AA152" s="36">
        <v>9</v>
      </c>
      <c r="AB152" s="36">
        <v>10</v>
      </c>
      <c r="AC152" s="36">
        <v>11</v>
      </c>
      <c r="AD152" s="36">
        <v>12</v>
      </c>
      <c r="AE152" s="36">
        <v>13</v>
      </c>
      <c r="AF152" s="36">
        <v>14</v>
      </c>
      <c r="AG152" s="37">
        <v>1</v>
      </c>
      <c r="AH152" s="37">
        <v>2</v>
      </c>
      <c r="AI152" s="37">
        <v>3</v>
      </c>
      <c r="AJ152" s="37">
        <v>4</v>
      </c>
      <c r="AK152" s="37">
        <v>5</v>
      </c>
      <c r="AL152" s="37">
        <v>6</v>
      </c>
      <c r="AM152" s="37">
        <v>7</v>
      </c>
      <c r="AN152" s="37">
        <v>8</v>
      </c>
      <c r="AO152" s="37">
        <v>9</v>
      </c>
      <c r="AP152" s="37">
        <v>10</v>
      </c>
      <c r="AQ152" s="37">
        <v>11</v>
      </c>
      <c r="AR152" s="37">
        <v>12</v>
      </c>
      <c r="AS152" s="37">
        <v>13</v>
      </c>
      <c r="AT152" s="37">
        <v>14</v>
      </c>
      <c r="AU152" s="38" t="s">
        <v>764</v>
      </c>
      <c r="AV152" s="21" t="s">
        <v>766</v>
      </c>
    </row>
    <row r="153" spans="2:48">
      <c r="B153" s="22">
        <v>68</v>
      </c>
      <c r="C153" s="22">
        <v>7</v>
      </c>
      <c r="D153" s="22">
        <v>12</v>
      </c>
      <c r="E153" s="22">
        <v>9</v>
      </c>
      <c r="F153" s="22">
        <v>6</v>
      </c>
      <c r="G153" s="22">
        <v>6</v>
      </c>
      <c r="H153" s="22">
        <v>1</v>
      </c>
      <c r="I153" s="22">
        <v>0</v>
      </c>
      <c r="J153" s="22">
        <v>10</v>
      </c>
      <c r="K153" s="22">
        <v>0</v>
      </c>
      <c r="L153" s="22">
        <v>6</v>
      </c>
      <c r="M153" s="22">
        <v>3</v>
      </c>
      <c r="N153" s="22">
        <v>2</v>
      </c>
      <c r="O153" s="22">
        <v>9</v>
      </c>
      <c r="P153" s="22">
        <v>8</v>
      </c>
      <c r="Q153" s="22">
        <v>10</v>
      </c>
      <c r="R153" s="22">
        <v>13</v>
      </c>
      <c r="S153" s="22">
        <v>7</v>
      </c>
      <c r="T153" s="22">
        <v>4</v>
      </c>
      <c r="U153" s="22">
        <v>2</v>
      </c>
      <c r="V153" s="22">
        <v>9</v>
      </c>
      <c r="W153" s="22">
        <v>8</v>
      </c>
      <c r="X153" s="22">
        <v>8</v>
      </c>
      <c r="Y153" s="22">
        <v>8</v>
      </c>
      <c r="Z153" s="22">
        <v>6</v>
      </c>
      <c r="AA153" s="22">
        <v>9</v>
      </c>
      <c r="AB153" s="22">
        <v>6</v>
      </c>
      <c r="AC153" s="22">
        <v>3</v>
      </c>
      <c r="AD153" s="22">
        <v>0</v>
      </c>
      <c r="AE153" s="22">
        <v>2</v>
      </c>
      <c r="AF153" s="22">
        <v>5</v>
      </c>
      <c r="AG153" s="22">
        <v>7</v>
      </c>
      <c r="AH153" s="22">
        <v>4</v>
      </c>
      <c r="AI153" s="22">
        <v>2</v>
      </c>
      <c r="AJ153" s="22">
        <v>1</v>
      </c>
      <c r="AK153" s="22">
        <v>0</v>
      </c>
      <c r="AL153" s="22">
        <v>8</v>
      </c>
      <c r="AM153" s="22">
        <v>0</v>
      </c>
      <c r="AN153" s="22">
        <v>6</v>
      </c>
      <c r="AO153" s="22">
        <v>3</v>
      </c>
      <c r="AP153" s="22">
        <v>2</v>
      </c>
      <c r="AQ153" s="22">
        <v>3</v>
      </c>
      <c r="AR153" s="22">
        <v>0</v>
      </c>
      <c r="AS153" s="22">
        <v>2</v>
      </c>
      <c r="AT153" s="22">
        <v>5</v>
      </c>
      <c r="AU153" s="22">
        <v>43</v>
      </c>
      <c r="AV153" s="22">
        <v>68</v>
      </c>
    </row>
    <row r="154" spans="2:48">
      <c r="B154" s="7"/>
    </row>
    <row r="155" spans="2:48">
      <c r="B155" s="7"/>
    </row>
    <row r="156" spans="2:48">
      <c r="B156" s="9" t="s">
        <v>10</v>
      </c>
      <c r="C156" s="9" t="s">
        <v>0</v>
      </c>
      <c r="D156" s="9" t="s">
        <v>1</v>
      </c>
      <c r="E156" s="20" t="s">
        <v>768</v>
      </c>
      <c r="F156" s="20" t="s">
        <v>769</v>
      </c>
      <c r="G156" s="20" t="s">
        <v>770</v>
      </c>
      <c r="H156" s="20" t="s">
        <v>771</v>
      </c>
      <c r="I156" s="20" t="s">
        <v>772</v>
      </c>
    </row>
    <row r="157" spans="2:48">
      <c r="B157" s="10">
        <v>1</v>
      </c>
      <c r="C157" s="1">
        <v>4</v>
      </c>
      <c r="D157" s="1">
        <v>12</v>
      </c>
      <c r="E157" s="20">
        <v>9</v>
      </c>
      <c r="F157" s="20">
        <v>7</v>
      </c>
      <c r="G157" s="20">
        <v>7</v>
      </c>
      <c r="H157" s="20" t="e">
        <f>IF(G157=E157,D157,NA())</f>
        <v>#N/A</v>
      </c>
      <c r="I157" s="20">
        <f>IF(G157=F157,D157,NA())</f>
        <v>12</v>
      </c>
    </row>
    <row r="158" spans="2:48">
      <c r="B158" s="10">
        <v>2</v>
      </c>
      <c r="C158" s="1">
        <v>5</v>
      </c>
      <c r="D158" s="1">
        <v>10</v>
      </c>
      <c r="E158" s="20">
        <v>6</v>
      </c>
      <c r="F158" s="20">
        <v>4</v>
      </c>
      <c r="G158" s="20">
        <v>4</v>
      </c>
      <c r="H158" s="20" t="e">
        <f t="shared" ref="H158:H170" si="68">IF(G158=E158,D158,NA())</f>
        <v>#N/A</v>
      </c>
      <c r="I158" s="20">
        <f t="shared" ref="I158:I170" si="69">IF(G158=F158,D158,NA())</f>
        <v>10</v>
      </c>
    </row>
    <row r="159" spans="2:48">
      <c r="B159" s="10">
        <v>3</v>
      </c>
      <c r="C159" s="1">
        <v>8</v>
      </c>
      <c r="D159" s="1">
        <v>7</v>
      </c>
      <c r="E159" s="20">
        <v>6</v>
      </c>
      <c r="F159" s="20">
        <v>2</v>
      </c>
      <c r="G159" s="20">
        <v>2</v>
      </c>
      <c r="H159" s="20" t="e">
        <f t="shared" si="68"/>
        <v>#N/A</v>
      </c>
      <c r="I159" s="20">
        <f t="shared" si="69"/>
        <v>7</v>
      </c>
    </row>
    <row r="160" spans="2:48">
      <c r="B160" s="10">
        <v>4</v>
      </c>
      <c r="C160" s="1">
        <v>5</v>
      </c>
      <c r="D160" s="1">
        <v>3</v>
      </c>
      <c r="E160" s="20">
        <v>1</v>
      </c>
      <c r="F160" s="20">
        <v>9</v>
      </c>
      <c r="G160" s="20">
        <v>1</v>
      </c>
      <c r="H160" s="20">
        <f t="shared" si="68"/>
        <v>3</v>
      </c>
      <c r="I160" s="20" t="e">
        <f t="shared" si="69"/>
        <v>#N/A</v>
      </c>
    </row>
    <row r="161" spans="2:9">
      <c r="B161" s="10">
        <v>5</v>
      </c>
      <c r="C161" s="40">
        <v>5</v>
      </c>
      <c r="D161" s="40">
        <v>4</v>
      </c>
      <c r="E161" s="20">
        <v>0</v>
      </c>
      <c r="F161" s="20">
        <v>8</v>
      </c>
      <c r="G161" s="20">
        <v>0</v>
      </c>
      <c r="H161" s="20">
        <f t="shared" si="68"/>
        <v>4</v>
      </c>
      <c r="I161" s="20" t="e">
        <f t="shared" si="69"/>
        <v>#N/A</v>
      </c>
    </row>
    <row r="162" spans="2:9">
      <c r="B162" s="10">
        <v>6</v>
      </c>
      <c r="C162" s="1">
        <v>2</v>
      </c>
      <c r="D162" s="1">
        <v>11</v>
      </c>
      <c r="E162" s="20">
        <v>10</v>
      </c>
      <c r="F162" s="20">
        <v>8</v>
      </c>
      <c r="G162" s="20">
        <v>8</v>
      </c>
      <c r="H162" s="20" t="e">
        <f t="shared" si="68"/>
        <v>#N/A</v>
      </c>
      <c r="I162" s="20">
        <f t="shared" si="69"/>
        <v>11</v>
      </c>
    </row>
    <row r="163" spans="2:9">
      <c r="B163" s="10">
        <v>7</v>
      </c>
      <c r="C163" s="39">
        <v>5</v>
      </c>
      <c r="D163" s="39">
        <v>4</v>
      </c>
      <c r="E163" s="20">
        <v>0</v>
      </c>
      <c r="F163" s="20">
        <v>8</v>
      </c>
      <c r="G163" s="20">
        <v>0</v>
      </c>
      <c r="H163" s="20">
        <f t="shared" si="68"/>
        <v>4</v>
      </c>
      <c r="I163" s="20" t="e">
        <f t="shared" si="69"/>
        <v>#N/A</v>
      </c>
    </row>
    <row r="164" spans="2:9">
      <c r="B164" s="10">
        <v>8</v>
      </c>
      <c r="C164" s="1">
        <v>3</v>
      </c>
      <c r="D164" s="1">
        <v>8</v>
      </c>
      <c r="E164" s="20">
        <v>6</v>
      </c>
      <c r="F164" s="20">
        <v>6</v>
      </c>
      <c r="G164" s="20">
        <v>6</v>
      </c>
      <c r="H164" s="20">
        <f t="shared" si="68"/>
        <v>8</v>
      </c>
      <c r="I164" s="20">
        <f t="shared" si="69"/>
        <v>8</v>
      </c>
    </row>
    <row r="165" spans="2:9">
      <c r="B165" s="10">
        <v>9</v>
      </c>
      <c r="C165" s="1">
        <v>6</v>
      </c>
      <c r="D165" s="1">
        <v>2</v>
      </c>
      <c r="E165" s="20">
        <v>3</v>
      </c>
      <c r="F165" s="20">
        <v>9</v>
      </c>
      <c r="G165" s="20">
        <v>3</v>
      </c>
      <c r="H165" s="20">
        <f t="shared" si="68"/>
        <v>2</v>
      </c>
      <c r="I165" s="20" t="e">
        <f t="shared" si="69"/>
        <v>#N/A</v>
      </c>
    </row>
    <row r="166" spans="2:9">
      <c r="B166" s="10">
        <v>10</v>
      </c>
      <c r="C166" s="1">
        <v>7</v>
      </c>
      <c r="D166" s="1">
        <v>4</v>
      </c>
      <c r="E166" s="20">
        <v>2</v>
      </c>
      <c r="F166" s="20">
        <v>6</v>
      </c>
      <c r="G166" s="20">
        <v>2</v>
      </c>
      <c r="H166" s="20">
        <f t="shared" si="68"/>
        <v>4</v>
      </c>
      <c r="I166" s="20" t="e">
        <f t="shared" si="69"/>
        <v>#N/A</v>
      </c>
    </row>
    <row r="167" spans="2:9">
      <c r="B167" s="10">
        <v>11</v>
      </c>
      <c r="C167" s="1">
        <v>10</v>
      </c>
      <c r="D167" s="1">
        <v>8</v>
      </c>
      <c r="E167" s="20">
        <v>9</v>
      </c>
      <c r="F167" s="20">
        <v>3</v>
      </c>
      <c r="G167" s="20">
        <v>3</v>
      </c>
      <c r="H167" s="20" t="e">
        <f t="shared" si="68"/>
        <v>#N/A</v>
      </c>
      <c r="I167" s="20">
        <f t="shared" si="69"/>
        <v>8</v>
      </c>
    </row>
    <row r="168" spans="2:9">
      <c r="B168" s="10">
        <v>12</v>
      </c>
      <c r="C168" s="39">
        <v>8</v>
      </c>
      <c r="D168" s="39">
        <v>9</v>
      </c>
      <c r="E168" s="20">
        <v>8</v>
      </c>
      <c r="F168" s="20">
        <v>0</v>
      </c>
      <c r="G168" s="20">
        <v>0</v>
      </c>
      <c r="H168" s="20" t="e">
        <f t="shared" si="68"/>
        <v>#N/A</v>
      </c>
      <c r="I168" s="20">
        <f t="shared" si="69"/>
        <v>9</v>
      </c>
    </row>
    <row r="169" spans="2:9">
      <c r="B169" s="10">
        <v>13</v>
      </c>
      <c r="C169" s="1">
        <v>10</v>
      </c>
      <c r="D169" s="1">
        <v>9</v>
      </c>
      <c r="E169" s="20">
        <v>10</v>
      </c>
      <c r="F169" s="20">
        <v>2</v>
      </c>
      <c r="G169" s="20">
        <v>2</v>
      </c>
      <c r="H169" s="20" t="e">
        <f t="shared" si="68"/>
        <v>#N/A</v>
      </c>
      <c r="I169" s="20">
        <f t="shared" si="69"/>
        <v>9</v>
      </c>
    </row>
    <row r="170" spans="2:9">
      <c r="B170" s="10">
        <v>14</v>
      </c>
      <c r="C170" s="1">
        <v>10</v>
      </c>
      <c r="D170" s="1">
        <v>12</v>
      </c>
      <c r="E170" s="20">
        <v>13</v>
      </c>
      <c r="F170" s="20">
        <v>5</v>
      </c>
      <c r="G170" s="20">
        <v>5</v>
      </c>
      <c r="H170" s="20" t="e">
        <f t="shared" si="68"/>
        <v>#N/A</v>
      </c>
      <c r="I170" s="20">
        <f t="shared" si="69"/>
        <v>12</v>
      </c>
    </row>
    <row r="171" spans="2:9">
      <c r="B171" s="7"/>
    </row>
    <row r="172" spans="2:9">
      <c r="B172" s="7"/>
    </row>
    <row r="173" spans="2:9">
      <c r="B173" s="7"/>
    </row>
    <row r="174" spans="2:9">
      <c r="B174" s="7"/>
    </row>
    <row r="175" spans="2:9">
      <c r="B175" s="7"/>
    </row>
    <row r="176" spans="2:9">
      <c r="B176" s="7"/>
    </row>
    <row r="177" spans="2:2">
      <c r="B177" s="7"/>
    </row>
    <row r="178" spans="2:2">
      <c r="B178" s="7"/>
    </row>
    <row r="179" spans="2:2">
      <c r="B179" s="7"/>
    </row>
    <row r="180" spans="2:2">
      <c r="B180" s="7"/>
    </row>
    <row r="181" spans="2:2">
      <c r="B181" s="7"/>
    </row>
    <row r="182" spans="2:2">
      <c r="B182" s="7"/>
    </row>
    <row r="183" spans="2:2">
      <c r="B183" s="7"/>
    </row>
  </sheetData>
  <sortState xmlns:xlrd2="http://schemas.microsoft.com/office/spreadsheetml/2017/richdata2" ref="B35:AV125">
    <sortCondition ref="B35:B125"/>
  </sortState>
  <mergeCells count="3">
    <mergeCell ref="AG33:AT33"/>
    <mergeCell ref="E33:R33"/>
    <mergeCell ref="S33:AF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BX47"/>
  <sheetViews>
    <sheetView topLeftCell="L1" workbookViewId="0">
      <selection activeCell="P7" sqref="P7"/>
    </sheetView>
  </sheetViews>
  <sheetFormatPr baseColWidth="10" defaultColWidth="4.83203125" defaultRowHeight="15"/>
  <cols>
    <col min="1" max="43" width="4.83203125" style="6"/>
    <col min="44" max="57" width="4.5" style="6" customWidth="1"/>
    <col min="58" max="62" width="4.83203125" style="6"/>
    <col min="63" max="76" width="4.5" style="6" customWidth="1"/>
    <col min="77" max="16384" width="4.83203125" style="6"/>
  </cols>
  <sheetData>
    <row r="2" spans="3:76">
      <c r="E2" s="6" t="s">
        <v>784</v>
      </c>
      <c r="L2"/>
      <c r="X2" s="6" t="s">
        <v>784</v>
      </c>
      <c r="AE2"/>
      <c r="AQ2" s="6" t="s">
        <v>784</v>
      </c>
      <c r="AX2"/>
      <c r="BJ2" s="6" t="s">
        <v>784</v>
      </c>
      <c r="BQ2"/>
    </row>
    <row r="3" spans="3:76">
      <c r="L3"/>
      <c r="AE3"/>
      <c r="AX3"/>
      <c r="BQ3"/>
    </row>
    <row r="4" spans="3:76">
      <c r="AT4"/>
      <c r="BM4"/>
    </row>
    <row r="5" spans="3:76">
      <c r="L5"/>
      <c r="AE5"/>
    </row>
    <row r="6" spans="3:76" ht="16" thickBot="1"/>
    <row r="7" spans="3:76" ht="16" thickBot="1">
      <c r="E7" s="7" t="s">
        <v>778</v>
      </c>
      <c r="X7" s="7" t="s">
        <v>779</v>
      </c>
      <c r="AK7" s="6" t="s">
        <v>785</v>
      </c>
      <c r="AQ7" s="7" t="s">
        <v>780</v>
      </c>
      <c r="AU7" s="44" t="s">
        <v>781</v>
      </c>
      <c r="AV7" s="45">
        <v>1</v>
      </c>
      <c r="AY7" s="6" t="s">
        <v>782</v>
      </c>
      <c r="AZ7" s="6" t="s">
        <v>779</v>
      </c>
      <c r="BE7"/>
      <c r="BJ7" s="7" t="s">
        <v>786</v>
      </c>
      <c r="BN7" s="46"/>
      <c r="BO7" s="30"/>
      <c r="BP7" s="30"/>
      <c r="BQ7"/>
      <c r="BR7" s="30"/>
      <c r="BS7" s="30"/>
      <c r="BT7" s="30"/>
      <c r="BU7" s="30"/>
      <c r="BV7" s="30"/>
      <c r="BW7" s="30"/>
      <c r="BX7"/>
    </row>
    <row r="8" spans="3:76">
      <c r="AY8" s="6" t="s">
        <v>783</v>
      </c>
      <c r="AZ8" s="6" t="s">
        <v>778</v>
      </c>
      <c r="BN8" s="30"/>
      <c r="BO8" s="30"/>
      <c r="BP8" s="30"/>
      <c r="BQ8" s="30"/>
      <c r="BR8" s="30"/>
      <c r="BS8" s="30"/>
      <c r="BT8" s="30"/>
      <c r="BU8" s="30"/>
      <c r="BV8" s="30"/>
      <c r="BW8" s="30"/>
    </row>
    <row r="10" spans="3:76">
      <c r="E10" s="42" t="s">
        <v>10</v>
      </c>
      <c r="F10" s="43">
        <v>1</v>
      </c>
      <c r="G10" s="43">
        <v>2</v>
      </c>
      <c r="H10" s="43">
        <v>3</v>
      </c>
      <c r="I10" s="43">
        <v>4</v>
      </c>
      <c r="J10" s="43">
        <v>5</v>
      </c>
      <c r="K10" s="43">
        <v>6</v>
      </c>
      <c r="L10" s="43">
        <v>7</v>
      </c>
      <c r="M10" s="43">
        <v>8</v>
      </c>
      <c r="N10" s="43">
        <v>9</v>
      </c>
      <c r="O10" s="43">
        <v>10</v>
      </c>
      <c r="P10" s="43">
        <v>11</v>
      </c>
      <c r="Q10" s="43">
        <v>12</v>
      </c>
      <c r="R10" s="43">
        <v>13</v>
      </c>
      <c r="S10" s="43">
        <v>14</v>
      </c>
      <c r="X10" s="42" t="s">
        <v>10</v>
      </c>
      <c r="Y10" s="43">
        <v>1</v>
      </c>
      <c r="Z10" s="43">
        <v>2</v>
      </c>
      <c r="AA10" s="43">
        <v>3</v>
      </c>
      <c r="AB10" s="43">
        <v>4</v>
      </c>
      <c r="AC10" s="43">
        <v>5</v>
      </c>
      <c r="AD10" s="43">
        <v>6</v>
      </c>
      <c r="AE10" s="43">
        <v>7</v>
      </c>
      <c r="AF10" s="43">
        <v>8</v>
      </c>
      <c r="AG10" s="43">
        <v>9</v>
      </c>
      <c r="AH10" s="43">
        <v>10</v>
      </c>
      <c r="AI10" s="43">
        <v>11</v>
      </c>
      <c r="AJ10" s="43">
        <v>12</v>
      </c>
      <c r="AK10" s="43">
        <v>13</v>
      </c>
      <c r="AL10" s="43">
        <v>14</v>
      </c>
      <c r="AQ10" s="42" t="s">
        <v>10</v>
      </c>
      <c r="AR10" s="43">
        <v>1</v>
      </c>
      <c r="AS10" s="43">
        <v>2</v>
      </c>
      <c r="AT10" s="43">
        <v>3</v>
      </c>
      <c r="AU10" s="43">
        <v>4</v>
      </c>
      <c r="AV10" s="43">
        <v>5</v>
      </c>
      <c r="AW10" s="43">
        <v>6</v>
      </c>
      <c r="AX10" s="43">
        <v>7</v>
      </c>
      <c r="AY10" s="43">
        <v>8</v>
      </c>
      <c r="AZ10" s="43">
        <v>9</v>
      </c>
      <c r="BA10" s="43">
        <v>10</v>
      </c>
      <c r="BB10" s="43">
        <v>11</v>
      </c>
      <c r="BC10" s="43">
        <v>12</v>
      </c>
      <c r="BD10" s="43">
        <v>13</v>
      </c>
      <c r="BE10" s="43">
        <v>14</v>
      </c>
      <c r="BJ10" s="42" t="s">
        <v>10</v>
      </c>
      <c r="BK10" s="43">
        <v>1</v>
      </c>
      <c r="BL10" s="43">
        <v>2</v>
      </c>
      <c r="BM10" s="43">
        <v>3</v>
      </c>
      <c r="BN10" s="43">
        <v>4</v>
      </c>
      <c r="BO10" s="43">
        <v>5</v>
      </c>
      <c r="BP10" s="43">
        <v>6</v>
      </c>
      <c r="BQ10" s="43">
        <v>7</v>
      </c>
      <c r="BR10" s="43">
        <v>8</v>
      </c>
      <c r="BS10" s="43">
        <v>9</v>
      </c>
      <c r="BT10" s="43">
        <v>10</v>
      </c>
      <c r="BU10" s="43">
        <v>11</v>
      </c>
      <c r="BV10" s="43">
        <v>12</v>
      </c>
      <c r="BW10" s="43">
        <v>13</v>
      </c>
      <c r="BX10" s="43">
        <v>14</v>
      </c>
    </row>
    <row r="11" spans="3:76">
      <c r="E11" s="42" t="s">
        <v>0</v>
      </c>
      <c r="F11" s="13">
        <v>4</v>
      </c>
      <c r="G11" s="13">
        <v>5</v>
      </c>
      <c r="H11" s="13">
        <v>8</v>
      </c>
      <c r="I11" s="13">
        <v>5</v>
      </c>
      <c r="J11" s="13">
        <v>5</v>
      </c>
      <c r="K11" s="13">
        <v>2</v>
      </c>
      <c r="L11" s="13">
        <v>5</v>
      </c>
      <c r="M11" s="13">
        <v>3</v>
      </c>
      <c r="N11" s="13">
        <v>6</v>
      </c>
      <c r="O11" s="13">
        <v>7</v>
      </c>
      <c r="P11" s="13">
        <v>10</v>
      </c>
      <c r="Q11" s="13">
        <v>8</v>
      </c>
      <c r="R11" s="13">
        <v>10</v>
      </c>
      <c r="S11" s="13">
        <v>10</v>
      </c>
      <c r="X11" s="42" t="s">
        <v>0</v>
      </c>
      <c r="Y11" s="13">
        <v>4</v>
      </c>
      <c r="Z11" s="13">
        <v>5</v>
      </c>
      <c r="AA11" s="13">
        <v>8</v>
      </c>
      <c r="AB11" s="13">
        <v>5</v>
      </c>
      <c r="AC11" s="13">
        <v>5</v>
      </c>
      <c r="AD11" s="13">
        <v>2</v>
      </c>
      <c r="AE11" s="13">
        <v>5</v>
      </c>
      <c r="AF11" s="13">
        <v>3</v>
      </c>
      <c r="AG11" s="13">
        <v>6</v>
      </c>
      <c r="AH11" s="13">
        <v>7</v>
      </c>
      <c r="AI11" s="13">
        <v>10</v>
      </c>
      <c r="AJ11" s="13">
        <v>8</v>
      </c>
      <c r="AK11" s="13">
        <v>10</v>
      </c>
      <c r="AL11" s="13">
        <v>10</v>
      </c>
      <c r="AQ11" s="42" t="s">
        <v>0</v>
      </c>
      <c r="AR11" s="13">
        <v>4</v>
      </c>
      <c r="AS11" s="13">
        <v>5</v>
      </c>
      <c r="AT11" s="13">
        <v>8</v>
      </c>
      <c r="AU11" s="13">
        <v>5</v>
      </c>
      <c r="AV11" s="13">
        <v>5</v>
      </c>
      <c r="AW11" s="13">
        <v>2</v>
      </c>
      <c r="AX11" s="13">
        <v>5</v>
      </c>
      <c r="AY11" s="13">
        <v>3</v>
      </c>
      <c r="AZ11" s="13">
        <v>6</v>
      </c>
      <c r="BA11" s="13">
        <v>7</v>
      </c>
      <c r="BB11" s="13">
        <v>10</v>
      </c>
      <c r="BC11" s="13">
        <v>8</v>
      </c>
      <c r="BD11" s="13">
        <v>10</v>
      </c>
      <c r="BE11" s="13">
        <v>10</v>
      </c>
      <c r="BJ11" s="42" t="s">
        <v>0</v>
      </c>
      <c r="BK11" s="13">
        <v>4</v>
      </c>
      <c r="BL11" s="13">
        <v>5</v>
      </c>
      <c r="BM11" s="13">
        <v>8</v>
      </c>
      <c r="BN11" s="13">
        <v>5</v>
      </c>
      <c r="BO11" s="13">
        <v>5</v>
      </c>
      <c r="BP11" s="13">
        <v>2</v>
      </c>
      <c r="BQ11" s="13">
        <v>5</v>
      </c>
      <c r="BR11" s="13">
        <v>3</v>
      </c>
      <c r="BS11" s="13">
        <v>6</v>
      </c>
      <c r="BT11" s="13">
        <v>7</v>
      </c>
      <c r="BU11" s="13">
        <v>10</v>
      </c>
      <c r="BV11" s="13">
        <v>8</v>
      </c>
      <c r="BW11" s="13">
        <v>10</v>
      </c>
      <c r="BX11" s="13">
        <v>10</v>
      </c>
    </row>
    <row r="12" spans="3:76">
      <c r="C12" s="42" t="s">
        <v>10</v>
      </c>
      <c r="D12" s="42" t="s">
        <v>0</v>
      </c>
      <c r="E12" s="42" t="s">
        <v>1</v>
      </c>
      <c r="F12" s="13">
        <v>12</v>
      </c>
      <c r="G12" s="13">
        <v>10</v>
      </c>
      <c r="H12" s="13">
        <v>7</v>
      </c>
      <c r="I12" s="13">
        <v>3</v>
      </c>
      <c r="J12" s="13">
        <v>4</v>
      </c>
      <c r="K12" s="13">
        <v>11</v>
      </c>
      <c r="L12" s="13">
        <v>4</v>
      </c>
      <c r="M12" s="13">
        <v>8</v>
      </c>
      <c r="N12" s="13">
        <v>2</v>
      </c>
      <c r="O12" s="13">
        <v>4</v>
      </c>
      <c r="P12" s="13">
        <v>8</v>
      </c>
      <c r="Q12" s="13">
        <v>9</v>
      </c>
      <c r="R12" s="13">
        <v>9</v>
      </c>
      <c r="S12" s="13">
        <v>12</v>
      </c>
      <c r="V12" s="42" t="s">
        <v>10</v>
      </c>
      <c r="W12" s="42" t="s">
        <v>0</v>
      </c>
      <c r="X12" s="42" t="s">
        <v>1</v>
      </c>
      <c r="Y12" s="13">
        <v>12</v>
      </c>
      <c r="Z12" s="13">
        <v>10</v>
      </c>
      <c r="AA12" s="13">
        <v>7</v>
      </c>
      <c r="AB12" s="13">
        <v>3</v>
      </c>
      <c r="AC12" s="13">
        <v>4</v>
      </c>
      <c r="AD12" s="13">
        <v>11</v>
      </c>
      <c r="AE12" s="13">
        <v>4</v>
      </c>
      <c r="AF12" s="13">
        <v>8</v>
      </c>
      <c r="AG12" s="13">
        <v>2</v>
      </c>
      <c r="AH12" s="13">
        <v>4</v>
      </c>
      <c r="AI12" s="13">
        <v>8</v>
      </c>
      <c r="AJ12" s="13">
        <v>9</v>
      </c>
      <c r="AK12" s="13">
        <v>9</v>
      </c>
      <c r="AL12" s="13">
        <v>12</v>
      </c>
      <c r="AO12" s="42" t="s">
        <v>10</v>
      </c>
      <c r="AP12" s="42" t="s">
        <v>0</v>
      </c>
      <c r="AQ12" s="42" t="s">
        <v>1</v>
      </c>
      <c r="AR12" s="13">
        <v>12</v>
      </c>
      <c r="AS12" s="13">
        <v>10</v>
      </c>
      <c r="AT12" s="13">
        <v>7</v>
      </c>
      <c r="AU12" s="13">
        <v>3</v>
      </c>
      <c r="AV12" s="13">
        <v>4</v>
      </c>
      <c r="AW12" s="13">
        <v>11</v>
      </c>
      <c r="AX12" s="13">
        <v>4</v>
      </c>
      <c r="AY12" s="13">
        <v>8</v>
      </c>
      <c r="AZ12" s="13">
        <v>2</v>
      </c>
      <c r="BA12" s="13">
        <v>4</v>
      </c>
      <c r="BB12" s="13">
        <v>8</v>
      </c>
      <c r="BC12" s="13">
        <v>9</v>
      </c>
      <c r="BD12" s="13">
        <v>9</v>
      </c>
      <c r="BE12" s="13">
        <v>12</v>
      </c>
      <c r="BH12" s="42" t="s">
        <v>10</v>
      </c>
      <c r="BI12" s="42" t="s">
        <v>0</v>
      </c>
      <c r="BJ12" s="42" t="s">
        <v>1</v>
      </c>
      <c r="BK12" s="13">
        <v>12</v>
      </c>
      <c r="BL12" s="13">
        <v>10</v>
      </c>
      <c r="BM12" s="13">
        <v>7</v>
      </c>
      <c r="BN12" s="13">
        <v>3</v>
      </c>
      <c r="BO12" s="13">
        <v>4</v>
      </c>
      <c r="BP12" s="13">
        <v>11</v>
      </c>
      <c r="BQ12" s="13">
        <v>4</v>
      </c>
      <c r="BR12" s="13">
        <v>8</v>
      </c>
      <c r="BS12" s="13">
        <v>2</v>
      </c>
      <c r="BT12" s="13">
        <v>4</v>
      </c>
      <c r="BU12" s="13">
        <v>8</v>
      </c>
      <c r="BV12" s="13">
        <v>9</v>
      </c>
      <c r="BW12" s="13">
        <v>9</v>
      </c>
      <c r="BX12" s="13">
        <v>12</v>
      </c>
    </row>
    <row r="13" spans="3:76">
      <c r="C13" s="43">
        <v>1</v>
      </c>
      <c r="D13" s="13">
        <v>4</v>
      </c>
      <c r="E13" s="13">
        <v>12</v>
      </c>
      <c r="F13" s="6">
        <f>SQRT(($D13-F$11)^2+($E13-F$12)^2)</f>
        <v>0</v>
      </c>
      <c r="G13" s="6">
        <f t="shared" ref="G13:S26" si="0">SQRT(($D13-G$11)^2+($E13-G$12)^2)</f>
        <v>2.2360679774997898</v>
      </c>
      <c r="H13" s="6">
        <f t="shared" si="0"/>
        <v>6.4031242374328485</v>
      </c>
      <c r="I13" s="6">
        <f t="shared" si="0"/>
        <v>9.0553851381374173</v>
      </c>
      <c r="J13" s="6">
        <f t="shared" si="0"/>
        <v>8.0622577482985491</v>
      </c>
      <c r="K13" s="6">
        <f t="shared" si="0"/>
        <v>2.2360679774997898</v>
      </c>
      <c r="L13" s="6">
        <f t="shared" si="0"/>
        <v>8.0622577482985491</v>
      </c>
      <c r="M13" s="6">
        <f t="shared" si="0"/>
        <v>4.1231056256176606</v>
      </c>
      <c r="N13" s="6">
        <f t="shared" si="0"/>
        <v>10.198039027185569</v>
      </c>
      <c r="O13" s="6">
        <f t="shared" si="0"/>
        <v>8.5440037453175304</v>
      </c>
      <c r="P13" s="6">
        <f t="shared" si="0"/>
        <v>7.2111025509279782</v>
      </c>
      <c r="Q13" s="6">
        <f t="shared" si="0"/>
        <v>5</v>
      </c>
      <c r="R13" s="6">
        <f t="shared" si="0"/>
        <v>6.7082039324993694</v>
      </c>
      <c r="S13" s="6">
        <f t="shared" si="0"/>
        <v>6</v>
      </c>
      <c r="V13" s="43">
        <v>1</v>
      </c>
      <c r="W13" s="13">
        <v>4</v>
      </c>
      <c r="X13" s="13">
        <v>12</v>
      </c>
      <c r="Y13" s="6">
        <f>ABS($W13-Y$11)+ABS($X13-Y$12)</f>
        <v>0</v>
      </c>
      <c r="Z13" s="6">
        <f t="shared" ref="Z13:AL13" si="1">ABS($W13-Z$11)+ABS($X13-Z$12)</f>
        <v>3</v>
      </c>
      <c r="AA13" s="6">
        <f t="shared" si="1"/>
        <v>9</v>
      </c>
      <c r="AB13" s="6">
        <f t="shared" si="1"/>
        <v>10</v>
      </c>
      <c r="AC13" s="6">
        <f t="shared" si="1"/>
        <v>9</v>
      </c>
      <c r="AD13" s="6">
        <f t="shared" si="1"/>
        <v>3</v>
      </c>
      <c r="AE13" s="6">
        <f t="shared" si="1"/>
        <v>9</v>
      </c>
      <c r="AF13" s="6">
        <f t="shared" si="1"/>
        <v>5</v>
      </c>
      <c r="AG13" s="6">
        <f t="shared" si="1"/>
        <v>12</v>
      </c>
      <c r="AH13" s="6">
        <f t="shared" si="1"/>
        <v>11</v>
      </c>
      <c r="AI13" s="6">
        <f t="shared" si="1"/>
        <v>10</v>
      </c>
      <c r="AJ13" s="6">
        <f t="shared" si="1"/>
        <v>7</v>
      </c>
      <c r="AK13" s="6">
        <f t="shared" si="1"/>
        <v>9</v>
      </c>
      <c r="AL13" s="6">
        <f t="shared" si="1"/>
        <v>6</v>
      </c>
      <c r="AO13" s="43">
        <v>1</v>
      </c>
      <c r="AP13" s="13">
        <v>4</v>
      </c>
      <c r="AQ13" s="13">
        <v>12</v>
      </c>
      <c r="AR13" s="6">
        <f>(ABS($W13-AR$11)^$AV$7+ABS($X13-AR$12)^$AV$7)^(1/$AV$7)</f>
        <v>0</v>
      </c>
      <c r="AS13" s="6">
        <f t="shared" ref="AS13:BE26" si="2">(ABS($W13-AS$11)^$AV$7+ABS($X13-AS$12)^$AV$7)^(1/$AV$7)</f>
        <v>3</v>
      </c>
      <c r="AT13" s="6">
        <f t="shared" si="2"/>
        <v>9</v>
      </c>
      <c r="AU13" s="6">
        <f t="shared" si="2"/>
        <v>10</v>
      </c>
      <c r="AV13" s="6">
        <f t="shared" si="2"/>
        <v>9</v>
      </c>
      <c r="AW13" s="6">
        <f t="shared" si="2"/>
        <v>3</v>
      </c>
      <c r="AX13" s="6">
        <f t="shared" si="2"/>
        <v>9</v>
      </c>
      <c r="AY13" s="6">
        <f t="shared" si="2"/>
        <v>5</v>
      </c>
      <c r="AZ13" s="6">
        <f t="shared" si="2"/>
        <v>12</v>
      </c>
      <c r="BA13" s="6">
        <f t="shared" si="2"/>
        <v>11</v>
      </c>
      <c r="BB13" s="6">
        <f t="shared" si="2"/>
        <v>10</v>
      </c>
      <c r="BC13" s="6">
        <f t="shared" si="2"/>
        <v>7</v>
      </c>
      <c r="BD13" s="6">
        <f t="shared" si="2"/>
        <v>9</v>
      </c>
      <c r="BE13" s="6">
        <f t="shared" si="2"/>
        <v>6</v>
      </c>
      <c r="BH13" s="43">
        <v>1</v>
      </c>
      <c r="BI13" s="13">
        <v>4</v>
      </c>
      <c r="BJ13" s="13">
        <v>12</v>
      </c>
      <c r="BK13" s="6">
        <f>ABS($BI13-BK$11)/(ABS($BI13)+ABS(BK$11))+ABS($BJ13-BK$12)/(ABS($BJ13)+ABS(BK$12))</f>
        <v>0</v>
      </c>
      <c r="BL13" s="6">
        <f t="shared" ref="BL13:BX26" si="3">ABS($BI13-BL$11)/(ABS($BI13)+ABS(BL$11))+ABS($BJ13-BL$12)/(ABS($BJ13)+ABS(BL$12))</f>
        <v>0.20202020202020202</v>
      </c>
      <c r="BM13" s="6">
        <f t="shared" si="3"/>
        <v>0.59649122807017541</v>
      </c>
      <c r="BN13" s="6">
        <f t="shared" si="3"/>
        <v>0.71111111111111103</v>
      </c>
      <c r="BO13" s="6">
        <f t="shared" si="3"/>
        <v>0.61111111111111116</v>
      </c>
      <c r="BP13" s="6">
        <f t="shared" si="3"/>
        <v>0.37681159420289856</v>
      </c>
      <c r="BQ13" s="6">
        <f t="shared" si="3"/>
        <v>0.61111111111111116</v>
      </c>
      <c r="BR13" s="6">
        <f t="shared" si="3"/>
        <v>0.34285714285714286</v>
      </c>
      <c r="BS13" s="6">
        <f t="shared" si="3"/>
        <v>0.91428571428571437</v>
      </c>
      <c r="BT13" s="6">
        <f t="shared" si="3"/>
        <v>0.77272727272727271</v>
      </c>
      <c r="BU13" s="6">
        <f t="shared" si="3"/>
        <v>0.62857142857142856</v>
      </c>
      <c r="BV13" s="6">
        <f t="shared" si="3"/>
        <v>0.47619047619047616</v>
      </c>
      <c r="BW13" s="6">
        <f t="shared" si="3"/>
        <v>0.5714285714285714</v>
      </c>
      <c r="BX13" s="6">
        <f t="shared" si="3"/>
        <v>0.42857142857142855</v>
      </c>
    </row>
    <row r="14" spans="3:76">
      <c r="C14" s="43">
        <v>2</v>
      </c>
      <c r="D14" s="13">
        <v>5</v>
      </c>
      <c r="E14" s="13">
        <v>10</v>
      </c>
      <c r="F14" s="6">
        <f t="shared" ref="F14:F26" si="4">SQRT(($D14-F$11)^2+($E14-F$12)^2)</f>
        <v>2.2360679774997898</v>
      </c>
      <c r="G14" s="6">
        <f t="shared" si="0"/>
        <v>0</v>
      </c>
      <c r="H14" s="6">
        <f t="shared" si="0"/>
        <v>4.2426406871192848</v>
      </c>
      <c r="I14" s="6">
        <f t="shared" si="0"/>
        <v>7</v>
      </c>
      <c r="J14" s="6">
        <f t="shared" si="0"/>
        <v>6</v>
      </c>
      <c r="K14" s="6">
        <f t="shared" si="0"/>
        <v>3.1622776601683795</v>
      </c>
      <c r="L14" s="6">
        <f t="shared" si="0"/>
        <v>6</v>
      </c>
      <c r="M14" s="6">
        <f t="shared" si="0"/>
        <v>2.8284271247461903</v>
      </c>
      <c r="N14" s="6">
        <f t="shared" si="0"/>
        <v>8.0622577482985491</v>
      </c>
      <c r="O14" s="6">
        <f t="shared" si="0"/>
        <v>6.324555320336759</v>
      </c>
      <c r="P14" s="6">
        <f t="shared" si="0"/>
        <v>5.3851648071345037</v>
      </c>
      <c r="Q14" s="6">
        <f t="shared" si="0"/>
        <v>3.1622776601683795</v>
      </c>
      <c r="R14" s="6">
        <f t="shared" si="0"/>
        <v>5.0990195135927845</v>
      </c>
      <c r="S14" s="6">
        <f t="shared" si="0"/>
        <v>5.3851648071345037</v>
      </c>
      <c r="V14" s="43">
        <v>2</v>
      </c>
      <c r="W14" s="13">
        <v>5</v>
      </c>
      <c r="X14" s="13">
        <v>10</v>
      </c>
      <c r="Y14" s="6">
        <f t="shared" ref="Y14:AL26" si="5">ABS($W14-Y$11)+ABS($X14-Y$12)</f>
        <v>3</v>
      </c>
      <c r="Z14" s="6">
        <f t="shared" si="5"/>
        <v>0</v>
      </c>
      <c r="AA14" s="6">
        <f t="shared" si="5"/>
        <v>6</v>
      </c>
      <c r="AB14" s="6">
        <f t="shared" si="5"/>
        <v>7</v>
      </c>
      <c r="AC14" s="6">
        <f t="shared" si="5"/>
        <v>6</v>
      </c>
      <c r="AD14" s="6">
        <f t="shared" si="5"/>
        <v>4</v>
      </c>
      <c r="AE14" s="6">
        <f t="shared" si="5"/>
        <v>6</v>
      </c>
      <c r="AF14" s="6">
        <f t="shared" si="5"/>
        <v>4</v>
      </c>
      <c r="AG14" s="6">
        <f t="shared" si="5"/>
        <v>9</v>
      </c>
      <c r="AH14" s="6">
        <f t="shared" si="5"/>
        <v>8</v>
      </c>
      <c r="AI14" s="6">
        <f t="shared" si="5"/>
        <v>7</v>
      </c>
      <c r="AJ14" s="6">
        <f t="shared" si="5"/>
        <v>4</v>
      </c>
      <c r="AK14" s="6">
        <f t="shared" si="5"/>
        <v>6</v>
      </c>
      <c r="AL14" s="6">
        <f t="shared" si="5"/>
        <v>7</v>
      </c>
      <c r="AO14" s="43">
        <v>2</v>
      </c>
      <c r="AP14" s="13">
        <v>5</v>
      </c>
      <c r="AQ14" s="13">
        <v>10</v>
      </c>
      <c r="AR14" s="6">
        <f t="shared" ref="AR14:AR26" si="6">(ABS($W14-AR$11)^$AV$7+ABS($X14-AR$12)^$AV$7)^(1/$AV$7)</f>
        <v>3</v>
      </c>
      <c r="AS14" s="6">
        <f t="shared" si="2"/>
        <v>0</v>
      </c>
      <c r="AT14" s="6">
        <f t="shared" si="2"/>
        <v>6</v>
      </c>
      <c r="AU14" s="6">
        <f t="shared" si="2"/>
        <v>7</v>
      </c>
      <c r="AV14" s="6">
        <f t="shared" si="2"/>
        <v>6</v>
      </c>
      <c r="AW14" s="6">
        <f t="shared" si="2"/>
        <v>4</v>
      </c>
      <c r="AX14" s="6">
        <f t="shared" si="2"/>
        <v>6</v>
      </c>
      <c r="AY14" s="6">
        <f t="shared" si="2"/>
        <v>4</v>
      </c>
      <c r="AZ14" s="6">
        <f t="shared" si="2"/>
        <v>9</v>
      </c>
      <c r="BA14" s="6">
        <f t="shared" si="2"/>
        <v>8</v>
      </c>
      <c r="BB14" s="6">
        <f t="shared" si="2"/>
        <v>7</v>
      </c>
      <c r="BC14" s="6">
        <f t="shared" si="2"/>
        <v>4</v>
      </c>
      <c r="BD14" s="6">
        <f t="shared" si="2"/>
        <v>6</v>
      </c>
      <c r="BE14" s="6">
        <f t="shared" si="2"/>
        <v>7</v>
      </c>
      <c r="BH14" s="43">
        <v>2</v>
      </c>
      <c r="BI14" s="13">
        <v>5</v>
      </c>
      <c r="BJ14" s="13">
        <v>10</v>
      </c>
      <c r="BK14" s="6">
        <f t="shared" ref="BK14:BK26" si="7">ABS($BI14-BK$11)/(ABS($BI14)+ABS(BK$11))+ABS($BJ14-BK$12)/(ABS($BJ14)+ABS(BK$12))</f>
        <v>0.20202020202020202</v>
      </c>
      <c r="BL14" s="6">
        <f t="shared" si="3"/>
        <v>0</v>
      </c>
      <c r="BM14" s="6">
        <f t="shared" si="3"/>
        <v>0.40723981900452488</v>
      </c>
      <c r="BN14" s="6">
        <f t="shared" si="3"/>
        <v>0.53846153846153844</v>
      </c>
      <c r="BO14" s="6">
        <f t="shared" si="3"/>
        <v>0.42857142857142855</v>
      </c>
      <c r="BP14" s="6">
        <f t="shared" si="3"/>
        <v>0.47619047619047616</v>
      </c>
      <c r="BQ14" s="6">
        <f t="shared" si="3"/>
        <v>0.42857142857142855</v>
      </c>
      <c r="BR14" s="6">
        <f t="shared" si="3"/>
        <v>0.3611111111111111</v>
      </c>
      <c r="BS14" s="6">
        <f t="shared" si="3"/>
        <v>0.75757575757575757</v>
      </c>
      <c r="BT14" s="6">
        <f t="shared" si="3"/>
        <v>0.59523809523809523</v>
      </c>
      <c r="BU14" s="6">
        <f t="shared" si="3"/>
        <v>0.44444444444444442</v>
      </c>
      <c r="BV14" s="6">
        <f t="shared" si="3"/>
        <v>0.2834008097165992</v>
      </c>
      <c r="BW14" s="6">
        <f t="shared" si="3"/>
        <v>0.38596491228070173</v>
      </c>
      <c r="BX14" s="6">
        <f t="shared" si="3"/>
        <v>0.4242424242424242</v>
      </c>
    </row>
    <row r="15" spans="3:76">
      <c r="C15" s="43">
        <v>3</v>
      </c>
      <c r="D15" s="13">
        <v>8</v>
      </c>
      <c r="E15" s="13">
        <v>7</v>
      </c>
      <c r="F15" s="6">
        <f t="shared" si="4"/>
        <v>6.4031242374328485</v>
      </c>
      <c r="G15" s="6">
        <f t="shared" si="0"/>
        <v>4.2426406871192848</v>
      </c>
      <c r="H15" s="6">
        <f t="shared" si="0"/>
        <v>0</v>
      </c>
      <c r="I15" s="6">
        <f t="shared" si="0"/>
        <v>5</v>
      </c>
      <c r="J15" s="6">
        <f t="shared" si="0"/>
        <v>4.2426406871192848</v>
      </c>
      <c r="K15" s="6">
        <f t="shared" si="0"/>
        <v>7.2111025509279782</v>
      </c>
      <c r="L15" s="6">
        <f t="shared" si="0"/>
        <v>4.2426406871192848</v>
      </c>
      <c r="M15" s="6">
        <f t="shared" si="0"/>
        <v>5.0990195135927845</v>
      </c>
      <c r="N15" s="6">
        <f t="shared" si="0"/>
        <v>5.3851648071345037</v>
      </c>
      <c r="O15" s="6">
        <f t="shared" si="0"/>
        <v>3.1622776601683795</v>
      </c>
      <c r="P15" s="6">
        <f t="shared" si="0"/>
        <v>2.2360679774997898</v>
      </c>
      <c r="Q15" s="6">
        <f t="shared" si="0"/>
        <v>2</v>
      </c>
      <c r="R15" s="6">
        <f t="shared" si="0"/>
        <v>2.8284271247461903</v>
      </c>
      <c r="S15" s="6">
        <f t="shared" si="0"/>
        <v>5.3851648071345037</v>
      </c>
      <c r="V15" s="43">
        <v>3</v>
      </c>
      <c r="W15" s="13">
        <v>8</v>
      </c>
      <c r="X15" s="13">
        <v>7</v>
      </c>
      <c r="Y15" s="6">
        <f t="shared" si="5"/>
        <v>9</v>
      </c>
      <c r="Z15" s="6">
        <f t="shared" si="5"/>
        <v>6</v>
      </c>
      <c r="AA15" s="6">
        <f t="shared" si="5"/>
        <v>0</v>
      </c>
      <c r="AB15" s="6">
        <f t="shared" si="5"/>
        <v>7</v>
      </c>
      <c r="AC15" s="6">
        <f t="shared" si="5"/>
        <v>6</v>
      </c>
      <c r="AD15" s="6">
        <f t="shared" si="5"/>
        <v>10</v>
      </c>
      <c r="AE15" s="6">
        <f t="shared" si="5"/>
        <v>6</v>
      </c>
      <c r="AF15" s="6">
        <f t="shared" si="5"/>
        <v>6</v>
      </c>
      <c r="AG15" s="6">
        <f t="shared" si="5"/>
        <v>7</v>
      </c>
      <c r="AH15" s="6">
        <f t="shared" si="5"/>
        <v>4</v>
      </c>
      <c r="AI15" s="6">
        <f t="shared" si="5"/>
        <v>3</v>
      </c>
      <c r="AJ15" s="6">
        <f t="shared" si="5"/>
        <v>2</v>
      </c>
      <c r="AK15" s="6">
        <f t="shared" si="5"/>
        <v>4</v>
      </c>
      <c r="AL15" s="6">
        <f t="shared" si="5"/>
        <v>7</v>
      </c>
      <c r="AO15" s="43">
        <v>3</v>
      </c>
      <c r="AP15" s="13">
        <v>8</v>
      </c>
      <c r="AQ15" s="13">
        <v>7</v>
      </c>
      <c r="AR15" s="6">
        <f t="shared" si="6"/>
        <v>9</v>
      </c>
      <c r="AS15" s="6">
        <f t="shared" si="2"/>
        <v>6</v>
      </c>
      <c r="AT15" s="6">
        <f t="shared" si="2"/>
        <v>0</v>
      </c>
      <c r="AU15" s="6">
        <f t="shared" si="2"/>
        <v>7</v>
      </c>
      <c r="AV15" s="6">
        <f t="shared" si="2"/>
        <v>6</v>
      </c>
      <c r="AW15" s="6">
        <f t="shared" si="2"/>
        <v>10</v>
      </c>
      <c r="AX15" s="6">
        <f t="shared" si="2"/>
        <v>6</v>
      </c>
      <c r="AY15" s="6">
        <f t="shared" si="2"/>
        <v>6</v>
      </c>
      <c r="AZ15" s="6">
        <f t="shared" si="2"/>
        <v>7</v>
      </c>
      <c r="BA15" s="6">
        <f t="shared" si="2"/>
        <v>4</v>
      </c>
      <c r="BB15" s="6">
        <f t="shared" si="2"/>
        <v>3</v>
      </c>
      <c r="BC15" s="6">
        <f t="shared" si="2"/>
        <v>2</v>
      </c>
      <c r="BD15" s="6">
        <f t="shared" si="2"/>
        <v>4</v>
      </c>
      <c r="BE15" s="6">
        <f t="shared" si="2"/>
        <v>7</v>
      </c>
      <c r="BH15" s="43">
        <v>3</v>
      </c>
      <c r="BI15" s="13">
        <v>8</v>
      </c>
      <c r="BJ15" s="13">
        <v>7</v>
      </c>
      <c r="BK15" s="6">
        <f t="shared" si="7"/>
        <v>0.59649122807017541</v>
      </c>
      <c r="BL15" s="6">
        <f t="shared" si="3"/>
        <v>0.40723981900452488</v>
      </c>
      <c r="BM15" s="6">
        <f t="shared" si="3"/>
        <v>0</v>
      </c>
      <c r="BN15" s="6">
        <f t="shared" si="3"/>
        <v>0.63076923076923075</v>
      </c>
      <c r="BO15" s="6">
        <f t="shared" si="3"/>
        <v>0.50349650349650354</v>
      </c>
      <c r="BP15" s="6">
        <f t="shared" si="3"/>
        <v>0.82222222222222219</v>
      </c>
      <c r="BQ15" s="6">
        <f t="shared" si="3"/>
        <v>0.50349650349650354</v>
      </c>
      <c r="BR15" s="6">
        <f t="shared" si="3"/>
        <v>0.52121212121212124</v>
      </c>
      <c r="BS15" s="6">
        <f t="shared" si="3"/>
        <v>0.69841269841269837</v>
      </c>
      <c r="BT15" s="6">
        <f t="shared" si="3"/>
        <v>0.33939393939393936</v>
      </c>
      <c r="BU15" s="6">
        <f t="shared" si="3"/>
        <v>0.17777777777777776</v>
      </c>
      <c r="BV15" s="6">
        <f t="shared" si="3"/>
        <v>0.125</v>
      </c>
      <c r="BW15" s="6">
        <f t="shared" si="3"/>
        <v>0.2361111111111111</v>
      </c>
      <c r="BX15" s="6">
        <f t="shared" si="3"/>
        <v>0.3742690058479532</v>
      </c>
    </row>
    <row r="16" spans="3:76">
      <c r="C16" s="43">
        <v>4</v>
      </c>
      <c r="D16" s="13">
        <v>5</v>
      </c>
      <c r="E16" s="13">
        <v>3</v>
      </c>
      <c r="F16" s="6">
        <f>SQRT(($D16-F$11)^2+($E16-F$12)^2)</f>
        <v>9.0553851381374173</v>
      </c>
      <c r="G16" s="6">
        <f>SQRT(($D16-G$11)^2+($E16-G$12)^2)</f>
        <v>7</v>
      </c>
      <c r="H16" s="6">
        <f t="shared" si="0"/>
        <v>5</v>
      </c>
      <c r="I16" s="6">
        <f t="shared" si="0"/>
        <v>0</v>
      </c>
      <c r="J16" s="6">
        <f t="shared" si="0"/>
        <v>1</v>
      </c>
      <c r="K16" s="6">
        <f t="shared" si="0"/>
        <v>8.5440037453175304</v>
      </c>
      <c r="L16" s="6">
        <f t="shared" si="0"/>
        <v>1</v>
      </c>
      <c r="M16" s="6">
        <f t="shared" si="0"/>
        <v>5.3851648071345037</v>
      </c>
      <c r="N16" s="6">
        <f t="shared" si="0"/>
        <v>1.4142135623730951</v>
      </c>
      <c r="O16" s="6">
        <f t="shared" si="0"/>
        <v>2.2360679774997898</v>
      </c>
      <c r="P16" s="6">
        <f t="shared" si="0"/>
        <v>7.0710678118654755</v>
      </c>
      <c r="Q16" s="6">
        <f t="shared" si="0"/>
        <v>6.7082039324993694</v>
      </c>
      <c r="R16" s="6">
        <f t="shared" si="0"/>
        <v>7.810249675906654</v>
      </c>
      <c r="S16" s="6">
        <f t="shared" si="0"/>
        <v>10.295630140987001</v>
      </c>
      <c r="V16" s="43">
        <v>4</v>
      </c>
      <c r="W16" s="13">
        <v>5</v>
      </c>
      <c r="X16" s="13">
        <v>3</v>
      </c>
      <c r="Y16" s="6">
        <f t="shared" si="5"/>
        <v>10</v>
      </c>
      <c r="Z16" s="6">
        <f t="shared" si="5"/>
        <v>7</v>
      </c>
      <c r="AA16" s="6">
        <f t="shared" si="5"/>
        <v>7</v>
      </c>
      <c r="AB16" s="6">
        <f t="shared" si="5"/>
        <v>0</v>
      </c>
      <c r="AC16" s="6">
        <f t="shared" si="5"/>
        <v>1</v>
      </c>
      <c r="AD16" s="6">
        <f t="shared" si="5"/>
        <v>11</v>
      </c>
      <c r="AE16" s="6">
        <f t="shared" si="5"/>
        <v>1</v>
      </c>
      <c r="AF16" s="6">
        <f t="shared" si="5"/>
        <v>7</v>
      </c>
      <c r="AG16" s="6">
        <f t="shared" si="5"/>
        <v>2</v>
      </c>
      <c r="AH16" s="6">
        <f t="shared" si="5"/>
        <v>3</v>
      </c>
      <c r="AI16" s="6">
        <f t="shared" si="5"/>
        <v>10</v>
      </c>
      <c r="AJ16" s="6">
        <f t="shared" si="5"/>
        <v>9</v>
      </c>
      <c r="AK16" s="6">
        <f t="shared" si="5"/>
        <v>11</v>
      </c>
      <c r="AL16" s="6">
        <f t="shared" si="5"/>
        <v>14</v>
      </c>
      <c r="AO16" s="43">
        <v>4</v>
      </c>
      <c r="AP16" s="13">
        <v>5</v>
      </c>
      <c r="AQ16" s="13">
        <v>3</v>
      </c>
      <c r="AR16" s="6">
        <f t="shared" si="6"/>
        <v>10</v>
      </c>
      <c r="AS16" s="6">
        <f t="shared" si="2"/>
        <v>7</v>
      </c>
      <c r="AT16" s="6">
        <f t="shared" si="2"/>
        <v>7</v>
      </c>
      <c r="AU16" s="6">
        <f t="shared" si="2"/>
        <v>0</v>
      </c>
      <c r="AV16" s="6">
        <f t="shared" si="2"/>
        <v>1</v>
      </c>
      <c r="AW16" s="6">
        <f t="shared" si="2"/>
        <v>11</v>
      </c>
      <c r="AX16" s="6">
        <f t="shared" si="2"/>
        <v>1</v>
      </c>
      <c r="AY16" s="6">
        <f t="shared" si="2"/>
        <v>7</v>
      </c>
      <c r="AZ16" s="6">
        <f t="shared" si="2"/>
        <v>2</v>
      </c>
      <c r="BA16" s="6">
        <f t="shared" si="2"/>
        <v>3</v>
      </c>
      <c r="BB16" s="6">
        <f t="shared" si="2"/>
        <v>10</v>
      </c>
      <c r="BC16" s="6">
        <f t="shared" si="2"/>
        <v>9</v>
      </c>
      <c r="BD16" s="6">
        <f t="shared" si="2"/>
        <v>11</v>
      </c>
      <c r="BE16" s="6">
        <f t="shared" si="2"/>
        <v>14</v>
      </c>
      <c r="BH16" s="43">
        <v>4</v>
      </c>
      <c r="BI16" s="13">
        <v>5</v>
      </c>
      <c r="BJ16" s="13">
        <v>3</v>
      </c>
      <c r="BK16" s="6">
        <f>ABS($BI16-BK$11)/(ABS($BI16)+ABS(BK$11))+ABS($BJ16-BK$12)/(ABS($BJ16)+ABS(BK$12))</f>
        <v>0.71111111111111103</v>
      </c>
      <c r="BL16" s="6">
        <f t="shared" si="3"/>
        <v>0.53846153846153844</v>
      </c>
      <c r="BM16" s="6">
        <f t="shared" si="3"/>
        <v>0.63076923076923075</v>
      </c>
      <c r="BN16" s="6">
        <f t="shared" si="3"/>
        <v>0</v>
      </c>
      <c r="BO16" s="6">
        <f t="shared" si="3"/>
        <v>0.14285714285714285</v>
      </c>
      <c r="BP16" s="6">
        <f t="shared" si="3"/>
        <v>1</v>
      </c>
      <c r="BQ16" s="6">
        <f t="shared" si="3"/>
        <v>0.14285714285714285</v>
      </c>
      <c r="BR16" s="6">
        <f t="shared" si="3"/>
        <v>0.70454545454545459</v>
      </c>
      <c r="BS16" s="6">
        <f t="shared" si="3"/>
        <v>0.29090909090909089</v>
      </c>
      <c r="BT16" s="6">
        <f t="shared" si="3"/>
        <v>0.30952380952380953</v>
      </c>
      <c r="BU16" s="6">
        <f t="shared" si="3"/>
        <v>0.78787878787878785</v>
      </c>
      <c r="BV16" s="6">
        <f t="shared" si="3"/>
        <v>0.73076923076923084</v>
      </c>
      <c r="BW16" s="6">
        <f t="shared" si="3"/>
        <v>0.83333333333333326</v>
      </c>
      <c r="BX16" s="6">
        <f t="shared" si="3"/>
        <v>0.93333333333333335</v>
      </c>
    </row>
    <row r="17" spans="3:76">
      <c r="C17" s="43">
        <v>5</v>
      </c>
      <c r="D17" s="13">
        <v>5</v>
      </c>
      <c r="E17" s="13">
        <v>4</v>
      </c>
      <c r="F17" s="6">
        <f t="shared" si="4"/>
        <v>8.0622577482985491</v>
      </c>
      <c r="G17" s="6">
        <f t="shared" si="0"/>
        <v>6</v>
      </c>
      <c r="H17" s="6">
        <f t="shared" si="0"/>
        <v>4.2426406871192848</v>
      </c>
      <c r="I17" s="6">
        <f t="shared" si="0"/>
        <v>1</v>
      </c>
      <c r="J17" s="6">
        <f t="shared" si="0"/>
        <v>0</v>
      </c>
      <c r="K17" s="6">
        <f t="shared" si="0"/>
        <v>7.6157731058639087</v>
      </c>
      <c r="L17" s="6">
        <f t="shared" si="0"/>
        <v>0</v>
      </c>
      <c r="M17" s="6">
        <f t="shared" si="0"/>
        <v>4.4721359549995796</v>
      </c>
      <c r="N17" s="6">
        <f t="shared" si="0"/>
        <v>2.2360679774997898</v>
      </c>
      <c r="O17" s="6">
        <f t="shared" si="0"/>
        <v>2</v>
      </c>
      <c r="P17" s="6">
        <f t="shared" si="0"/>
        <v>6.4031242374328485</v>
      </c>
      <c r="Q17" s="6">
        <f t="shared" si="0"/>
        <v>5.8309518948453007</v>
      </c>
      <c r="R17" s="6">
        <f t="shared" si="0"/>
        <v>7.0710678118654755</v>
      </c>
      <c r="S17" s="6">
        <f t="shared" si="0"/>
        <v>9.4339811320566032</v>
      </c>
      <c r="V17" s="43">
        <v>5</v>
      </c>
      <c r="W17" s="13">
        <v>5</v>
      </c>
      <c r="X17" s="13">
        <v>4</v>
      </c>
      <c r="Y17" s="6">
        <f t="shared" si="5"/>
        <v>9</v>
      </c>
      <c r="Z17" s="6">
        <f t="shared" si="5"/>
        <v>6</v>
      </c>
      <c r="AA17" s="6">
        <f t="shared" si="5"/>
        <v>6</v>
      </c>
      <c r="AB17" s="6">
        <f t="shared" si="5"/>
        <v>1</v>
      </c>
      <c r="AC17" s="6">
        <f t="shared" si="5"/>
        <v>0</v>
      </c>
      <c r="AD17" s="6">
        <f t="shared" si="5"/>
        <v>10</v>
      </c>
      <c r="AE17" s="6">
        <f t="shared" si="5"/>
        <v>0</v>
      </c>
      <c r="AF17" s="6">
        <f t="shared" si="5"/>
        <v>6</v>
      </c>
      <c r="AG17" s="6">
        <f t="shared" si="5"/>
        <v>3</v>
      </c>
      <c r="AH17" s="6">
        <f t="shared" si="5"/>
        <v>2</v>
      </c>
      <c r="AI17" s="6">
        <f t="shared" si="5"/>
        <v>9</v>
      </c>
      <c r="AJ17" s="6">
        <f t="shared" si="5"/>
        <v>8</v>
      </c>
      <c r="AK17" s="6">
        <f t="shared" si="5"/>
        <v>10</v>
      </c>
      <c r="AL17" s="6">
        <f t="shared" si="5"/>
        <v>13</v>
      </c>
      <c r="AO17" s="43">
        <v>5</v>
      </c>
      <c r="AP17" s="13">
        <v>5</v>
      </c>
      <c r="AQ17" s="13">
        <v>4</v>
      </c>
      <c r="AR17" s="6">
        <f t="shared" si="6"/>
        <v>9</v>
      </c>
      <c r="AS17" s="6">
        <f t="shared" si="2"/>
        <v>6</v>
      </c>
      <c r="AT17" s="6">
        <f t="shared" si="2"/>
        <v>6</v>
      </c>
      <c r="AU17" s="6">
        <f t="shared" si="2"/>
        <v>1</v>
      </c>
      <c r="AV17" s="6">
        <f t="shared" si="2"/>
        <v>0</v>
      </c>
      <c r="AW17" s="6">
        <f t="shared" si="2"/>
        <v>10</v>
      </c>
      <c r="AX17" s="6">
        <f t="shared" si="2"/>
        <v>0</v>
      </c>
      <c r="AY17" s="6">
        <f t="shared" si="2"/>
        <v>6</v>
      </c>
      <c r="AZ17" s="6">
        <f t="shared" si="2"/>
        <v>3</v>
      </c>
      <c r="BA17" s="6">
        <f t="shared" si="2"/>
        <v>2</v>
      </c>
      <c r="BB17" s="6">
        <f t="shared" si="2"/>
        <v>9</v>
      </c>
      <c r="BC17" s="6">
        <f t="shared" si="2"/>
        <v>8</v>
      </c>
      <c r="BD17" s="6">
        <f t="shared" si="2"/>
        <v>10</v>
      </c>
      <c r="BE17" s="6">
        <f t="shared" si="2"/>
        <v>13</v>
      </c>
      <c r="BH17" s="43">
        <v>5</v>
      </c>
      <c r="BI17" s="13">
        <v>5</v>
      </c>
      <c r="BJ17" s="13">
        <v>4</v>
      </c>
      <c r="BK17" s="6">
        <f t="shared" si="7"/>
        <v>0.61111111111111116</v>
      </c>
      <c r="BL17" s="6">
        <f t="shared" si="3"/>
        <v>0.42857142857142855</v>
      </c>
      <c r="BM17" s="6">
        <f t="shared" si="3"/>
        <v>0.50349650349650354</v>
      </c>
      <c r="BN17" s="6">
        <f t="shared" si="3"/>
        <v>0.14285714285714285</v>
      </c>
      <c r="BO17" s="6">
        <f t="shared" si="3"/>
        <v>0</v>
      </c>
      <c r="BP17" s="6">
        <f t="shared" si="3"/>
        <v>0.89523809523809517</v>
      </c>
      <c r="BQ17" s="6">
        <f t="shared" si="3"/>
        <v>0</v>
      </c>
      <c r="BR17" s="6">
        <f t="shared" si="3"/>
        <v>0.58333333333333326</v>
      </c>
      <c r="BS17" s="6">
        <f t="shared" si="3"/>
        <v>0.4242424242424242</v>
      </c>
      <c r="BT17" s="6">
        <f t="shared" si="3"/>
        <v>0.16666666666666666</v>
      </c>
      <c r="BU17" s="6">
        <f t="shared" si="3"/>
        <v>0.66666666666666663</v>
      </c>
      <c r="BV17" s="6">
        <f t="shared" si="3"/>
        <v>0.61538461538461542</v>
      </c>
      <c r="BW17" s="6">
        <f t="shared" si="3"/>
        <v>0.71794871794871795</v>
      </c>
      <c r="BX17" s="6">
        <f t="shared" si="3"/>
        <v>0.83333333333333326</v>
      </c>
    </row>
    <row r="18" spans="3:76">
      <c r="C18" s="43">
        <v>6</v>
      </c>
      <c r="D18" s="13">
        <v>2</v>
      </c>
      <c r="E18" s="13">
        <v>11</v>
      </c>
      <c r="F18" s="6">
        <f t="shared" si="4"/>
        <v>2.2360679774997898</v>
      </c>
      <c r="G18" s="6">
        <f t="shared" si="0"/>
        <v>3.1622776601683795</v>
      </c>
      <c r="H18" s="6">
        <f t="shared" si="0"/>
        <v>7.2111025509279782</v>
      </c>
      <c r="I18" s="6">
        <f t="shared" si="0"/>
        <v>8.5440037453175304</v>
      </c>
      <c r="J18" s="6">
        <f t="shared" si="0"/>
        <v>7.6157731058639087</v>
      </c>
      <c r="K18" s="6">
        <f t="shared" si="0"/>
        <v>0</v>
      </c>
      <c r="L18" s="6">
        <f t="shared" si="0"/>
        <v>7.6157731058639087</v>
      </c>
      <c r="M18" s="6">
        <f t="shared" si="0"/>
        <v>3.1622776601683795</v>
      </c>
      <c r="N18" s="6">
        <f t="shared" si="0"/>
        <v>9.8488578017961039</v>
      </c>
      <c r="O18" s="6">
        <f t="shared" si="0"/>
        <v>8.6023252670426267</v>
      </c>
      <c r="P18" s="6">
        <f t="shared" si="0"/>
        <v>8.5440037453175304</v>
      </c>
      <c r="Q18" s="6">
        <f t="shared" si="0"/>
        <v>6.324555320336759</v>
      </c>
      <c r="R18" s="6">
        <f t="shared" si="0"/>
        <v>8.2462112512353212</v>
      </c>
      <c r="S18" s="6">
        <f t="shared" si="0"/>
        <v>8.0622577482985491</v>
      </c>
      <c r="V18" s="43">
        <v>6</v>
      </c>
      <c r="W18" s="13">
        <v>2</v>
      </c>
      <c r="X18" s="13">
        <v>11</v>
      </c>
      <c r="Y18" s="6">
        <f t="shared" si="5"/>
        <v>3</v>
      </c>
      <c r="Z18" s="6">
        <f t="shared" si="5"/>
        <v>4</v>
      </c>
      <c r="AA18" s="6">
        <f t="shared" si="5"/>
        <v>10</v>
      </c>
      <c r="AB18" s="6">
        <f t="shared" si="5"/>
        <v>11</v>
      </c>
      <c r="AC18" s="6">
        <f t="shared" si="5"/>
        <v>10</v>
      </c>
      <c r="AD18" s="6">
        <f t="shared" si="5"/>
        <v>0</v>
      </c>
      <c r="AE18" s="6">
        <f t="shared" si="5"/>
        <v>10</v>
      </c>
      <c r="AF18" s="6">
        <f t="shared" si="5"/>
        <v>4</v>
      </c>
      <c r="AG18" s="6">
        <f t="shared" si="5"/>
        <v>13</v>
      </c>
      <c r="AH18" s="6">
        <f t="shared" si="5"/>
        <v>12</v>
      </c>
      <c r="AI18" s="6">
        <f t="shared" si="5"/>
        <v>11</v>
      </c>
      <c r="AJ18" s="6">
        <f t="shared" si="5"/>
        <v>8</v>
      </c>
      <c r="AK18" s="6">
        <f t="shared" si="5"/>
        <v>10</v>
      </c>
      <c r="AL18" s="6">
        <f t="shared" si="5"/>
        <v>9</v>
      </c>
      <c r="AO18" s="43">
        <v>6</v>
      </c>
      <c r="AP18" s="13">
        <v>2</v>
      </c>
      <c r="AQ18" s="13">
        <v>11</v>
      </c>
      <c r="AR18" s="6">
        <f t="shared" si="6"/>
        <v>3</v>
      </c>
      <c r="AS18" s="6">
        <f t="shared" si="2"/>
        <v>4</v>
      </c>
      <c r="AT18" s="6">
        <f t="shared" si="2"/>
        <v>10</v>
      </c>
      <c r="AU18" s="6">
        <f t="shared" si="2"/>
        <v>11</v>
      </c>
      <c r="AV18" s="6">
        <f t="shared" si="2"/>
        <v>10</v>
      </c>
      <c r="AW18" s="6">
        <f t="shared" si="2"/>
        <v>0</v>
      </c>
      <c r="AX18" s="6">
        <f t="shared" si="2"/>
        <v>10</v>
      </c>
      <c r="AY18" s="6">
        <f t="shared" si="2"/>
        <v>4</v>
      </c>
      <c r="AZ18" s="6">
        <f t="shared" si="2"/>
        <v>13</v>
      </c>
      <c r="BA18" s="6">
        <f t="shared" si="2"/>
        <v>12</v>
      </c>
      <c r="BB18" s="6">
        <f t="shared" si="2"/>
        <v>11</v>
      </c>
      <c r="BC18" s="6">
        <f t="shared" si="2"/>
        <v>8</v>
      </c>
      <c r="BD18" s="6">
        <f t="shared" si="2"/>
        <v>10</v>
      </c>
      <c r="BE18" s="6">
        <f t="shared" si="2"/>
        <v>9</v>
      </c>
      <c r="BH18" s="43">
        <v>6</v>
      </c>
      <c r="BI18" s="13">
        <v>2</v>
      </c>
      <c r="BJ18" s="13">
        <v>11</v>
      </c>
      <c r="BK18" s="6">
        <f t="shared" si="7"/>
        <v>0.37681159420289856</v>
      </c>
      <c r="BL18" s="6">
        <f t="shared" si="3"/>
        <v>0.47619047619047616</v>
      </c>
      <c r="BM18" s="6">
        <f t="shared" si="3"/>
        <v>0.82222222222222219</v>
      </c>
      <c r="BN18" s="6">
        <f t="shared" si="3"/>
        <v>1</v>
      </c>
      <c r="BO18" s="6">
        <f t="shared" si="3"/>
        <v>0.89523809523809517</v>
      </c>
      <c r="BP18" s="6">
        <f t="shared" si="3"/>
        <v>0</v>
      </c>
      <c r="BQ18" s="6">
        <f t="shared" si="3"/>
        <v>0.89523809523809517</v>
      </c>
      <c r="BR18" s="6">
        <f t="shared" si="3"/>
        <v>0.35789473684210527</v>
      </c>
      <c r="BS18" s="6">
        <f t="shared" si="3"/>
        <v>1.1923076923076923</v>
      </c>
      <c r="BT18" s="6">
        <f t="shared" si="3"/>
        <v>1.0222222222222221</v>
      </c>
      <c r="BU18" s="6">
        <f t="shared" si="3"/>
        <v>0.82456140350877183</v>
      </c>
      <c r="BV18" s="6">
        <f t="shared" si="3"/>
        <v>0.7</v>
      </c>
      <c r="BW18" s="6">
        <f t="shared" si="3"/>
        <v>0.76666666666666661</v>
      </c>
      <c r="BX18" s="6">
        <f t="shared" si="3"/>
        <v>0.71014492753623182</v>
      </c>
    </row>
    <row r="19" spans="3:76">
      <c r="C19" s="43">
        <v>7</v>
      </c>
      <c r="D19" s="13">
        <v>5</v>
      </c>
      <c r="E19" s="13">
        <v>4</v>
      </c>
      <c r="F19" s="6">
        <f t="shared" si="4"/>
        <v>8.0622577482985491</v>
      </c>
      <c r="G19" s="6">
        <f t="shared" si="0"/>
        <v>6</v>
      </c>
      <c r="H19" s="6">
        <f t="shared" si="0"/>
        <v>4.2426406871192848</v>
      </c>
      <c r="I19" s="6">
        <f t="shared" si="0"/>
        <v>1</v>
      </c>
      <c r="J19" s="6">
        <f t="shared" si="0"/>
        <v>0</v>
      </c>
      <c r="K19" s="6">
        <f t="shared" si="0"/>
        <v>7.6157731058639087</v>
      </c>
      <c r="L19" s="6">
        <f t="shared" si="0"/>
        <v>0</v>
      </c>
      <c r="M19" s="6">
        <f t="shared" si="0"/>
        <v>4.4721359549995796</v>
      </c>
      <c r="N19" s="6">
        <f t="shared" si="0"/>
        <v>2.2360679774997898</v>
      </c>
      <c r="O19" s="6">
        <f t="shared" si="0"/>
        <v>2</v>
      </c>
      <c r="P19" s="6">
        <f t="shared" si="0"/>
        <v>6.4031242374328485</v>
      </c>
      <c r="Q19" s="6">
        <f t="shared" si="0"/>
        <v>5.8309518948453007</v>
      </c>
      <c r="R19" s="6">
        <f t="shared" si="0"/>
        <v>7.0710678118654755</v>
      </c>
      <c r="S19" s="6">
        <f t="shared" si="0"/>
        <v>9.4339811320566032</v>
      </c>
      <c r="V19" s="43">
        <v>7</v>
      </c>
      <c r="W19" s="13">
        <v>5</v>
      </c>
      <c r="X19" s="13">
        <v>4</v>
      </c>
      <c r="Y19" s="6">
        <f t="shared" si="5"/>
        <v>9</v>
      </c>
      <c r="Z19" s="6">
        <f t="shared" si="5"/>
        <v>6</v>
      </c>
      <c r="AA19" s="6">
        <f t="shared" si="5"/>
        <v>6</v>
      </c>
      <c r="AB19" s="6">
        <f t="shared" si="5"/>
        <v>1</v>
      </c>
      <c r="AC19" s="6">
        <f t="shared" si="5"/>
        <v>0</v>
      </c>
      <c r="AD19" s="6">
        <f t="shared" si="5"/>
        <v>10</v>
      </c>
      <c r="AE19" s="6">
        <f t="shared" si="5"/>
        <v>0</v>
      </c>
      <c r="AF19" s="6">
        <f t="shared" si="5"/>
        <v>6</v>
      </c>
      <c r="AG19" s="6">
        <f t="shared" si="5"/>
        <v>3</v>
      </c>
      <c r="AH19" s="6">
        <f t="shared" si="5"/>
        <v>2</v>
      </c>
      <c r="AI19" s="6">
        <f t="shared" si="5"/>
        <v>9</v>
      </c>
      <c r="AJ19" s="6">
        <f t="shared" si="5"/>
        <v>8</v>
      </c>
      <c r="AK19" s="6">
        <f t="shared" si="5"/>
        <v>10</v>
      </c>
      <c r="AL19" s="6">
        <f t="shared" si="5"/>
        <v>13</v>
      </c>
      <c r="AO19" s="43">
        <v>7</v>
      </c>
      <c r="AP19" s="13">
        <v>5</v>
      </c>
      <c r="AQ19" s="13">
        <v>4</v>
      </c>
      <c r="AR19" s="6">
        <f t="shared" si="6"/>
        <v>9</v>
      </c>
      <c r="AS19" s="6">
        <f t="shared" si="2"/>
        <v>6</v>
      </c>
      <c r="AT19" s="6">
        <f t="shared" si="2"/>
        <v>6</v>
      </c>
      <c r="AU19" s="6">
        <f t="shared" si="2"/>
        <v>1</v>
      </c>
      <c r="AV19" s="6">
        <f t="shared" si="2"/>
        <v>0</v>
      </c>
      <c r="AW19" s="6">
        <f t="shared" si="2"/>
        <v>10</v>
      </c>
      <c r="AX19" s="6">
        <f t="shared" si="2"/>
        <v>0</v>
      </c>
      <c r="AY19" s="6">
        <f t="shared" si="2"/>
        <v>6</v>
      </c>
      <c r="AZ19" s="6">
        <f t="shared" si="2"/>
        <v>3</v>
      </c>
      <c r="BA19" s="6">
        <f t="shared" si="2"/>
        <v>2</v>
      </c>
      <c r="BB19" s="6">
        <f t="shared" si="2"/>
        <v>9</v>
      </c>
      <c r="BC19" s="6">
        <f t="shared" si="2"/>
        <v>8</v>
      </c>
      <c r="BD19" s="6">
        <f t="shared" si="2"/>
        <v>10</v>
      </c>
      <c r="BE19" s="6">
        <f t="shared" si="2"/>
        <v>13</v>
      </c>
      <c r="BH19" s="43">
        <v>7</v>
      </c>
      <c r="BI19" s="13">
        <v>5</v>
      </c>
      <c r="BJ19" s="13">
        <v>4</v>
      </c>
      <c r="BK19" s="6">
        <f t="shared" si="7"/>
        <v>0.61111111111111116</v>
      </c>
      <c r="BL19" s="6">
        <f t="shared" si="3"/>
        <v>0.42857142857142855</v>
      </c>
      <c r="BM19" s="6">
        <f t="shared" si="3"/>
        <v>0.50349650349650354</v>
      </c>
      <c r="BN19" s="6">
        <f t="shared" si="3"/>
        <v>0.14285714285714285</v>
      </c>
      <c r="BO19" s="6">
        <f t="shared" si="3"/>
        <v>0</v>
      </c>
      <c r="BP19" s="6">
        <f t="shared" si="3"/>
        <v>0.89523809523809517</v>
      </c>
      <c r="BQ19" s="6">
        <f t="shared" si="3"/>
        <v>0</v>
      </c>
      <c r="BR19" s="6">
        <f t="shared" si="3"/>
        <v>0.58333333333333326</v>
      </c>
      <c r="BS19" s="6">
        <f t="shared" si="3"/>
        <v>0.4242424242424242</v>
      </c>
      <c r="BT19" s="6">
        <f t="shared" si="3"/>
        <v>0.16666666666666666</v>
      </c>
      <c r="BU19" s="6">
        <f t="shared" si="3"/>
        <v>0.66666666666666663</v>
      </c>
      <c r="BV19" s="6">
        <f t="shared" si="3"/>
        <v>0.61538461538461542</v>
      </c>
      <c r="BW19" s="6">
        <f t="shared" si="3"/>
        <v>0.71794871794871795</v>
      </c>
      <c r="BX19" s="6">
        <f t="shared" si="3"/>
        <v>0.83333333333333326</v>
      </c>
    </row>
    <row r="20" spans="3:76">
      <c r="C20" s="43">
        <v>8</v>
      </c>
      <c r="D20" s="13">
        <v>3</v>
      </c>
      <c r="E20" s="13">
        <v>8</v>
      </c>
      <c r="F20" s="6">
        <f t="shared" si="4"/>
        <v>4.1231056256176606</v>
      </c>
      <c r="G20" s="6">
        <f t="shared" si="0"/>
        <v>2.8284271247461903</v>
      </c>
      <c r="H20" s="6">
        <f t="shared" si="0"/>
        <v>5.0990195135927845</v>
      </c>
      <c r="I20" s="6">
        <f t="shared" si="0"/>
        <v>5.3851648071345037</v>
      </c>
      <c r="J20" s="6">
        <f t="shared" si="0"/>
        <v>4.4721359549995796</v>
      </c>
      <c r="K20" s="6">
        <f t="shared" si="0"/>
        <v>3.1622776601683795</v>
      </c>
      <c r="L20" s="6">
        <f t="shared" si="0"/>
        <v>4.4721359549995796</v>
      </c>
      <c r="M20" s="6">
        <f t="shared" si="0"/>
        <v>0</v>
      </c>
      <c r="N20" s="6">
        <f t="shared" si="0"/>
        <v>6.7082039324993694</v>
      </c>
      <c r="O20" s="6">
        <f t="shared" si="0"/>
        <v>5.6568542494923806</v>
      </c>
      <c r="P20" s="6">
        <f t="shared" si="0"/>
        <v>7</v>
      </c>
      <c r="Q20" s="6">
        <f t="shared" si="0"/>
        <v>5.0990195135927845</v>
      </c>
      <c r="R20" s="6">
        <f t="shared" si="0"/>
        <v>7.0710678118654755</v>
      </c>
      <c r="S20" s="6">
        <f t="shared" si="0"/>
        <v>8.0622577482985491</v>
      </c>
      <c r="V20" s="43">
        <v>8</v>
      </c>
      <c r="W20" s="13">
        <v>3</v>
      </c>
      <c r="X20" s="13">
        <v>8</v>
      </c>
      <c r="Y20" s="6">
        <f t="shared" si="5"/>
        <v>5</v>
      </c>
      <c r="Z20" s="6">
        <f t="shared" si="5"/>
        <v>4</v>
      </c>
      <c r="AA20" s="6">
        <f t="shared" si="5"/>
        <v>6</v>
      </c>
      <c r="AB20" s="6">
        <f t="shared" si="5"/>
        <v>7</v>
      </c>
      <c r="AC20" s="6">
        <f t="shared" si="5"/>
        <v>6</v>
      </c>
      <c r="AD20" s="6">
        <f t="shared" si="5"/>
        <v>4</v>
      </c>
      <c r="AE20" s="6">
        <f t="shared" si="5"/>
        <v>6</v>
      </c>
      <c r="AF20" s="6">
        <f t="shared" si="5"/>
        <v>0</v>
      </c>
      <c r="AG20" s="6">
        <f t="shared" si="5"/>
        <v>9</v>
      </c>
      <c r="AH20" s="6">
        <f t="shared" si="5"/>
        <v>8</v>
      </c>
      <c r="AI20" s="6">
        <f t="shared" si="5"/>
        <v>7</v>
      </c>
      <c r="AJ20" s="6">
        <f t="shared" si="5"/>
        <v>6</v>
      </c>
      <c r="AK20" s="6">
        <f t="shared" si="5"/>
        <v>8</v>
      </c>
      <c r="AL20" s="6">
        <f t="shared" si="5"/>
        <v>11</v>
      </c>
      <c r="AO20" s="43">
        <v>8</v>
      </c>
      <c r="AP20" s="13">
        <v>3</v>
      </c>
      <c r="AQ20" s="13">
        <v>8</v>
      </c>
      <c r="AR20" s="6">
        <f t="shared" si="6"/>
        <v>5</v>
      </c>
      <c r="AS20" s="6">
        <f t="shared" si="2"/>
        <v>4</v>
      </c>
      <c r="AT20" s="6">
        <f t="shared" si="2"/>
        <v>6</v>
      </c>
      <c r="AU20" s="6">
        <f t="shared" si="2"/>
        <v>7</v>
      </c>
      <c r="AV20" s="6">
        <f t="shared" si="2"/>
        <v>6</v>
      </c>
      <c r="AW20" s="6">
        <f t="shared" si="2"/>
        <v>4</v>
      </c>
      <c r="AX20" s="6">
        <f t="shared" si="2"/>
        <v>6</v>
      </c>
      <c r="AY20" s="6">
        <f t="shared" si="2"/>
        <v>0</v>
      </c>
      <c r="AZ20" s="6">
        <f t="shared" si="2"/>
        <v>9</v>
      </c>
      <c r="BA20" s="6">
        <f t="shared" si="2"/>
        <v>8</v>
      </c>
      <c r="BB20" s="6">
        <f t="shared" si="2"/>
        <v>7</v>
      </c>
      <c r="BC20" s="6">
        <f t="shared" si="2"/>
        <v>6</v>
      </c>
      <c r="BD20" s="6">
        <f t="shared" si="2"/>
        <v>8</v>
      </c>
      <c r="BE20" s="6">
        <f t="shared" si="2"/>
        <v>11</v>
      </c>
      <c r="BH20" s="43">
        <v>8</v>
      </c>
      <c r="BI20" s="13">
        <v>3</v>
      </c>
      <c r="BJ20" s="13">
        <v>8</v>
      </c>
      <c r="BK20" s="6">
        <f t="shared" si="7"/>
        <v>0.34285714285714286</v>
      </c>
      <c r="BL20" s="6">
        <f t="shared" si="3"/>
        <v>0.3611111111111111</v>
      </c>
      <c r="BM20" s="6">
        <f t="shared" si="3"/>
        <v>0.52121212121212124</v>
      </c>
      <c r="BN20" s="6">
        <f t="shared" si="3"/>
        <v>0.70454545454545459</v>
      </c>
      <c r="BO20" s="6">
        <f t="shared" si="3"/>
        <v>0.58333333333333326</v>
      </c>
      <c r="BP20" s="6">
        <f t="shared" si="3"/>
        <v>0.35789473684210527</v>
      </c>
      <c r="BQ20" s="6">
        <f t="shared" si="3"/>
        <v>0.58333333333333326</v>
      </c>
      <c r="BR20" s="6">
        <f t="shared" si="3"/>
        <v>0</v>
      </c>
      <c r="BS20" s="6">
        <f t="shared" si="3"/>
        <v>0.93333333333333335</v>
      </c>
      <c r="BT20" s="6">
        <f t="shared" si="3"/>
        <v>0.73333333333333339</v>
      </c>
      <c r="BU20" s="6">
        <f t="shared" si="3"/>
        <v>0.53846153846153844</v>
      </c>
      <c r="BV20" s="6">
        <f t="shared" si="3"/>
        <v>0.51336898395721919</v>
      </c>
      <c r="BW20" s="6">
        <f t="shared" si="3"/>
        <v>0.59728506787330315</v>
      </c>
      <c r="BX20" s="6">
        <f t="shared" si="3"/>
        <v>0.7384615384615385</v>
      </c>
    </row>
    <row r="21" spans="3:76">
      <c r="C21" s="43">
        <v>9</v>
      </c>
      <c r="D21" s="13">
        <v>6</v>
      </c>
      <c r="E21" s="13">
        <v>2</v>
      </c>
      <c r="F21" s="6">
        <f t="shared" si="4"/>
        <v>10.198039027185569</v>
      </c>
      <c r="G21" s="6">
        <f t="shared" si="0"/>
        <v>8.0622577482985491</v>
      </c>
      <c r="H21" s="6">
        <f t="shared" si="0"/>
        <v>5.3851648071345037</v>
      </c>
      <c r="I21" s="6">
        <f t="shared" si="0"/>
        <v>1.4142135623730951</v>
      </c>
      <c r="J21" s="6">
        <f t="shared" si="0"/>
        <v>2.2360679774997898</v>
      </c>
      <c r="K21" s="6">
        <f t="shared" si="0"/>
        <v>9.8488578017961039</v>
      </c>
      <c r="L21" s="6">
        <f t="shared" si="0"/>
        <v>2.2360679774997898</v>
      </c>
      <c r="M21" s="6">
        <f t="shared" si="0"/>
        <v>6.7082039324993694</v>
      </c>
      <c r="N21" s="6">
        <f t="shared" si="0"/>
        <v>0</v>
      </c>
      <c r="O21" s="6">
        <f t="shared" si="0"/>
        <v>2.2360679774997898</v>
      </c>
      <c r="P21" s="6">
        <f t="shared" si="0"/>
        <v>7.2111025509279782</v>
      </c>
      <c r="Q21" s="6">
        <f t="shared" si="0"/>
        <v>7.2801098892805181</v>
      </c>
      <c r="R21" s="6">
        <f t="shared" si="0"/>
        <v>8.0622577482985491</v>
      </c>
      <c r="S21" s="6">
        <f t="shared" si="0"/>
        <v>10.770329614269007</v>
      </c>
      <c r="V21" s="43">
        <v>9</v>
      </c>
      <c r="W21" s="13">
        <v>6</v>
      </c>
      <c r="X21" s="13">
        <v>2</v>
      </c>
      <c r="Y21" s="6">
        <f t="shared" si="5"/>
        <v>12</v>
      </c>
      <c r="Z21" s="6">
        <f t="shared" si="5"/>
        <v>9</v>
      </c>
      <c r="AA21" s="6">
        <f t="shared" si="5"/>
        <v>7</v>
      </c>
      <c r="AB21" s="6">
        <f t="shared" si="5"/>
        <v>2</v>
      </c>
      <c r="AC21" s="6">
        <f t="shared" si="5"/>
        <v>3</v>
      </c>
      <c r="AD21" s="6">
        <f t="shared" si="5"/>
        <v>13</v>
      </c>
      <c r="AE21" s="6">
        <f t="shared" si="5"/>
        <v>3</v>
      </c>
      <c r="AF21" s="6">
        <f t="shared" si="5"/>
        <v>9</v>
      </c>
      <c r="AG21" s="6">
        <f t="shared" si="5"/>
        <v>0</v>
      </c>
      <c r="AH21" s="6">
        <f t="shared" si="5"/>
        <v>3</v>
      </c>
      <c r="AI21" s="6">
        <f t="shared" si="5"/>
        <v>10</v>
      </c>
      <c r="AJ21" s="6">
        <f t="shared" si="5"/>
        <v>9</v>
      </c>
      <c r="AK21" s="6">
        <f t="shared" si="5"/>
        <v>11</v>
      </c>
      <c r="AL21" s="6">
        <f t="shared" si="5"/>
        <v>14</v>
      </c>
      <c r="AO21" s="43">
        <v>9</v>
      </c>
      <c r="AP21" s="13">
        <v>6</v>
      </c>
      <c r="AQ21" s="13">
        <v>2</v>
      </c>
      <c r="AR21" s="6">
        <f t="shared" si="6"/>
        <v>12</v>
      </c>
      <c r="AS21" s="6">
        <f t="shared" si="2"/>
        <v>9</v>
      </c>
      <c r="AT21" s="6">
        <f t="shared" si="2"/>
        <v>7</v>
      </c>
      <c r="AU21" s="6">
        <f t="shared" si="2"/>
        <v>2</v>
      </c>
      <c r="AV21" s="6">
        <f t="shared" si="2"/>
        <v>3</v>
      </c>
      <c r="AW21" s="6">
        <f t="shared" si="2"/>
        <v>13</v>
      </c>
      <c r="AX21" s="6">
        <f t="shared" si="2"/>
        <v>3</v>
      </c>
      <c r="AY21" s="6">
        <f t="shared" si="2"/>
        <v>9</v>
      </c>
      <c r="AZ21" s="6">
        <f t="shared" si="2"/>
        <v>0</v>
      </c>
      <c r="BA21" s="6">
        <f t="shared" si="2"/>
        <v>3</v>
      </c>
      <c r="BB21" s="6">
        <f t="shared" si="2"/>
        <v>10</v>
      </c>
      <c r="BC21" s="6">
        <f t="shared" si="2"/>
        <v>9</v>
      </c>
      <c r="BD21" s="6">
        <f t="shared" si="2"/>
        <v>11</v>
      </c>
      <c r="BE21" s="6">
        <f t="shared" si="2"/>
        <v>14</v>
      </c>
      <c r="BH21" s="43">
        <v>9</v>
      </c>
      <c r="BI21" s="13">
        <v>6</v>
      </c>
      <c r="BJ21" s="13">
        <v>2</v>
      </c>
      <c r="BK21" s="6">
        <f t="shared" si="7"/>
        <v>0.91428571428571437</v>
      </c>
      <c r="BL21" s="6">
        <f t="shared" si="3"/>
        <v>0.75757575757575757</v>
      </c>
      <c r="BM21" s="6">
        <f t="shared" si="3"/>
        <v>0.69841269841269837</v>
      </c>
      <c r="BN21" s="6">
        <f t="shared" si="3"/>
        <v>0.29090909090909089</v>
      </c>
      <c r="BO21" s="6">
        <f t="shared" si="3"/>
        <v>0.4242424242424242</v>
      </c>
      <c r="BP21" s="6">
        <f t="shared" si="3"/>
        <v>1.1923076923076923</v>
      </c>
      <c r="BQ21" s="6">
        <f t="shared" si="3"/>
        <v>0.4242424242424242</v>
      </c>
      <c r="BR21" s="6">
        <f t="shared" si="3"/>
        <v>0.93333333333333335</v>
      </c>
      <c r="BS21" s="6">
        <f t="shared" si="3"/>
        <v>0</v>
      </c>
      <c r="BT21" s="6">
        <f t="shared" si="3"/>
        <v>0.41025641025641024</v>
      </c>
      <c r="BU21" s="6">
        <f t="shared" si="3"/>
        <v>0.85</v>
      </c>
      <c r="BV21" s="6">
        <f t="shared" si="3"/>
        <v>0.77922077922077926</v>
      </c>
      <c r="BW21" s="6">
        <f t="shared" si="3"/>
        <v>0.88636363636363635</v>
      </c>
      <c r="BX21" s="6">
        <f t="shared" si="3"/>
        <v>0.9642857142857143</v>
      </c>
    </row>
    <row r="22" spans="3:76">
      <c r="C22" s="43">
        <v>10</v>
      </c>
      <c r="D22" s="13">
        <v>7</v>
      </c>
      <c r="E22" s="13">
        <v>4</v>
      </c>
      <c r="F22" s="6">
        <f t="shared" si="4"/>
        <v>8.5440037453175304</v>
      </c>
      <c r="G22" s="6">
        <f t="shared" si="0"/>
        <v>6.324555320336759</v>
      </c>
      <c r="H22" s="6">
        <f t="shared" si="0"/>
        <v>3.1622776601683795</v>
      </c>
      <c r="I22" s="6">
        <f t="shared" si="0"/>
        <v>2.2360679774997898</v>
      </c>
      <c r="J22" s="6">
        <f t="shared" si="0"/>
        <v>2</v>
      </c>
      <c r="K22" s="6">
        <f t="shared" si="0"/>
        <v>8.6023252670426267</v>
      </c>
      <c r="L22" s="6">
        <f t="shared" si="0"/>
        <v>2</v>
      </c>
      <c r="M22" s="6">
        <f t="shared" si="0"/>
        <v>5.6568542494923806</v>
      </c>
      <c r="N22" s="6">
        <f t="shared" si="0"/>
        <v>2.2360679774997898</v>
      </c>
      <c r="O22" s="6">
        <f t="shared" si="0"/>
        <v>0</v>
      </c>
      <c r="P22" s="6">
        <f t="shared" si="0"/>
        <v>5</v>
      </c>
      <c r="Q22" s="6">
        <f t="shared" si="0"/>
        <v>5.0990195135927845</v>
      </c>
      <c r="R22" s="6">
        <f t="shared" si="0"/>
        <v>5.8309518948453007</v>
      </c>
      <c r="S22" s="6">
        <f t="shared" si="0"/>
        <v>8.5440037453175304</v>
      </c>
      <c r="V22" s="43">
        <v>10</v>
      </c>
      <c r="W22" s="13">
        <v>7</v>
      </c>
      <c r="X22" s="13">
        <v>4</v>
      </c>
      <c r="Y22" s="6">
        <f t="shared" si="5"/>
        <v>11</v>
      </c>
      <c r="Z22" s="6">
        <f t="shared" si="5"/>
        <v>8</v>
      </c>
      <c r="AA22" s="6">
        <f t="shared" si="5"/>
        <v>4</v>
      </c>
      <c r="AB22" s="6">
        <f t="shared" si="5"/>
        <v>3</v>
      </c>
      <c r="AC22" s="6">
        <f t="shared" si="5"/>
        <v>2</v>
      </c>
      <c r="AD22" s="6">
        <f t="shared" si="5"/>
        <v>12</v>
      </c>
      <c r="AE22" s="6">
        <f t="shared" si="5"/>
        <v>2</v>
      </c>
      <c r="AF22" s="6">
        <f t="shared" si="5"/>
        <v>8</v>
      </c>
      <c r="AG22" s="6">
        <f t="shared" si="5"/>
        <v>3</v>
      </c>
      <c r="AH22" s="6">
        <f t="shared" si="5"/>
        <v>0</v>
      </c>
      <c r="AI22" s="6">
        <f t="shared" si="5"/>
        <v>7</v>
      </c>
      <c r="AJ22" s="6">
        <f t="shared" si="5"/>
        <v>6</v>
      </c>
      <c r="AK22" s="6">
        <f t="shared" si="5"/>
        <v>8</v>
      </c>
      <c r="AL22" s="6">
        <f t="shared" si="5"/>
        <v>11</v>
      </c>
      <c r="AO22" s="43">
        <v>10</v>
      </c>
      <c r="AP22" s="13">
        <v>7</v>
      </c>
      <c r="AQ22" s="13">
        <v>4</v>
      </c>
      <c r="AR22" s="6">
        <f t="shared" si="6"/>
        <v>11</v>
      </c>
      <c r="AS22" s="6">
        <f t="shared" si="2"/>
        <v>8</v>
      </c>
      <c r="AT22" s="6">
        <f t="shared" si="2"/>
        <v>4</v>
      </c>
      <c r="AU22" s="6">
        <f t="shared" si="2"/>
        <v>3</v>
      </c>
      <c r="AV22" s="6">
        <f t="shared" si="2"/>
        <v>2</v>
      </c>
      <c r="AW22" s="6">
        <f t="shared" si="2"/>
        <v>12</v>
      </c>
      <c r="AX22" s="6">
        <f t="shared" si="2"/>
        <v>2</v>
      </c>
      <c r="AY22" s="6">
        <f t="shared" si="2"/>
        <v>8</v>
      </c>
      <c r="AZ22" s="6">
        <f t="shared" si="2"/>
        <v>3</v>
      </c>
      <c r="BA22" s="6">
        <f t="shared" si="2"/>
        <v>0</v>
      </c>
      <c r="BB22" s="6">
        <f t="shared" si="2"/>
        <v>7</v>
      </c>
      <c r="BC22" s="6">
        <f t="shared" si="2"/>
        <v>6</v>
      </c>
      <c r="BD22" s="6">
        <f t="shared" si="2"/>
        <v>8</v>
      </c>
      <c r="BE22" s="6">
        <f t="shared" si="2"/>
        <v>11</v>
      </c>
      <c r="BH22" s="43">
        <v>10</v>
      </c>
      <c r="BI22" s="13">
        <v>7</v>
      </c>
      <c r="BJ22" s="13">
        <v>4</v>
      </c>
      <c r="BK22" s="6">
        <f t="shared" si="7"/>
        <v>0.77272727272727271</v>
      </c>
      <c r="BL22" s="6">
        <f t="shared" si="3"/>
        <v>0.59523809523809523</v>
      </c>
      <c r="BM22" s="6">
        <f t="shared" si="3"/>
        <v>0.33939393939393936</v>
      </c>
      <c r="BN22" s="6">
        <f t="shared" si="3"/>
        <v>0.30952380952380953</v>
      </c>
      <c r="BO22" s="6">
        <f t="shared" si="3"/>
        <v>0.16666666666666666</v>
      </c>
      <c r="BP22" s="6">
        <f t="shared" si="3"/>
        <v>1.0222222222222221</v>
      </c>
      <c r="BQ22" s="6">
        <f t="shared" si="3"/>
        <v>0.16666666666666666</v>
      </c>
      <c r="BR22" s="6">
        <f t="shared" si="3"/>
        <v>0.73333333333333339</v>
      </c>
      <c r="BS22" s="6">
        <f t="shared" si="3"/>
        <v>0.41025641025641024</v>
      </c>
      <c r="BT22" s="6">
        <f t="shared" si="3"/>
        <v>0</v>
      </c>
      <c r="BU22" s="6">
        <f t="shared" si="3"/>
        <v>0.50980392156862742</v>
      </c>
      <c r="BV22" s="6">
        <f t="shared" si="3"/>
        <v>0.45128205128205129</v>
      </c>
      <c r="BW22" s="6">
        <f t="shared" si="3"/>
        <v>0.56108597285067874</v>
      </c>
      <c r="BX22" s="6">
        <f t="shared" si="3"/>
        <v>0.67647058823529416</v>
      </c>
    </row>
    <row r="23" spans="3:76">
      <c r="C23" s="43">
        <v>11</v>
      </c>
      <c r="D23" s="13">
        <v>10</v>
      </c>
      <c r="E23" s="13">
        <v>8</v>
      </c>
      <c r="F23" s="6">
        <f t="shared" si="4"/>
        <v>7.2111025509279782</v>
      </c>
      <c r="G23" s="6">
        <f t="shared" si="0"/>
        <v>5.3851648071345037</v>
      </c>
      <c r="H23" s="6">
        <f t="shared" si="0"/>
        <v>2.2360679774997898</v>
      </c>
      <c r="I23" s="6">
        <f t="shared" si="0"/>
        <v>7.0710678118654755</v>
      </c>
      <c r="J23" s="6">
        <f t="shared" si="0"/>
        <v>6.4031242374328485</v>
      </c>
      <c r="K23" s="6">
        <f t="shared" si="0"/>
        <v>8.5440037453175304</v>
      </c>
      <c r="L23" s="6">
        <f t="shared" si="0"/>
        <v>6.4031242374328485</v>
      </c>
      <c r="M23" s="6">
        <f t="shared" si="0"/>
        <v>7</v>
      </c>
      <c r="N23" s="6">
        <f t="shared" si="0"/>
        <v>7.2111025509279782</v>
      </c>
      <c r="O23" s="6">
        <f t="shared" si="0"/>
        <v>5</v>
      </c>
      <c r="P23" s="6">
        <f t="shared" si="0"/>
        <v>0</v>
      </c>
      <c r="Q23" s="6">
        <f t="shared" si="0"/>
        <v>2.2360679774997898</v>
      </c>
      <c r="R23" s="6">
        <f t="shared" si="0"/>
        <v>1</v>
      </c>
      <c r="S23" s="6">
        <f t="shared" si="0"/>
        <v>4</v>
      </c>
      <c r="V23" s="43">
        <v>11</v>
      </c>
      <c r="W23" s="13">
        <v>10</v>
      </c>
      <c r="X23" s="13">
        <v>8</v>
      </c>
      <c r="Y23" s="6">
        <f t="shared" si="5"/>
        <v>10</v>
      </c>
      <c r="Z23" s="6">
        <f t="shared" si="5"/>
        <v>7</v>
      </c>
      <c r="AA23" s="6">
        <f t="shared" si="5"/>
        <v>3</v>
      </c>
      <c r="AB23" s="6">
        <f t="shared" si="5"/>
        <v>10</v>
      </c>
      <c r="AC23" s="6">
        <f t="shared" si="5"/>
        <v>9</v>
      </c>
      <c r="AD23" s="6">
        <f t="shared" si="5"/>
        <v>11</v>
      </c>
      <c r="AE23" s="6">
        <f t="shared" si="5"/>
        <v>9</v>
      </c>
      <c r="AF23" s="6">
        <f t="shared" si="5"/>
        <v>7</v>
      </c>
      <c r="AG23" s="6">
        <f t="shared" si="5"/>
        <v>10</v>
      </c>
      <c r="AH23" s="6">
        <f t="shared" si="5"/>
        <v>7</v>
      </c>
      <c r="AI23" s="6">
        <f t="shared" si="5"/>
        <v>0</v>
      </c>
      <c r="AJ23" s="6">
        <f t="shared" si="5"/>
        <v>3</v>
      </c>
      <c r="AK23" s="6">
        <f t="shared" si="5"/>
        <v>1</v>
      </c>
      <c r="AL23" s="6">
        <f t="shared" si="5"/>
        <v>4</v>
      </c>
      <c r="AO23" s="43">
        <v>11</v>
      </c>
      <c r="AP23" s="13">
        <v>10</v>
      </c>
      <c r="AQ23" s="13">
        <v>8</v>
      </c>
      <c r="AR23" s="6">
        <f t="shared" si="6"/>
        <v>10</v>
      </c>
      <c r="AS23" s="6">
        <f t="shared" si="2"/>
        <v>7</v>
      </c>
      <c r="AT23" s="6">
        <f t="shared" si="2"/>
        <v>3</v>
      </c>
      <c r="AU23" s="6">
        <f t="shared" si="2"/>
        <v>10</v>
      </c>
      <c r="AV23" s="6">
        <f t="shared" si="2"/>
        <v>9</v>
      </c>
      <c r="AW23" s="6">
        <f t="shared" si="2"/>
        <v>11</v>
      </c>
      <c r="AX23" s="6">
        <f t="shared" si="2"/>
        <v>9</v>
      </c>
      <c r="AY23" s="6">
        <f t="shared" si="2"/>
        <v>7</v>
      </c>
      <c r="AZ23" s="6">
        <f t="shared" si="2"/>
        <v>10</v>
      </c>
      <c r="BA23" s="6">
        <f t="shared" si="2"/>
        <v>7</v>
      </c>
      <c r="BB23" s="6">
        <f t="shared" si="2"/>
        <v>0</v>
      </c>
      <c r="BC23" s="6">
        <f t="shared" si="2"/>
        <v>3</v>
      </c>
      <c r="BD23" s="6">
        <f t="shared" si="2"/>
        <v>1</v>
      </c>
      <c r="BE23" s="6">
        <f t="shared" si="2"/>
        <v>4</v>
      </c>
      <c r="BH23" s="43">
        <v>11</v>
      </c>
      <c r="BI23" s="13">
        <v>10</v>
      </c>
      <c r="BJ23" s="13">
        <v>8</v>
      </c>
      <c r="BK23" s="6">
        <f t="shared" si="7"/>
        <v>0.62857142857142856</v>
      </c>
      <c r="BL23" s="6">
        <f t="shared" si="3"/>
        <v>0.44444444444444442</v>
      </c>
      <c r="BM23" s="6">
        <f t="shared" si="3"/>
        <v>0.17777777777777776</v>
      </c>
      <c r="BN23" s="6">
        <f t="shared" si="3"/>
        <v>0.78787878787878785</v>
      </c>
      <c r="BO23" s="6">
        <f t="shared" si="3"/>
        <v>0.66666666666666663</v>
      </c>
      <c r="BP23" s="6">
        <f t="shared" si="3"/>
        <v>0.82456140350877183</v>
      </c>
      <c r="BQ23" s="6">
        <f t="shared" si="3"/>
        <v>0.66666666666666663</v>
      </c>
      <c r="BR23" s="6">
        <f t="shared" si="3"/>
        <v>0.53846153846153844</v>
      </c>
      <c r="BS23" s="6">
        <f t="shared" si="3"/>
        <v>0.85</v>
      </c>
      <c r="BT23" s="6">
        <f t="shared" si="3"/>
        <v>0.50980392156862742</v>
      </c>
      <c r="BU23" s="6">
        <f t="shared" si="3"/>
        <v>0</v>
      </c>
      <c r="BV23" s="6">
        <f t="shared" si="3"/>
        <v>0.16993464052287582</v>
      </c>
      <c r="BW23" s="6">
        <f t="shared" si="3"/>
        <v>5.8823529411764705E-2</v>
      </c>
      <c r="BX23" s="6">
        <f t="shared" si="3"/>
        <v>0.2</v>
      </c>
    </row>
    <row r="24" spans="3:76">
      <c r="C24" s="43">
        <v>12</v>
      </c>
      <c r="D24" s="13">
        <v>8</v>
      </c>
      <c r="E24" s="13">
        <v>9</v>
      </c>
      <c r="F24" s="6">
        <f t="shared" si="4"/>
        <v>5</v>
      </c>
      <c r="G24" s="6">
        <f t="shared" si="0"/>
        <v>3.1622776601683795</v>
      </c>
      <c r="H24" s="6">
        <f t="shared" si="0"/>
        <v>2</v>
      </c>
      <c r="I24" s="6">
        <f t="shared" si="0"/>
        <v>6.7082039324993694</v>
      </c>
      <c r="J24" s="6">
        <f t="shared" si="0"/>
        <v>5.8309518948453007</v>
      </c>
      <c r="K24" s="6">
        <f t="shared" si="0"/>
        <v>6.324555320336759</v>
      </c>
      <c r="L24" s="6">
        <f t="shared" si="0"/>
        <v>5.8309518948453007</v>
      </c>
      <c r="M24" s="6">
        <f t="shared" si="0"/>
        <v>5.0990195135927845</v>
      </c>
      <c r="N24" s="6">
        <f t="shared" si="0"/>
        <v>7.2801098892805181</v>
      </c>
      <c r="O24" s="6">
        <f t="shared" si="0"/>
        <v>5.0990195135927845</v>
      </c>
      <c r="P24" s="6">
        <f t="shared" si="0"/>
        <v>2.2360679774997898</v>
      </c>
      <c r="Q24" s="6">
        <f t="shared" si="0"/>
        <v>0</v>
      </c>
      <c r="R24" s="6">
        <f t="shared" si="0"/>
        <v>2</v>
      </c>
      <c r="S24" s="6">
        <f t="shared" si="0"/>
        <v>3.6055512754639891</v>
      </c>
      <c r="V24" s="43">
        <v>12</v>
      </c>
      <c r="W24" s="13">
        <v>8</v>
      </c>
      <c r="X24" s="13">
        <v>9</v>
      </c>
      <c r="Y24" s="6">
        <f t="shared" si="5"/>
        <v>7</v>
      </c>
      <c r="Z24" s="6">
        <f t="shared" si="5"/>
        <v>4</v>
      </c>
      <c r="AA24" s="6">
        <f t="shared" si="5"/>
        <v>2</v>
      </c>
      <c r="AB24" s="6">
        <f t="shared" si="5"/>
        <v>9</v>
      </c>
      <c r="AC24" s="6">
        <f t="shared" si="5"/>
        <v>8</v>
      </c>
      <c r="AD24" s="6">
        <f t="shared" si="5"/>
        <v>8</v>
      </c>
      <c r="AE24" s="6">
        <f t="shared" si="5"/>
        <v>8</v>
      </c>
      <c r="AF24" s="6">
        <f t="shared" si="5"/>
        <v>6</v>
      </c>
      <c r="AG24" s="6">
        <f t="shared" si="5"/>
        <v>9</v>
      </c>
      <c r="AH24" s="6">
        <f t="shared" si="5"/>
        <v>6</v>
      </c>
      <c r="AI24" s="6">
        <f t="shared" si="5"/>
        <v>3</v>
      </c>
      <c r="AJ24" s="6">
        <f t="shared" si="5"/>
        <v>0</v>
      </c>
      <c r="AK24" s="6">
        <f t="shared" si="5"/>
        <v>2</v>
      </c>
      <c r="AL24" s="6">
        <f t="shared" si="5"/>
        <v>5</v>
      </c>
      <c r="AO24" s="43">
        <v>12</v>
      </c>
      <c r="AP24" s="13">
        <v>8</v>
      </c>
      <c r="AQ24" s="13">
        <v>9</v>
      </c>
      <c r="AR24" s="6">
        <f t="shared" si="6"/>
        <v>7</v>
      </c>
      <c r="AS24" s="6">
        <f t="shared" si="2"/>
        <v>4</v>
      </c>
      <c r="AT24" s="6">
        <f t="shared" si="2"/>
        <v>2</v>
      </c>
      <c r="AU24" s="6">
        <f t="shared" si="2"/>
        <v>9</v>
      </c>
      <c r="AV24" s="6">
        <f t="shared" si="2"/>
        <v>8</v>
      </c>
      <c r="AW24" s="6">
        <f t="shared" si="2"/>
        <v>8</v>
      </c>
      <c r="AX24" s="6">
        <f t="shared" si="2"/>
        <v>8</v>
      </c>
      <c r="AY24" s="6">
        <f t="shared" si="2"/>
        <v>6</v>
      </c>
      <c r="AZ24" s="6">
        <f t="shared" si="2"/>
        <v>9</v>
      </c>
      <c r="BA24" s="6">
        <f t="shared" si="2"/>
        <v>6</v>
      </c>
      <c r="BB24" s="6">
        <f t="shared" si="2"/>
        <v>3</v>
      </c>
      <c r="BC24" s="6">
        <f t="shared" si="2"/>
        <v>0</v>
      </c>
      <c r="BD24" s="6">
        <f t="shared" si="2"/>
        <v>2</v>
      </c>
      <c r="BE24" s="6">
        <f t="shared" si="2"/>
        <v>5</v>
      </c>
      <c r="BH24" s="43">
        <v>12</v>
      </c>
      <c r="BI24" s="13">
        <v>8</v>
      </c>
      <c r="BJ24" s="13">
        <v>9</v>
      </c>
      <c r="BK24" s="6">
        <f t="shared" si="7"/>
        <v>0.47619047619047616</v>
      </c>
      <c r="BL24" s="6">
        <f t="shared" si="3"/>
        <v>0.2834008097165992</v>
      </c>
      <c r="BM24" s="6">
        <f t="shared" si="3"/>
        <v>0.125</v>
      </c>
      <c r="BN24" s="6">
        <f t="shared" si="3"/>
        <v>0.73076923076923084</v>
      </c>
      <c r="BO24" s="6">
        <f t="shared" si="3"/>
        <v>0.61538461538461542</v>
      </c>
      <c r="BP24" s="6">
        <f t="shared" si="3"/>
        <v>0.7</v>
      </c>
      <c r="BQ24" s="6">
        <f t="shared" si="3"/>
        <v>0.61538461538461542</v>
      </c>
      <c r="BR24" s="6">
        <f t="shared" si="3"/>
        <v>0.51336898395721919</v>
      </c>
      <c r="BS24" s="6">
        <f t="shared" si="3"/>
        <v>0.77922077922077926</v>
      </c>
      <c r="BT24" s="6">
        <f t="shared" si="3"/>
        <v>0.45128205128205129</v>
      </c>
      <c r="BU24" s="6">
        <f t="shared" si="3"/>
        <v>0.16993464052287582</v>
      </c>
      <c r="BV24" s="6">
        <f t="shared" si="3"/>
        <v>0</v>
      </c>
      <c r="BW24" s="6">
        <f t="shared" si="3"/>
        <v>0.1111111111111111</v>
      </c>
      <c r="BX24" s="6">
        <f t="shared" si="3"/>
        <v>0.25396825396825395</v>
      </c>
    </row>
    <row r="25" spans="3:76">
      <c r="C25" s="43">
        <v>13</v>
      </c>
      <c r="D25" s="13">
        <v>10</v>
      </c>
      <c r="E25" s="13">
        <v>9</v>
      </c>
      <c r="F25" s="6">
        <f t="shared" si="4"/>
        <v>6.7082039324993694</v>
      </c>
      <c r="G25" s="6">
        <f t="shared" si="0"/>
        <v>5.0990195135927845</v>
      </c>
      <c r="H25" s="6">
        <f t="shared" si="0"/>
        <v>2.8284271247461903</v>
      </c>
      <c r="I25" s="6">
        <f t="shared" si="0"/>
        <v>7.810249675906654</v>
      </c>
      <c r="J25" s="6">
        <f t="shared" si="0"/>
        <v>7.0710678118654755</v>
      </c>
      <c r="K25" s="6">
        <f t="shared" si="0"/>
        <v>8.2462112512353212</v>
      </c>
      <c r="L25" s="6">
        <f t="shared" si="0"/>
        <v>7.0710678118654755</v>
      </c>
      <c r="M25" s="6">
        <f t="shared" si="0"/>
        <v>7.0710678118654755</v>
      </c>
      <c r="N25" s="6">
        <f t="shared" si="0"/>
        <v>8.0622577482985491</v>
      </c>
      <c r="O25" s="6">
        <f t="shared" si="0"/>
        <v>5.8309518948453007</v>
      </c>
      <c r="P25" s="6">
        <f t="shared" si="0"/>
        <v>1</v>
      </c>
      <c r="Q25" s="6">
        <f t="shared" si="0"/>
        <v>2</v>
      </c>
      <c r="R25" s="6">
        <f t="shared" si="0"/>
        <v>0</v>
      </c>
      <c r="S25" s="6">
        <f t="shared" si="0"/>
        <v>3</v>
      </c>
      <c r="V25" s="43">
        <v>13</v>
      </c>
      <c r="W25" s="13">
        <v>10</v>
      </c>
      <c r="X25" s="13">
        <v>9</v>
      </c>
      <c r="Y25" s="6">
        <f t="shared" si="5"/>
        <v>9</v>
      </c>
      <c r="Z25" s="6">
        <f t="shared" si="5"/>
        <v>6</v>
      </c>
      <c r="AA25" s="6">
        <f t="shared" si="5"/>
        <v>4</v>
      </c>
      <c r="AB25" s="6">
        <f t="shared" si="5"/>
        <v>11</v>
      </c>
      <c r="AC25" s="6">
        <f t="shared" si="5"/>
        <v>10</v>
      </c>
      <c r="AD25" s="6">
        <f t="shared" si="5"/>
        <v>10</v>
      </c>
      <c r="AE25" s="6">
        <f t="shared" si="5"/>
        <v>10</v>
      </c>
      <c r="AF25" s="6">
        <f t="shared" si="5"/>
        <v>8</v>
      </c>
      <c r="AG25" s="6">
        <f t="shared" si="5"/>
        <v>11</v>
      </c>
      <c r="AH25" s="6">
        <f t="shared" si="5"/>
        <v>8</v>
      </c>
      <c r="AI25" s="6">
        <f t="shared" si="5"/>
        <v>1</v>
      </c>
      <c r="AJ25" s="6">
        <f t="shared" si="5"/>
        <v>2</v>
      </c>
      <c r="AK25" s="6">
        <f t="shared" si="5"/>
        <v>0</v>
      </c>
      <c r="AL25" s="6">
        <f t="shared" si="5"/>
        <v>3</v>
      </c>
      <c r="AO25" s="43">
        <v>13</v>
      </c>
      <c r="AP25" s="13">
        <v>10</v>
      </c>
      <c r="AQ25" s="13">
        <v>9</v>
      </c>
      <c r="AR25" s="6">
        <f t="shared" si="6"/>
        <v>9</v>
      </c>
      <c r="AS25" s="6">
        <f t="shared" si="2"/>
        <v>6</v>
      </c>
      <c r="AT25" s="6">
        <f t="shared" si="2"/>
        <v>4</v>
      </c>
      <c r="AU25" s="6">
        <f t="shared" si="2"/>
        <v>11</v>
      </c>
      <c r="AV25" s="6">
        <f t="shared" si="2"/>
        <v>10</v>
      </c>
      <c r="AW25" s="6">
        <f t="shared" si="2"/>
        <v>10</v>
      </c>
      <c r="AX25" s="6">
        <f t="shared" si="2"/>
        <v>10</v>
      </c>
      <c r="AY25" s="6">
        <f t="shared" si="2"/>
        <v>8</v>
      </c>
      <c r="AZ25" s="6">
        <f t="shared" si="2"/>
        <v>11</v>
      </c>
      <c r="BA25" s="6">
        <f t="shared" si="2"/>
        <v>8</v>
      </c>
      <c r="BB25" s="6">
        <f t="shared" si="2"/>
        <v>1</v>
      </c>
      <c r="BC25" s="6">
        <f t="shared" si="2"/>
        <v>2</v>
      </c>
      <c r="BD25" s="6">
        <f t="shared" si="2"/>
        <v>0</v>
      </c>
      <c r="BE25" s="6">
        <f t="shared" si="2"/>
        <v>3</v>
      </c>
      <c r="BH25" s="43">
        <v>13</v>
      </c>
      <c r="BI25" s="13">
        <v>10</v>
      </c>
      <c r="BJ25" s="13">
        <v>9</v>
      </c>
      <c r="BK25" s="6">
        <f t="shared" si="7"/>
        <v>0.5714285714285714</v>
      </c>
      <c r="BL25" s="6">
        <f t="shared" si="3"/>
        <v>0.38596491228070173</v>
      </c>
      <c r="BM25" s="6">
        <f t="shared" si="3"/>
        <v>0.2361111111111111</v>
      </c>
      <c r="BN25" s="6">
        <f t="shared" si="3"/>
        <v>0.83333333333333326</v>
      </c>
      <c r="BO25" s="6">
        <f t="shared" si="3"/>
        <v>0.71794871794871795</v>
      </c>
      <c r="BP25" s="6">
        <f t="shared" si="3"/>
        <v>0.76666666666666661</v>
      </c>
      <c r="BQ25" s="6">
        <f t="shared" si="3"/>
        <v>0.71794871794871795</v>
      </c>
      <c r="BR25" s="6">
        <f t="shared" si="3"/>
        <v>0.59728506787330315</v>
      </c>
      <c r="BS25" s="6">
        <f t="shared" si="3"/>
        <v>0.88636363636363635</v>
      </c>
      <c r="BT25" s="6">
        <f t="shared" si="3"/>
        <v>0.56108597285067874</v>
      </c>
      <c r="BU25" s="6">
        <f t="shared" si="3"/>
        <v>5.8823529411764705E-2</v>
      </c>
      <c r="BV25" s="6">
        <f t="shared" si="3"/>
        <v>0.1111111111111111</v>
      </c>
      <c r="BW25" s="6">
        <f t="shared" si="3"/>
        <v>0</v>
      </c>
      <c r="BX25" s="6">
        <f t="shared" si="3"/>
        <v>0.14285714285714285</v>
      </c>
    </row>
    <row r="26" spans="3:76">
      <c r="C26" s="43">
        <v>14</v>
      </c>
      <c r="D26" s="13">
        <v>10</v>
      </c>
      <c r="E26" s="13">
        <v>12</v>
      </c>
      <c r="F26" s="6">
        <f t="shared" si="4"/>
        <v>6</v>
      </c>
      <c r="G26" s="6">
        <f t="shared" si="0"/>
        <v>5.3851648071345037</v>
      </c>
      <c r="H26" s="6">
        <f t="shared" si="0"/>
        <v>5.3851648071345037</v>
      </c>
      <c r="I26" s="6">
        <f t="shared" si="0"/>
        <v>10.295630140987001</v>
      </c>
      <c r="J26" s="6">
        <f t="shared" si="0"/>
        <v>9.4339811320566032</v>
      </c>
      <c r="K26" s="6">
        <f t="shared" si="0"/>
        <v>8.0622577482985491</v>
      </c>
      <c r="L26" s="6">
        <f t="shared" si="0"/>
        <v>9.4339811320566032</v>
      </c>
      <c r="M26" s="6">
        <f t="shared" si="0"/>
        <v>8.0622577482985491</v>
      </c>
      <c r="N26" s="6">
        <f t="shared" si="0"/>
        <v>10.770329614269007</v>
      </c>
      <c r="O26" s="6">
        <f t="shared" si="0"/>
        <v>8.5440037453175304</v>
      </c>
      <c r="P26" s="6">
        <f t="shared" si="0"/>
        <v>4</v>
      </c>
      <c r="Q26" s="6">
        <f t="shared" si="0"/>
        <v>3.6055512754639891</v>
      </c>
      <c r="R26" s="6">
        <f t="shared" si="0"/>
        <v>3</v>
      </c>
      <c r="S26" s="6">
        <f t="shared" si="0"/>
        <v>0</v>
      </c>
      <c r="V26" s="43">
        <v>14</v>
      </c>
      <c r="W26" s="13">
        <v>10</v>
      </c>
      <c r="X26" s="13">
        <v>12</v>
      </c>
      <c r="Y26" s="6">
        <f t="shared" si="5"/>
        <v>6</v>
      </c>
      <c r="Z26" s="6">
        <f t="shared" si="5"/>
        <v>7</v>
      </c>
      <c r="AA26" s="6">
        <f t="shared" si="5"/>
        <v>7</v>
      </c>
      <c r="AB26" s="6">
        <f t="shared" si="5"/>
        <v>14</v>
      </c>
      <c r="AC26" s="6">
        <f t="shared" si="5"/>
        <v>13</v>
      </c>
      <c r="AD26" s="6">
        <f t="shared" si="5"/>
        <v>9</v>
      </c>
      <c r="AE26" s="6">
        <f t="shared" si="5"/>
        <v>13</v>
      </c>
      <c r="AF26" s="6">
        <f t="shared" si="5"/>
        <v>11</v>
      </c>
      <c r="AG26" s="6">
        <f t="shared" si="5"/>
        <v>14</v>
      </c>
      <c r="AH26" s="6">
        <f t="shared" si="5"/>
        <v>11</v>
      </c>
      <c r="AI26" s="6">
        <f t="shared" si="5"/>
        <v>4</v>
      </c>
      <c r="AJ26" s="6">
        <f t="shared" si="5"/>
        <v>5</v>
      </c>
      <c r="AK26" s="6">
        <f t="shared" si="5"/>
        <v>3</v>
      </c>
      <c r="AL26" s="6">
        <f t="shared" si="5"/>
        <v>0</v>
      </c>
      <c r="AO26" s="43">
        <v>14</v>
      </c>
      <c r="AP26" s="13">
        <v>10</v>
      </c>
      <c r="AQ26" s="13">
        <v>12</v>
      </c>
      <c r="AR26" s="6">
        <f t="shared" si="6"/>
        <v>6</v>
      </c>
      <c r="AS26" s="6">
        <f t="shared" si="2"/>
        <v>7</v>
      </c>
      <c r="AT26" s="6">
        <f t="shared" si="2"/>
        <v>7</v>
      </c>
      <c r="AU26" s="6">
        <f t="shared" si="2"/>
        <v>14</v>
      </c>
      <c r="AV26" s="6">
        <f t="shared" si="2"/>
        <v>13</v>
      </c>
      <c r="AW26" s="6">
        <f t="shared" si="2"/>
        <v>9</v>
      </c>
      <c r="AX26" s="6">
        <f t="shared" si="2"/>
        <v>13</v>
      </c>
      <c r="AY26" s="6">
        <f t="shared" si="2"/>
        <v>11</v>
      </c>
      <c r="AZ26" s="6">
        <f t="shared" si="2"/>
        <v>14</v>
      </c>
      <c r="BA26" s="6">
        <f t="shared" si="2"/>
        <v>11</v>
      </c>
      <c r="BB26" s="6">
        <f t="shared" si="2"/>
        <v>4</v>
      </c>
      <c r="BC26" s="6">
        <f t="shared" si="2"/>
        <v>5</v>
      </c>
      <c r="BD26" s="6">
        <f t="shared" si="2"/>
        <v>3</v>
      </c>
      <c r="BE26" s="6">
        <f t="shared" si="2"/>
        <v>0</v>
      </c>
      <c r="BH26" s="43">
        <v>14</v>
      </c>
      <c r="BI26" s="13">
        <v>10</v>
      </c>
      <c r="BJ26" s="13">
        <v>12</v>
      </c>
      <c r="BK26" s="6">
        <f t="shared" si="7"/>
        <v>0.42857142857142855</v>
      </c>
      <c r="BL26" s="6">
        <f t="shared" si="3"/>
        <v>0.4242424242424242</v>
      </c>
      <c r="BM26" s="6">
        <f t="shared" si="3"/>
        <v>0.3742690058479532</v>
      </c>
      <c r="BN26" s="6">
        <f t="shared" si="3"/>
        <v>0.93333333333333335</v>
      </c>
      <c r="BO26" s="6">
        <f t="shared" si="3"/>
        <v>0.83333333333333326</v>
      </c>
      <c r="BP26" s="6">
        <f t="shared" si="3"/>
        <v>0.71014492753623182</v>
      </c>
      <c r="BQ26" s="6">
        <f t="shared" si="3"/>
        <v>0.83333333333333326</v>
      </c>
      <c r="BR26" s="6">
        <f t="shared" si="3"/>
        <v>0.7384615384615385</v>
      </c>
      <c r="BS26" s="6">
        <f t="shared" si="3"/>
        <v>0.9642857142857143</v>
      </c>
      <c r="BT26" s="6">
        <f t="shared" si="3"/>
        <v>0.67647058823529416</v>
      </c>
      <c r="BU26" s="6">
        <f t="shared" si="3"/>
        <v>0.2</v>
      </c>
      <c r="BV26" s="6">
        <f t="shared" si="3"/>
        <v>0.25396825396825395</v>
      </c>
      <c r="BW26" s="6">
        <f t="shared" si="3"/>
        <v>0.14285714285714285</v>
      </c>
      <c r="BX26" s="6">
        <f t="shared" si="3"/>
        <v>0</v>
      </c>
    </row>
    <row r="28" spans="3:76">
      <c r="I28" s="6" t="s">
        <v>777</v>
      </c>
      <c r="AB28" s="6" t="s">
        <v>777</v>
      </c>
      <c r="AU28" s="6" t="s">
        <v>777</v>
      </c>
      <c r="BN28" s="6" t="s">
        <v>777</v>
      </c>
    </row>
    <row r="29" spans="3:76">
      <c r="D29" s="6" t="s">
        <v>773</v>
      </c>
      <c r="E29" s="6">
        <f>MIN(F13:S26)</f>
        <v>0</v>
      </c>
      <c r="H29" s="6">
        <v>0</v>
      </c>
      <c r="I29" s="6">
        <f t="array" ref="I29:I40">FREQUENCY($F$13:$S$26,$H$29:$H$40)</f>
        <v>16</v>
      </c>
      <c r="W29" s="6" t="s">
        <v>773</v>
      </c>
      <c r="X29" s="6">
        <f>MIN(Y13:AL26)</f>
        <v>0</v>
      </c>
      <c r="AA29" s="6">
        <v>0</v>
      </c>
      <c r="AB29" s="6">
        <f t="array" ref="AB29:AB40">FREQUENCY($Y$13:$AL$26,$AA$29:$AA$40)</f>
        <v>16</v>
      </c>
      <c r="AP29" s="6" t="s">
        <v>773</v>
      </c>
      <c r="AQ29" s="6">
        <f>MIN(AR13:BE26)</f>
        <v>0</v>
      </c>
      <c r="AT29" s="6">
        <v>0</v>
      </c>
      <c r="AU29" s="6">
        <f t="array" ref="AU29:AU40">FREQUENCY($Y$13:$AL$26,$AA$29:$AA$40)</f>
        <v>16</v>
      </c>
      <c r="BI29" s="6" t="s">
        <v>773</v>
      </c>
      <c r="BJ29" s="6">
        <f>MIN(BK13:BX26)</f>
        <v>0</v>
      </c>
      <c r="BM29" s="6">
        <v>0</v>
      </c>
      <c r="BN29" s="6">
        <f t="array" ref="BN29:BN40">FREQUENCY($BK$13:$BX$26,$BM$29:$BM$40)</f>
        <v>16</v>
      </c>
    </row>
    <row r="30" spans="3:76">
      <c r="D30" s="6" t="s">
        <v>774</v>
      </c>
      <c r="E30" s="6">
        <f>MAX(F13:S26)</f>
        <v>10.770329614269007</v>
      </c>
      <c r="H30" s="6">
        <v>1</v>
      </c>
      <c r="I30" s="6">
        <v>6</v>
      </c>
      <c r="W30" s="6" t="s">
        <v>774</v>
      </c>
      <c r="X30" s="6">
        <f>MAX(Y13:AL26)</f>
        <v>14</v>
      </c>
      <c r="AA30" s="6">
        <v>1</v>
      </c>
      <c r="AB30" s="6">
        <v>6</v>
      </c>
      <c r="AP30" s="6" t="s">
        <v>774</v>
      </c>
      <c r="AQ30" s="6">
        <f>MAX(AR13:BE26)</f>
        <v>14</v>
      </c>
      <c r="AT30" s="6">
        <v>1</v>
      </c>
      <c r="AU30" s="6">
        <v>6</v>
      </c>
      <c r="BI30" s="6" t="s">
        <v>774</v>
      </c>
      <c r="BJ30" s="6">
        <f>MAX(BK13:BX26)</f>
        <v>1.1923076923076923</v>
      </c>
      <c r="BM30" s="6">
        <v>1</v>
      </c>
      <c r="BN30" s="6">
        <v>176</v>
      </c>
    </row>
    <row r="31" spans="3:76">
      <c r="D31" s="6" t="s">
        <v>775</v>
      </c>
      <c r="E31" s="6">
        <f>AVERAGE(F13:S26)</f>
        <v>5.1340619078827237</v>
      </c>
      <c r="H31" s="6">
        <v>2</v>
      </c>
      <c r="I31" s="6">
        <v>10</v>
      </c>
      <c r="W31" s="6" t="s">
        <v>775</v>
      </c>
      <c r="X31" s="6">
        <f>AVERAGE(Y13:AL26)</f>
        <v>6.5612244897959187</v>
      </c>
      <c r="AA31" s="6">
        <v>2</v>
      </c>
      <c r="AB31" s="6">
        <v>10</v>
      </c>
      <c r="AP31" s="6" t="s">
        <v>775</v>
      </c>
      <c r="AQ31" s="6">
        <f>AVERAGE(AR13:BE26)</f>
        <v>6.5612244897959187</v>
      </c>
      <c r="AT31" s="6">
        <v>2</v>
      </c>
      <c r="AU31" s="6">
        <v>10</v>
      </c>
      <c r="BI31" s="6" t="s">
        <v>775</v>
      </c>
      <c r="BJ31" s="6">
        <f>AVERAGE(BK13:BX26)</f>
        <v>0.51062859162735263</v>
      </c>
      <c r="BM31" s="6">
        <v>2</v>
      </c>
      <c r="BN31" s="6">
        <v>4</v>
      </c>
    </row>
    <row r="32" spans="3:76">
      <c r="D32" s="6" t="s">
        <v>776</v>
      </c>
      <c r="E32" s="6">
        <f>_xlfn.STDEV.S(F13:S26)</f>
        <v>2.8245408357514941</v>
      </c>
      <c r="H32" s="6">
        <v>3</v>
      </c>
      <c r="I32" s="6">
        <v>22</v>
      </c>
      <c r="W32" s="6" t="s">
        <v>776</v>
      </c>
      <c r="X32" s="6">
        <f>_xlfn.STDEV.S(Y13:AL26)</f>
        <v>3.710183702772714</v>
      </c>
      <c r="AA32" s="6">
        <v>3</v>
      </c>
      <c r="AB32" s="6">
        <v>18</v>
      </c>
      <c r="AP32" s="6" t="s">
        <v>776</v>
      </c>
      <c r="AQ32" s="6">
        <f>_xlfn.STDEV.S(AR13:BE26)</f>
        <v>3.710183702772714</v>
      </c>
      <c r="AT32" s="6">
        <v>3</v>
      </c>
      <c r="AU32" s="6">
        <v>18</v>
      </c>
      <c r="BI32" s="6" t="s">
        <v>776</v>
      </c>
      <c r="BJ32" s="6">
        <f>_xlfn.STDEV.S(BK13:BX26)</f>
        <v>0.28425775977417184</v>
      </c>
      <c r="BM32" s="6">
        <v>3</v>
      </c>
      <c r="BN32" s="6">
        <v>0</v>
      </c>
    </row>
    <row r="33" spans="8:66">
      <c r="H33" s="6">
        <v>4</v>
      </c>
      <c r="I33" s="6">
        <v>12</v>
      </c>
      <c r="AA33" s="6">
        <v>4</v>
      </c>
      <c r="AB33" s="6">
        <v>14</v>
      </c>
      <c r="AT33" s="6">
        <v>4</v>
      </c>
      <c r="AU33" s="6">
        <v>14</v>
      </c>
      <c r="BM33" s="6">
        <v>4</v>
      </c>
      <c r="BN33" s="6">
        <v>0</v>
      </c>
    </row>
    <row r="34" spans="8:66">
      <c r="H34" s="6">
        <v>5</v>
      </c>
      <c r="I34" s="6">
        <v>18</v>
      </c>
      <c r="AA34" s="6">
        <v>5</v>
      </c>
      <c r="AB34" s="6">
        <v>4</v>
      </c>
      <c r="AT34" s="6">
        <v>5</v>
      </c>
      <c r="AU34" s="6">
        <v>4</v>
      </c>
      <c r="BM34" s="6">
        <v>5</v>
      </c>
      <c r="BN34" s="6">
        <v>0</v>
      </c>
    </row>
    <row r="35" spans="8:66">
      <c r="H35" s="6">
        <v>6</v>
      </c>
      <c r="I35" s="6">
        <v>32</v>
      </c>
      <c r="AA35" s="6">
        <v>6</v>
      </c>
      <c r="AB35" s="6">
        <v>24</v>
      </c>
      <c r="AT35" s="6">
        <v>6</v>
      </c>
      <c r="AU35" s="6">
        <v>24</v>
      </c>
      <c r="BM35" s="6">
        <v>6</v>
      </c>
      <c r="BN35" s="6">
        <v>0</v>
      </c>
    </row>
    <row r="36" spans="8:66">
      <c r="H36" s="6">
        <v>7</v>
      </c>
      <c r="I36" s="6">
        <v>20</v>
      </c>
      <c r="AA36" s="6">
        <v>7</v>
      </c>
      <c r="AB36" s="6">
        <v>20</v>
      </c>
      <c r="AT36" s="6">
        <v>7</v>
      </c>
      <c r="AU36" s="6">
        <v>20</v>
      </c>
      <c r="BM36" s="6">
        <v>7</v>
      </c>
      <c r="BN36" s="6">
        <v>0</v>
      </c>
    </row>
    <row r="37" spans="8:66">
      <c r="H37" s="6">
        <v>8</v>
      </c>
      <c r="I37" s="6">
        <v>22</v>
      </c>
      <c r="AA37" s="6">
        <v>8</v>
      </c>
      <c r="AB37" s="6">
        <v>14</v>
      </c>
      <c r="AT37" s="6">
        <v>8</v>
      </c>
      <c r="AU37" s="6">
        <v>14</v>
      </c>
      <c r="BM37" s="6">
        <v>8</v>
      </c>
      <c r="BN37" s="6">
        <v>0</v>
      </c>
    </row>
    <row r="38" spans="8:66">
      <c r="H38" s="6">
        <v>9</v>
      </c>
      <c r="I38" s="6">
        <v>24</v>
      </c>
      <c r="AA38" s="6">
        <v>9</v>
      </c>
      <c r="AB38" s="6">
        <v>22</v>
      </c>
      <c r="AT38" s="6">
        <v>9</v>
      </c>
      <c r="AU38" s="6">
        <v>22</v>
      </c>
      <c r="BM38" s="6">
        <v>9</v>
      </c>
      <c r="BN38" s="6">
        <v>0</v>
      </c>
    </row>
    <row r="39" spans="8:66">
      <c r="H39" s="6">
        <v>10</v>
      </c>
      <c r="I39" s="6">
        <v>8</v>
      </c>
      <c r="AA39" s="6">
        <v>10</v>
      </c>
      <c r="AB39" s="6">
        <v>20</v>
      </c>
      <c r="AT39" s="6">
        <v>10</v>
      </c>
      <c r="AU39" s="6">
        <v>20</v>
      </c>
      <c r="BM39" s="6">
        <v>10</v>
      </c>
      <c r="BN39" s="6">
        <v>0</v>
      </c>
    </row>
    <row r="40" spans="8:66">
      <c r="H40" s="6">
        <v>11</v>
      </c>
      <c r="I40" s="6">
        <v>6</v>
      </c>
      <c r="AA40" s="6">
        <v>11</v>
      </c>
      <c r="AB40" s="6">
        <v>14</v>
      </c>
      <c r="AT40" s="6">
        <v>11</v>
      </c>
      <c r="AU40" s="6">
        <v>14</v>
      </c>
      <c r="BM40" s="6">
        <v>11</v>
      </c>
      <c r="BN40" s="6">
        <v>0</v>
      </c>
    </row>
    <row r="47" spans="8:66">
      <c r="BL47"/>
    </row>
  </sheetData>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DA41"/>
  <sheetViews>
    <sheetView topLeftCell="A20" workbookViewId="0">
      <selection activeCell="M55" sqref="M55"/>
    </sheetView>
  </sheetViews>
  <sheetFormatPr baseColWidth="10" defaultColWidth="8.83203125" defaultRowHeight="15"/>
  <cols>
    <col min="1" max="1" width="5.5" style="6" customWidth="1"/>
    <col min="2" max="4" width="8.83203125" style="6"/>
    <col min="5" max="7" width="4.83203125" style="6"/>
    <col min="8" max="8" width="11.33203125" style="8" customWidth="1"/>
    <col min="9" max="9" width="9.83203125" style="8" customWidth="1"/>
    <col min="10" max="10" width="10.33203125" style="8" customWidth="1"/>
    <col min="11" max="11" width="9.1640625" style="8" customWidth="1"/>
    <col min="12" max="12" width="10.83203125" style="8" customWidth="1"/>
    <col min="13" max="13" width="9.83203125" style="8" customWidth="1"/>
    <col min="14" max="21" width="6.83203125" style="8" customWidth="1"/>
    <col min="22" max="105" width="8.83203125" style="6"/>
  </cols>
  <sheetData>
    <row r="2" spans="4:21">
      <c r="G2" s="7"/>
    </row>
    <row r="4" spans="4:21" ht="32">
      <c r="H4" s="48" t="s">
        <v>7</v>
      </c>
      <c r="I4" s="48" t="s">
        <v>7</v>
      </c>
      <c r="J4" s="48" t="s">
        <v>8</v>
      </c>
      <c r="K4" s="48" t="s">
        <v>6</v>
      </c>
      <c r="L4" s="48" t="s">
        <v>6</v>
      </c>
      <c r="M4" s="48" t="s">
        <v>7</v>
      </c>
      <c r="N4" s="48" t="s">
        <v>6</v>
      </c>
      <c r="O4" s="48" t="s">
        <v>6</v>
      </c>
      <c r="P4" s="48" t="s">
        <v>6</v>
      </c>
      <c r="Q4" s="48" t="s">
        <v>6</v>
      </c>
      <c r="R4" s="48" t="s">
        <v>8</v>
      </c>
      <c r="S4" s="48" t="s">
        <v>8</v>
      </c>
      <c r="T4" s="48" t="s">
        <v>8</v>
      </c>
      <c r="U4" s="48" t="s">
        <v>7</v>
      </c>
    </row>
    <row r="5" spans="4:21">
      <c r="G5" s="42" t="s">
        <v>10</v>
      </c>
      <c r="H5" s="49">
        <v>1</v>
      </c>
      <c r="I5" s="49">
        <v>2</v>
      </c>
      <c r="J5" s="49">
        <v>3</v>
      </c>
      <c r="K5" s="49">
        <v>4</v>
      </c>
      <c r="L5" s="49">
        <v>5</v>
      </c>
      <c r="M5" s="49">
        <v>6</v>
      </c>
      <c r="N5" s="49">
        <v>7</v>
      </c>
      <c r="O5" s="49">
        <v>8</v>
      </c>
      <c r="P5" s="49">
        <v>9</v>
      </c>
      <c r="Q5" s="49">
        <v>10</v>
      </c>
      <c r="R5" s="49">
        <v>11</v>
      </c>
      <c r="S5" s="49">
        <v>12</v>
      </c>
      <c r="T5" s="49">
        <v>13</v>
      </c>
      <c r="U5" s="49">
        <v>14</v>
      </c>
    </row>
    <row r="6" spans="4:21">
      <c r="G6" s="42" t="s">
        <v>0</v>
      </c>
      <c r="H6" s="50">
        <v>4</v>
      </c>
      <c r="I6" s="50">
        <v>5</v>
      </c>
      <c r="J6" s="50">
        <v>8</v>
      </c>
      <c r="K6" s="50">
        <v>5</v>
      </c>
      <c r="L6" s="50">
        <v>5</v>
      </c>
      <c r="M6" s="50">
        <v>2</v>
      </c>
      <c r="N6" s="50">
        <v>5</v>
      </c>
      <c r="O6" s="50">
        <v>3</v>
      </c>
      <c r="P6" s="50">
        <v>6</v>
      </c>
      <c r="Q6" s="50">
        <v>7</v>
      </c>
      <c r="R6" s="50">
        <v>10</v>
      </c>
      <c r="S6" s="50">
        <v>8</v>
      </c>
      <c r="T6" s="50">
        <v>10</v>
      </c>
      <c r="U6" s="50">
        <v>10</v>
      </c>
    </row>
    <row r="7" spans="4:21">
      <c r="E7" s="42" t="s">
        <v>10</v>
      </c>
      <c r="F7" s="42" t="s">
        <v>0</v>
      </c>
      <c r="G7" s="42" t="s">
        <v>1</v>
      </c>
      <c r="H7" s="50">
        <v>12</v>
      </c>
      <c r="I7" s="50">
        <v>10</v>
      </c>
      <c r="J7" s="50">
        <v>7</v>
      </c>
      <c r="K7" s="50">
        <v>3</v>
      </c>
      <c r="L7" s="50">
        <v>4</v>
      </c>
      <c r="M7" s="50">
        <v>11</v>
      </c>
      <c r="N7" s="50">
        <v>4</v>
      </c>
      <c r="O7" s="50">
        <v>8</v>
      </c>
      <c r="P7" s="50">
        <v>2</v>
      </c>
      <c r="Q7" s="50">
        <v>4</v>
      </c>
      <c r="R7" s="50">
        <v>8</v>
      </c>
      <c r="S7" s="50">
        <v>9</v>
      </c>
      <c r="T7" s="50">
        <v>9</v>
      </c>
      <c r="U7" s="50">
        <v>12</v>
      </c>
    </row>
    <row r="8" spans="4:21">
      <c r="D8" s="47" t="s">
        <v>7</v>
      </c>
      <c r="E8" s="43">
        <v>1</v>
      </c>
      <c r="F8" s="13">
        <v>4</v>
      </c>
      <c r="G8" s="13">
        <v>12</v>
      </c>
      <c r="H8" s="8">
        <f>SQRT(($F8-H$6)^2+($G8-H$7)^2)</f>
        <v>0</v>
      </c>
      <c r="I8" s="8">
        <f t="shared" ref="I8:U21" si="0">SQRT(($F8-I$6)^2+($G8-I$7)^2)</f>
        <v>2.2360679774997898</v>
      </c>
      <c r="J8" s="8">
        <f t="shared" si="0"/>
        <v>6.4031242374328485</v>
      </c>
      <c r="K8" s="8">
        <f t="shared" si="0"/>
        <v>9.0553851381374173</v>
      </c>
      <c r="L8" s="8">
        <f t="shared" si="0"/>
        <v>8.0622577482985491</v>
      </c>
      <c r="M8" s="8">
        <f t="shared" si="0"/>
        <v>2.2360679774997898</v>
      </c>
      <c r="N8" s="8">
        <f t="shared" si="0"/>
        <v>8.0622577482985491</v>
      </c>
      <c r="O8" s="8">
        <f t="shared" si="0"/>
        <v>4.1231056256176606</v>
      </c>
      <c r="P8" s="8">
        <f t="shared" si="0"/>
        <v>10.198039027185569</v>
      </c>
      <c r="Q8" s="8">
        <f t="shared" si="0"/>
        <v>8.5440037453175304</v>
      </c>
      <c r="R8" s="8">
        <f t="shared" si="0"/>
        <v>7.2111025509279782</v>
      </c>
      <c r="S8" s="8">
        <f t="shared" si="0"/>
        <v>5</v>
      </c>
      <c r="T8" s="8">
        <f t="shared" si="0"/>
        <v>6.7082039324993694</v>
      </c>
      <c r="U8" s="8">
        <f t="shared" si="0"/>
        <v>6</v>
      </c>
    </row>
    <row r="9" spans="4:21">
      <c r="D9" s="47" t="s">
        <v>7</v>
      </c>
      <c r="E9" s="43">
        <v>2</v>
      </c>
      <c r="F9" s="13">
        <v>5</v>
      </c>
      <c r="G9" s="13">
        <v>10</v>
      </c>
      <c r="H9" s="8">
        <f t="shared" ref="H9:H21" si="1">SQRT(($F9-H$6)^2+($G9-H$7)^2)</f>
        <v>2.2360679774997898</v>
      </c>
      <c r="I9" s="8">
        <f t="shared" si="0"/>
        <v>0</v>
      </c>
      <c r="J9" s="8">
        <f t="shared" si="0"/>
        <v>4.2426406871192848</v>
      </c>
      <c r="K9" s="8">
        <f t="shared" si="0"/>
        <v>7</v>
      </c>
      <c r="L9" s="8">
        <f t="shared" si="0"/>
        <v>6</v>
      </c>
      <c r="M9" s="8">
        <f t="shared" si="0"/>
        <v>3.1622776601683795</v>
      </c>
      <c r="N9" s="8">
        <f t="shared" si="0"/>
        <v>6</v>
      </c>
      <c r="O9" s="8">
        <f t="shared" si="0"/>
        <v>2.8284271247461903</v>
      </c>
      <c r="P9" s="8">
        <f t="shared" si="0"/>
        <v>8.0622577482985491</v>
      </c>
      <c r="Q9" s="8">
        <f t="shared" si="0"/>
        <v>6.324555320336759</v>
      </c>
      <c r="R9" s="8">
        <f t="shared" si="0"/>
        <v>5.3851648071345037</v>
      </c>
      <c r="S9" s="8">
        <f t="shared" si="0"/>
        <v>3.1622776601683795</v>
      </c>
      <c r="T9" s="8">
        <f t="shared" si="0"/>
        <v>5.0990195135927845</v>
      </c>
      <c r="U9" s="8">
        <f t="shared" si="0"/>
        <v>5.3851648071345037</v>
      </c>
    </row>
    <row r="10" spans="4:21">
      <c r="D10" s="47" t="s">
        <v>8</v>
      </c>
      <c r="E10" s="43">
        <v>3</v>
      </c>
      <c r="F10" s="13">
        <v>8</v>
      </c>
      <c r="G10" s="13">
        <v>7</v>
      </c>
      <c r="H10" s="8">
        <f t="shared" si="1"/>
        <v>6.4031242374328485</v>
      </c>
      <c r="I10" s="8">
        <f t="shared" si="0"/>
        <v>4.2426406871192848</v>
      </c>
      <c r="J10" s="8">
        <f t="shared" si="0"/>
        <v>0</v>
      </c>
      <c r="K10" s="8">
        <f t="shared" si="0"/>
        <v>5</v>
      </c>
      <c r="L10" s="8">
        <f t="shared" si="0"/>
        <v>4.2426406871192848</v>
      </c>
      <c r="M10" s="8">
        <f t="shared" si="0"/>
        <v>7.2111025509279782</v>
      </c>
      <c r="N10" s="8">
        <f t="shared" si="0"/>
        <v>4.2426406871192848</v>
      </c>
      <c r="O10" s="8">
        <f t="shared" si="0"/>
        <v>5.0990195135927845</v>
      </c>
      <c r="P10" s="8">
        <f t="shared" si="0"/>
        <v>5.3851648071345037</v>
      </c>
      <c r="Q10" s="8">
        <f t="shared" si="0"/>
        <v>3.1622776601683795</v>
      </c>
      <c r="R10" s="8">
        <f t="shared" si="0"/>
        <v>2.2360679774997898</v>
      </c>
      <c r="S10" s="8">
        <f t="shared" si="0"/>
        <v>2</v>
      </c>
      <c r="T10" s="8">
        <f t="shared" si="0"/>
        <v>2.8284271247461903</v>
      </c>
      <c r="U10" s="8">
        <f t="shared" si="0"/>
        <v>5.3851648071345037</v>
      </c>
    </row>
    <row r="11" spans="4:21">
      <c r="D11" s="47" t="s">
        <v>6</v>
      </c>
      <c r="E11" s="43">
        <v>4</v>
      </c>
      <c r="F11" s="13">
        <v>5</v>
      </c>
      <c r="G11" s="13">
        <v>3</v>
      </c>
      <c r="H11" s="8">
        <f t="shared" si="1"/>
        <v>9.0553851381374173</v>
      </c>
      <c r="I11" s="8">
        <f t="shared" si="0"/>
        <v>7</v>
      </c>
      <c r="J11" s="8">
        <f t="shared" si="0"/>
        <v>5</v>
      </c>
      <c r="K11" s="8">
        <f t="shared" si="0"/>
        <v>0</v>
      </c>
      <c r="L11" s="8">
        <f t="shared" si="0"/>
        <v>1</v>
      </c>
      <c r="M11" s="8">
        <f t="shared" si="0"/>
        <v>8.5440037453175304</v>
      </c>
      <c r="N11" s="8">
        <f t="shared" si="0"/>
        <v>1</v>
      </c>
      <c r="O11" s="8">
        <f t="shared" si="0"/>
        <v>5.3851648071345037</v>
      </c>
      <c r="P11" s="8">
        <f t="shared" si="0"/>
        <v>1.4142135623730951</v>
      </c>
      <c r="Q11" s="8">
        <f t="shared" si="0"/>
        <v>2.2360679774997898</v>
      </c>
      <c r="R11" s="8">
        <f t="shared" si="0"/>
        <v>7.0710678118654755</v>
      </c>
      <c r="S11" s="8">
        <f t="shared" si="0"/>
        <v>6.7082039324993694</v>
      </c>
      <c r="T11" s="8">
        <f t="shared" si="0"/>
        <v>7.810249675906654</v>
      </c>
      <c r="U11" s="8">
        <f t="shared" si="0"/>
        <v>10.295630140987001</v>
      </c>
    </row>
    <row r="12" spans="4:21">
      <c r="D12" s="47" t="s">
        <v>6</v>
      </c>
      <c r="E12" s="43">
        <v>5</v>
      </c>
      <c r="F12" s="13">
        <v>5</v>
      </c>
      <c r="G12" s="13">
        <v>4</v>
      </c>
      <c r="H12" s="8">
        <f t="shared" si="1"/>
        <v>8.0622577482985491</v>
      </c>
      <c r="I12" s="8">
        <f t="shared" si="0"/>
        <v>6</v>
      </c>
      <c r="J12" s="8">
        <f t="shared" si="0"/>
        <v>4.2426406871192848</v>
      </c>
      <c r="K12" s="8">
        <f t="shared" si="0"/>
        <v>1</v>
      </c>
      <c r="L12" s="8">
        <f t="shared" si="0"/>
        <v>0</v>
      </c>
      <c r="M12" s="8">
        <f t="shared" si="0"/>
        <v>7.6157731058639087</v>
      </c>
      <c r="N12" s="8">
        <f t="shared" si="0"/>
        <v>0</v>
      </c>
      <c r="O12" s="8">
        <f t="shared" si="0"/>
        <v>4.4721359549995796</v>
      </c>
      <c r="P12" s="8">
        <f t="shared" si="0"/>
        <v>2.2360679774997898</v>
      </c>
      <c r="Q12" s="8">
        <f t="shared" si="0"/>
        <v>2</v>
      </c>
      <c r="R12" s="8">
        <f t="shared" si="0"/>
        <v>6.4031242374328485</v>
      </c>
      <c r="S12" s="8">
        <f t="shared" si="0"/>
        <v>5.8309518948453007</v>
      </c>
      <c r="T12" s="8">
        <f t="shared" si="0"/>
        <v>7.0710678118654755</v>
      </c>
      <c r="U12" s="8">
        <f t="shared" si="0"/>
        <v>9.4339811320566032</v>
      </c>
    </row>
    <row r="13" spans="4:21">
      <c r="D13" s="47" t="s">
        <v>7</v>
      </c>
      <c r="E13" s="43">
        <v>6</v>
      </c>
      <c r="F13" s="13">
        <v>2</v>
      </c>
      <c r="G13" s="13">
        <v>11</v>
      </c>
      <c r="H13" s="8">
        <f t="shared" si="1"/>
        <v>2.2360679774997898</v>
      </c>
      <c r="I13" s="8">
        <f t="shared" si="0"/>
        <v>3.1622776601683795</v>
      </c>
      <c r="J13" s="8">
        <f t="shared" si="0"/>
        <v>7.2111025509279782</v>
      </c>
      <c r="K13" s="8">
        <f t="shared" si="0"/>
        <v>8.5440037453175304</v>
      </c>
      <c r="L13" s="8">
        <f t="shared" si="0"/>
        <v>7.6157731058639087</v>
      </c>
      <c r="M13" s="8">
        <f t="shared" si="0"/>
        <v>0</v>
      </c>
      <c r="N13" s="8">
        <f t="shared" si="0"/>
        <v>7.6157731058639087</v>
      </c>
      <c r="O13" s="8">
        <f t="shared" si="0"/>
        <v>3.1622776601683795</v>
      </c>
      <c r="P13" s="8">
        <f t="shared" si="0"/>
        <v>9.8488578017961039</v>
      </c>
      <c r="Q13" s="8">
        <f t="shared" si="0"/>
        <v>8.6023252670426267</v>
      </c>
      <c r="R13" s="8">
        <f t="shared" si="0"/>
        <v>8.5440037453175304</v>
      </c>
      <c r="S13" s="8">
        <f t="shared" si="0"/>
        <v>6.324555320336759</v>
      </c>
      <c r="T13" s="8">
        <f t="shared" si="0"/>
        <v>8.2462112512353212</v>
      </c>
      <c r="U13" s="8">
        <f t="shared" si="0"/>
        <v>8.0622577482985491</v>
      </c>
    </row>
    <row r="14" spans="4:21">
      <c r="D14" s="47" t="s">
        <v>6</v>
      </c>
      <c r="E14" s="43">
        <v>7</v>
      </c>
      <c r="F14" s="13">
        <v>5</v>
      </c>
      <c r="G14" s="13">
        <v>4</v>
      </c>
      <c r="H14" s="8">
        <f t="shared" si="1"/>
        <v>8.0622577482985491</v>
      </c>
      <c r="I14" s="8">
        <f t="shared" si="0"/>
        <v>6</v>
      </c>
      <c r="J14" s="8">
        <f t="shared" si="0"/>
        <v>4.2426406871192848</v>
      </c>
      <c r="K14" s="8">
        <f t="shared" si="0"/>
        <v>1</v>
      </c>
      <c r="L14" s="8">
        <f t="shared" si="0"/>
        <v>0</v>
      </c>
      <c r="M14" s="8">
        <f t="shared" si="0"/>
        <v>7.6157731058639087</v>
      </c>
      <c r="N14" s="8">
        <f t="shared" si="0"/>
        <v>0</v>
      </c>
      <c r="O14" s="8">
        <f t="shared" si="0"/>
        <v>4.4721359549995796</v>
      </c>
      <c r="P14" s="8">
        <f t="shared" si="0"/>
        <v>2.2360679774997898</v>
      </c>
      <c r="Q14" s="8">
        <f t="shared" si="0"/>
        <v>2</v>
      </c>
      <c r="R14" s="8">
        <f t="shared" si="0"/>
        <v>6.4031242374328485</v>
      </c>
      <c r="S14" s="8">
        <f t="shared" si="0"/>
        <v>5.8309518948453007</v>
      </c>
      <c r="T14" s="8">
        <f t="shared" si="0"/>
        <v>7.0710678118654755</v>
      </c>
      <c r="U14" s="8">
        <f t="shared" si="0"/>
        <v>9.4339811320566032</v>
      </c>
    </row>
    <row r="15" spans="4:21">
      <c r="D15" s="47" t="s">
        <v>6</v>
      </c>
      <c r="E15" s="43">
        <v>8</v>
      </c>
      <c r="F15" s="13">
        <v>3</v>
      </c>
      <c r="G15" s="13">
        <v>8</v>
      </c>
      <c r="H15" s="8">
        <f t="shared" si="1"/>
        <v>4.1231056256176606</v>
      </c>
      <c r="I15" s="8">
        <f t="shared" si="0"/>
        <v>2.8284271247461903</v>
      </c>
      <c r="J15" s="8">
        <f t="shared" si="0"/>
        <v>5.0990195135927845</v>
      </c>
      <c r="K15" s="8">
        <f t="shared" si="0"/>
        <v>5.3851648071345037</v>
      </c>
      <c r="L15" s="8">
        <f t="shared" si="0"/>
        <v>4.4721359549995796</v>
      </c>
      <c r="M15" s="8">
        <f t="shared" si="0"/>
        <v>3.1622776601683795</v>
      </c>
      <c r="N15" s="8">
        <f t="shared" si="0"/>
        <v>4.4721359549995796</v>
      </c>
      <c r="O15" s="8">
        <f t="shared" si="0"/>
        <v>0</v>
      </c>
      <c r="P15" s="8">
        <f t="shared" si="0"/>
        <v>6.7082039324993694</v>
      </c>
      <c r="Q15" s="8">
        <f t="shared" si="0"/>
        <v>5.6568542494923806</v>
      </c>
      <c r="R15" s="8">
        <f t="shared" si="0"/>
        <v>7</v>
      </c>
      <c r="S15" s="8">
        <f t="shared" si="0"/>
        <v>5.0990195135927845</v>
      </c>
      <c r="T15" s="8">
        <f t="shared" si="0"/>
        <v>7.0710678118654755</v>
      </c>
      <c r="U15" s="8">
        <f t="shared" si="0"/>
        <v>8.0622577482985491</v>
      </c>
    </row>
    <row r="16" spans="4:21">
      <c r="D16" s="47" t="s">
        <v>6</v>
      </c>
      <c r="E16" s="43">
        <v>9</v>
      </c>
      <c r="F16" s="13">
        <v>6</v>
      </c>
      <c r="G16" s="13">
        <v>2</v>
      </c>
      <c r="H16" s="8">
        <f t="shared" si="1"/>
        <v>10.198039027185569</v>
      </c>
      <c r="I16" s="8">
        <f t="shared" si="0"/>
        <v>8.0622577482985491</v>
      </c>
      <c r="J16" s="8">
        <f t="shared" si="0"/>
        <v>5.3851648071345037</v>
      </c>
      <c r="K16" s="8">
        <f t="shared" si="0"/>
        <v>1.4142135623730951</v>
      </c>
      <c r="L16" s="8">
        <f t="shared" si="0"/>
        <v>2.2360679774997898</v>
      </c>
      <c r="M16" s="8">
        <f t="shared" si="0"/>
        <v>9.8488578017961039</v>
      </c>
      <c r="N16" s="8">
        <f t="shared" si="0"/>
        <v>2.2360679774997898</v>
      </c>
      <c r="O16" s="8">
        <f t="shared" si="0"/>
        <v>6.7082039324993694</v>
      </c>
      <c r="P16" s="8">
        <f t="shared" si="0"/>
        <v>0</v>
      </c>
      <c r="Q16" s="8">
        <f t="shared" si="0"/>
        <v>2.2360679774997898</v>
      </c>
      <c r="R16" s="8">
        <f t="shared" si="0"/>
        <v>7.2111025509279782</v>
      </c>
      <c r="S16" s="8">
        <f t="shared" si="0"/>
        <v>7.2801098892805181</v>
      </c>
      <c r="T16" s="8">
        <f t="shared" si="0"/>
        <v>8.0622577482985491</v>
      </c>
      <c r="U16" s="8">
        <f t="shared" si="0"/>
        <v>10.770329614269007</v>
      </c>
    </row>
    <row r="17" spans="4:21">
      <c r="D17" s="47" t="s">
        <v>6</v>
      </c>
      <c r="E17" s="43">
        <v>10</v>
      </c>
      <c r="F17" s="13">
        <v>7</v>
      </c>
      <c r="G17" s="13">
        <v>4</v>
      </c>
      <c r="H17" s="8">
        <f t="shared" si="1"/>
        <v>8.5440037453175304</v>
      </c>
      <c r="I17" s="8">
        <f t="shared" si="0"/>
        <v>6.324555320336759</v>
      </c>
      <c r="J17" s="8">
        <f t="shared" si="0"/>
        <v>3.1622776601683795</v>
      </c>
      <c r="K17" s="8">
        <f t="shared" si="0"/>
        <v>2.2360679774997898</v>
      </c>
      <c r="L17" s="8">
        <f t="shared" si="0"/>
        <v>2</v>
      </c>
      <c r="M17" s="8">
        <f t="shared" si="0"/>
        <v>8.6023252670426267</v>
      </c>
      <c r="N17" s="8">
        <f t="shared" si="0"/>
        <v>2</v>
      </c>
      <c r="O17" s="8">
        <f t="shared" si="0"/>
        <v>5.6568542494923806</v>
      </c>
      <c r="P17" s="8">
        <f t="shared" si="0"/>
        <v>2.2360679774997898</v>
      </c>
      <c r="Q17" s="8">
        <f t="shared" si="0"/>
        <v>0</v>
      </c>
      <c r="R17" s="8">
        <f t="shared" si="0"/>
        <v>5</v>
      </c>
      <c r="S17" s="8">
        <f t="shared" si="0"/>
        <v>5.0990195135927845</v>
      </c>
      <c r="T17" s="8">
        <f t="shared" si="0"/>
        <v>5.8309518948453007</v>
      </c>
      <c r="U17" s="8">
        <f t="shared" si="0"/>
        <v>8.5440037453175304</v>
      </c>
    </row>
    <row r="18" spans="4:21">
      <c r="D18" s="47" t="s">
        <v>8</v>
      </c>
      <c r="E18" s="43">
        <v>11</v>
      </c>
      <c r="F18" s="13">
        <v>10</v>
      </c>
      <c r="G18" s="13">
        <v>8</v>
      </c>
      <c r="H18" s="8">
        <f t="shared" si="1"/>
        <v>7.2111025509279782</v>
      </c>
      <c r="I18" s="8">
        <f t="shared" si="0"/>
        <v>5.3851648071345037</v>
      </c>
      <c r="J18" s="8">
        <f t="shared" si="0"/>
        <v>2.2360679774997898</v>
      </c>
      <c r="K18" s="8">
        <f t="shared" si="0"/>
        <v>7.0710678118654755</v>
      </c>
      <c r="L18" s="8">
        <f t="shared" si="0"/>
        <v>6.4031242374328485</v>
      </c>
      <c r="M18" s="8">
        <f t="shared" si="0"/>
        <v>8.5440037453175304</v>
      </c>
      <c r="N18" s="8">
        <f t="shared" si="0"/>
        <v>6.4031242374328485</v>
      </c>
      <c r="O18" s="8">
        <f t="shared" si="0"/>
        <v>7</v>
      </c>
      <c r="P18" s="8">
        <f t="shared" si="0"/>
        <v>7.2111025509279782</v>
      </c>
      <c r="Q18" s="8">
        <f t="shared" si="0"/>
        <v>5</v>
      </c>
      <c r="R18" s="8">
        <f t="shared" si="0"/>
        <v>0</v>
      </c>
      <c r="S18" s="8">
        <f t="shared" si="0"/>
        <v>2.2360679774997898</v>
      </c>
      <c r="T18" s="8">
        <f t="shared" si="0"/>
        <v>1</v>
      </c>
      <c r="U18" s="8">
        <f t="shared" si="0"/>
        <v>4</v>
      </c>
    </row>
    <row r="19" spans="4:21">
      <c r="D19" s="47" t="s">
        <v>8</v>
      </c>
      <c r="E19" s="43">
        <v>12</v>
      </c>
      <c r="F19" s="13">
        <v>8</v>
      </c>
      <c r="G19" s="13">
        <v>9</v>
      </c>
      <c r="H19" s="8">
        <f t="shared" si="1"/>
        <v>5</v>
      </c>
      <c r="I19" s="8">
        <f t="shared" si="0"/>
        <v>3.1622776601683795</v>
      </c>
      <c r="J19" s="8">
        <f t="shared" si="0"/>
        <v>2</v>
      </c>
      <c r="K19" s="8">
        <f t="shared" si="0"/>
        <v>6.7082039324993694</v>
      </c>
      <c r="L19" s="8">
        <f t="shared" si="0"/>
        <v>5.8309518948453007</v>
      </c>
      <c r="M19" s="8">
        <f t="shared" si="0"/>
        <v>6.324555320336759</v>
      </c>
      <c r="N19" s="8">
        <f t="shared" si="0"/>
        <v>5.8309518948453007</v>
      </c>
      <c r="O19" s="8">
        <f t="shared" si="0"/>
        <v>5.0990195135927845</v>
      </c>
      <c r="P19" s="8">
        <f t="shared" si="0"/>
        <v>7.2801098892805181</v>
      </c>
      <c r="Q19" s="8">
        <f t="shared" si="0"/>
        <v>5.0990195135927845</v>
      </c>
      <c r="R19" s="8">
        <f t="shared" si="0"/>
        <v>2.2360679774997898</v>
      </c>
      <c r="S19" s="8">
        <f t="shared" si="0"/>
        <v>0</v>
      </c>
      <c r="T19" s="8">
        <f t="shared" si="0"/>
        <v>2</v>
      </c>
      <c r="U19" s="8">
        <f t="shared" si="0"/>
        <v>3.6055512754639891</v>
      </c>
    </row>
    <row r="20" spans="4:21">
      <c r="D20" s="47" t="s">
        <v>8</v>
      </c>
      <c r="E20" s="43">
        <v>13</v>
      </c>
      <c r="F20" s="13">
        <v>10</v>
      </c>
      <c r="G20" s="13">
        <v>9</v>
      </c>
      <c r="H20" s="8">
        <f t="shared" si="1"/>
        <v>6.7082039324993694</v>
      </c>
      <c r="I20" s="8">
        <f t="shared" si="0"/>
        <v>5.0990195135927845</v>
      </c>
      <c r="J20" s="8">
        <f t="shared" si="0"/>
        <v>2.8284271247461903</v>
      </c>
      <c r="K20" s="8">
        <f t="shared" si="0"/>
        <v>7.810249675906654</v>
      </c>
      <c r="L20" s="8">
        <f t="shared" si="0"/>
        <v>7.0710678118654755</v>
      </c>
      <c r="M20" s="8">
        <f t="shared" si="0"/>
        <v>8.2462112512353212</v>
      </c>
      <c r="N20" s="8">
        <f t="shared" si="0"/>
        <v>7.0710678118654755</v>
      </c>
      <c r="O20" s="8">
        <f t="shared" si="0"/>
        <v>7.0710678118654755</v>
      </c>
      <c r="P20" s="8">
        <f t="shared" si="0"/>
        <v>8.0622577482985491</v>
      </c>
      <c r="Q20" s="8">
        <f t="shared" si="0"/>
        <v>5.8309518948453007</v>
      </c>
      <c r="R20" s="8">
        <f t="shared" si="0"/>
        <v>1</v>
      </c>
      <c r="S20" s="8">
        <f t="shared" si="0"/>
        <v>2</v>
      </c>
      <c r="T20" s="8">
        <f t="shared" si="0"/>
        <v>0</v>
      </c>
      <c r="U20" s="8">
        <f t="shared" si="0"/>
        <v>3</v>
      </c>
    </row>
    <row r="21" spans="4:21">
      <c r="D21" s="47" t="s">
        <v>7</v>
      </c>
      <c r="E21" s="43">
        <v>14</v>
      </c>
      <c r="F21" s="13">
        <v>10</v>
      </c>
      <c r="G21" s="13">
        <v>12</v>
      </c>
      <c r="H21" s="8">
        <f t="shared" si="1"/>
        <v>6</v>
      </c>
      <c r="I21" s="8">
        <f t="shared" si="0"/>
        <v>5.3851648071345037</v>
      </c>
      <c r="J21" s="8">
        <f t="shared" si="0"/>
        <v>5.3851648071345037</v>
      </c>
      <c r="K21" s="8">
        <f t="shared" si="0"/>
        <v>10.295630140987001</v>
      </c>
      <c r="L21" s="8">
        <f t="shared" si="0"/>
        <v>9.4339811320566032</v>
      </c>
      <c r="M21" s="8">
        <f t="shared" si="0"/>
        <v>8.0622577482985491</v>
      </c>
      <c r="N21" s="8">
        <f t="shared" si="0"/>
        <v>9.4339811320566032</v>
      </c>
      <c r="O21" s="8">
        <f t="shared" si="0"/>
        <v>8.0622577482985491</v>
      </c>
      <c r="P21" s="8">
        <f t="shared" si="0"/>
        <v>10.770329614269007</v>
      </c>
      <c r="Q21" s="8">
        <f t="shared" si="0"/>
        <v>8.5440037453175304</v>
      </c>
      <c r="R21" s="8">
        <f t="shared" si="0"/>
        <v>4</v>
      </c>
      <c r="S21" s="8">
        <f t="shared" si="0"/>
        <v>3.6055512754639891</v>
      </c>
      <c r="T21" s="8">
        <f t="shared" si="0"/>
        <v>3</v>
      </c>
      <c r="U21" s="8">
        <f t="shared" si="0"/>
        <v>0</v>
      </c>
    </row>
    <row r="24" spans="4:21">
      <c r="H24" s="47" t="s">
        <v>6</v>
      </c>
      <c r="I24" s="47" t="s">
        <v>7</v>
      </c>
      <c r="J24" s="47" t="s">
        <v>8</v>
      </c>
    </row>
    <row r="25" spans="4:21" ht="43.25" customHeight="1">
      <c r="D25" s="6" t="s">
        <v>787</v>
      </c>
      <c r="E25" s="6" t="s">
        <v>788</v>
      </c>
      <c r="F25" s="6" t="s">
        <v>789</v>
      </c>
      <c r="G25" s="6" t="s">
        <v>790</v>
      </c>
      <c r="H25" s="8" t="s">
        <v>791</v>
      </c>
      <c r="I25" s="8" t="s">
        <v>792</v>
      </c>
      <c r="J25" s="8" t="s">
        <v>793</v>
      </c>
      <c r="K25" s="8" t="s">
        <v>794</v>
      </c>
      <c r="L25" s="8" t="s">
        <v>795</v>
      </c>
      <c r="M25" s="51" t="s">
        <v>796</v>
      </c>
    </row>
    <row r="26" spans="4:21">
      <c r="D26" s="47" t="s">
        <v>7</v>
      </c>
      <c r="E26" s="43">
        <v>1</v>
      </c>
      <c r="F26" s="13">
        <v>4</v>
      </c>
      <c r="G26" s="13">
        <v>12</v>
      </c>
      <c r="H26" s="8">
        <f>AVERAGEIF($H$4:$U$4,H$24,$H8:$U8)</f>
        <v>8.007508172142547</v>
      </c>
      <c r="I26" s="8">
        <f t="shared" ref="I26:J26" si="2">AVERAGEIF($H$4:$U$4,I$24,$H8:$U8)</f>
        <v>2.6180339887498949</v>
      </c>
      <c r="J26" s="8">
        <f t="shared" si="2"/>
        <v>6.3306076802150493</v>
      </c>
      <c r="K26" s="8">
        <f>HLOOKUP(D26,$H$24:$J$39,2+E26,0)</f>
        <v>2.6180339887498949</v>
      </c>
      <c r="L26" s="8">
        <f>SMALL(H26:J26,2)</f>
        <v>6.3306076802150493</v>
      </c>
      <c r="M26" s="51">
        <f>(L26-K26)/MAX(L26,K26)</f>
        <v>0.58644823356658216</v>
      </c>
    </row>
    <row r="27" spans="4:21">
      <c r="D27" s="47" t="s">
        <v>7</v>
      </c>
      <c r="E27" s="43">
        <v>2</v>
      </c>
      <c r="F27" s="13">
        <v>5</v>
      </c>
      <c r="G27" s="13">
        <v>10</v>
      </c>
      <c r="H27" s="8">
        <f t="shared" ref="H27:J39" si="3">AVERAGEIF($H$4:$U$4,H$24,$H9:$U9)</f>
        <v>6.0358733655635826</v>
      </c>
      <c r="I27" s="8">
        <f t="shared" si="3"/>
        <v>2.6958776112006682</v>
      </c>
      <c r="J27" s="8">
        <f t="shared" si="3"/>
        <v>4.4722756670037382</v>
      </c>
      <c r="K27" s="8">
        <f t="shared" ref="K27:K39" si="4">HLOOKUP(D27,$H$24:$J$39,2+E27,0)</f>
        <v>2.6958776112006682</v>
      </c>
      <c r="L27" s="8">
        <f t="shared" ref="L27:L39" si="5">SMALL(H27:J27,2)</f>
        <v>4.4722756670037382</v>
      </c>
      <c r="M27" s="51">
        <f t="shared" ref="M27:M38" si="6">(L27-K27)/MAX(L27,K27)</f>
        <v>0.39720227196844332</v>
      </c>
    </row>
    <row r="28" spans="4:21">
      <c r="D28" s="47" t="s">
        <v>8</v>
      </c>
      <c r="E28" s="43">
        <v>3</v>
      </c>
      <c r="F28" s="13">
        <v>8</v>
      </c>
      <c r="G28" s="13">
        <v>7</v>
      </c>
      <c r="H28" s="8">
        <f t="shared" si="3"/>
        <v>4.5219572258557061</v>
      </c>
      <c r="I28" s="8">
        <f t="shared" si="3"/>
        <v>5.810508070653654</v>
      </c>
      <c r="J28" s="8">
        <f t="shared" si="3"/>
        <v>1.7661237755614949</v>
      </c>
      <c r="K28" s="8">
        <f t="shared" si="4"/>
        <v>1.7661237755614949</v>
      </c>
      <c r="L28" s="8">
        <f t="shared" si="5"/>
        <v>4.5219572258557061</v>
      </c>
      <c r="M28" s="51">
        <f t="shared" si="6"/>
        <v>0.60943377229153572</v>
      </c>
    </row>
    <row r="29" spans="4:21">
      <c r="D29" s="47" t="s">
        <v>6</v>
      </c>
      <c r="E29" s="43">
        <v>4</v>
      </c>
      <c r="F29" s="13">
        <v>5</v>
      </c>
      <c r="G29" s="13">
        <v>3</v>
      </c>
      <c r="H29" s="8">
        <f t="shared" si="3"/>
        <v>1.8392410578345648</v>
      </c>
      <c r="I29" s="8">
        <f t="shared" si="3"/>
        <v>8.7237547561104876</v>
      </c>
      <c r="J29" s="8">
        <f t="shared" si="3"/>
        <v>6.6473803550678747</v>
      </c>
      <c r="K29" s="8">
        <f t="shared" si="4"/>
        <v>1.8392410578345648</v>
      </c>
      <c r="L29" s="8">
        <f t="shared" si="5"/>
        <v>6.6473803550678747</v>
      </c>
      <c r="M29" s="51">
        <f t="shared" si="6"/>
        <v>0.72331340173240544</v>
      </c>
    </row>
    <row r="30" spans="4:21">
      <c r="D30" s="47" t="s">
        <v>6</v>
      </c>
      <c r="E30" s="43">
        <v>5</v>
      </c>
      <c r="F30" s="13">
        <v>5</v>
      </c>
      <c r="G30" s="13">
        <v>4</v>
      </c>
      <c r="H30" s="8">
        <f t="shared" si="3"/>
        <v>1.6180339887498949</v>
      </c>
      <c r="I30" s="8">
        <f t="shared" si="3"/>
        <v>7.7780029965547648</v>
      </c>
      <c r="J30" s="8">
        <f t="shared" si="3"/>
        <v>5.8869461578157267</v>
      </c>
      <c r="K30" s="8">
        <f t="shared" si="4"/>
        <v>1.6180339887498949</v>
      </c>
      <c r="L30" s="8">
        <f t="shared" si="5"/>
        <v>5.8869461578157267</v>
      </c>
      <c r="M30" s="51">
        <f t="shared" si="6"/>
        <v>0.72514883857027745</v>
      </c>
    </row>
    <row r="31" spans="4:21">
      <c r="D31" s="47" t="s">
        <v>7</v>
      </c>
      <c r="E31" s="43">
        <v>6</v>
      </c>
      <c r="F31" s="13">
        <v>2</v>
      </c>
      <c r="G31" s="13">
        <v>11</v>
      </c>
      <c r="H31" s="8">
        <f t="shared" si="3"/>
        <v>7.5648351143420767</v>
      </c>
      <c r="I31" s="8">
        <f t="shared" si="3"/>
        <v>3.3651508464916797</v>
      </c>
      <c r="J31" s="8">
        <f t="shared" si="3"/>
        <v>7.5814682169543968</v>
      </c>
      <c r="K31" s="8">
        <f t="shared" si="4"/>
        <v>3.3651508464916797</v>
      </c>
      <c r="L31" s="8">
        <f t="shared" si="5"/>
        <v>7.5648351143420767</v>
      </c>
      <c r="M31" s="51">
        <f t="shared" si="6"/>
        <v>0.55515873173339469</v>
      </c>
    </row>
    <row r="32" spans="4:21">
      <c r="D32" s="47" t="s">
        <v>6</v>
      </c>
      <c r="E32" s="43">
        <v>7</v>
      </c>
      <c r="F32" s="13">
        <v>5</v>
      </c>
      <c r="G32" s="13">
        <v>4</v>
      </c>
      <c r="H32" s="8">
        <f t="shared" si="3"/>
        <v>1.6180339887498949</v>
      </c>
      <c r="I32" s="8">
        <f t="shared" si="3"/>
        <v>7.7780029965547648</v>
      </c>
      <c r="J32" s="8">
        <f t="shared" si="3"/>
        <v>5.8869461578157267</v>
      </c>
      <c r="K32" s="8">
        <f t="shared" si="4"/>
        <v>1.6180339887498949</v>
      </c>
      <c r="L32" s="8">
        <f t="shared" si="5"/>
        <v>5.8869461578157267</v>
      </c>
      <c r="M32" s="51">
        <f t="shared" si="6"/>
        <v>0.72514883857027745</v>
      </c>
    </row>
    <row r="33" spans="4:13">
      <c r="D33" s="47" t="s">
        <v>6</v>
      </c>
      <c r="E33" s="43">
        <v>8</v>
      </c>
      <c r="F33" s="13">
        <v>3</v>
      </c>
      <c r="G33" s="13">
        <v>8</v>
      </c>
      <c r="H33" s="8">
        <f t="shared" si="3"/>
        <v>4.4490824831875688</v>
      </c>
      <c r="I33" s="8">
        <f t="shared" si="3"/>
        <v>4.5440170397076951</v>
      </c>
      <c r="J33" s="8">
        <f t="shared" si="3"/>
        <v>6.0672767097627611</v>
      </c>
      <c r="K33" s="8">
        <f t="shared" si="4"/>
        <v>4.4490824831875688</v>
      </c>
      <c r="L33" s="8">
        <f t="shared" si="5"/>
        <v>4.5440170397076951</v>
      </c>
      <c r="M33" s="51">
        <f t="shared" si="6"/>
        <v>2.089220962213495E-2</v>
      </c>
    </row>
    <row r="34" spans="4:13">
      <c r="D34" s="47" t="s">
        <v>6</v>
      </c>
      <c r="E34" s="43">
        <v>9</v>
      </c>
      <c r="F34" s="13">
        <v>6</v>
      </c>
      <c r="G34" s="13">
        <v>2</v>
      </c>
      <c r="H34" s="8">
        <f t="shared" si="3"/>
        <v>2.4717702378953059</v>
      </c>
      <c r="I34" s="8">
        <f t="shared" si="3"/>
        <v>9.7198710478873078</v>
      </c>
      <c r="J34" s="8">
        <f t="shared" si="3"/>
        <v>6.9846587489103875</v>
      </c>
      <c r="K34" s="8">
        <f t="shared" si="4"/>
        <v>2.4717702378953059</v>
      </c>
      <c r="L34" s="8">
        <f t="shared" si="5"/>
        <v>6.9846587489103875</v>
      </c>
      <c r="M34" s="51">
        <f t="shared" si="6"/>
        <v>0.64611438772425289</v>
      </c>
    </row>
    <row r="35" spans="4:13">
      <c r="D35" s="47" t="s">
        <v>6</v>
      </c>
      <c r="E35" s="43">
        <v>10</v>
      </c>
      <c r="F35" s="13">
        <v>7</v>
      </c>
      <c r="G35" s="13">
        <v>4</v>
      </c>
      <c r="H35" s="8">
        <f t="shared" si="3"/>
        <v>2.3548317007486599</v>
      </c>
      <c r="I35" s="8">
        <f t="shared" si="3"/>
        <v>8.003722019503611</v>
      </c>
      <c r="J35" s="8">
        <f t="shared" si="3"/>
        <v>4.7730622671516159</v>
      </c>
      <c r="K35" s="8">
        <f t="shared" si="4"/>
        <v>2.3548317007486599</v>
      </c>
      <c r="L35" s="8">
        <f t="shared" si="5"/>
        <v>4.7730622671516159</v>
      </c>
      <c r="M35" s="51">
        <f t="shared" si="6"/>
        <v>0.5066413197760492</v>
      </c>
    </row>
    <row r="36" spans="4:13">
      <c r="D36" s="47" t="s">
        <v>8</v>
      </c>
      <c r="E36" s="43">
        <v>11</v>
      </c>
      <c r="F36" s="13">
        <v>10</v>
      </c>
      <c r="G36" s="13">
        <v>8</v>
      </c>
      <c r="H36" s="8">
        <f t="shared" si="3"/>
        <v>6.5147364729431914</v>
      </c>
      <c r="I36" s="8">
        <f t="shared" si="3"/>
        <v>6.2850677758450031</v>
      </c>
      <c r="J36" s="8">
        <f t="shared" si="3"/>
        <v>1.3680339887498949</v>
      </c>
      <c r="K36" s="8">
        <f t="shared" si="4"/>
        <v>1.3680339887498949</v>
      </c>
      <c r="L36" s="8">
        <f t="shared" si="5"/>
        <v>6.2850677758450031</v>
      </c>
      <c r="M36" s="51">
        <f t="shared" si="6"/>
        <v>0.78233584146736301</v>
      </c>
    </row>
    <row r="37" spans="4:13">
      <c r="D37" s="47" t="s">
        <v>8</v>
      </c>
      <c r="E37" s="43">
        <v>12</v>
      </c>
      <c r="F37" s="13">
        <v>8</v>
      </c>
      <c r="G37" s="13">
        <v>9</v>
      </c>
      <c r="H37" s="8">
        <f t="shared" si="3"/>
        <v>5.9747094397760101</v>
      </c>
      <c r="I37" s="8">
        <f t="shared" si="3"/>
        <v>4.5230960639922815</v>
      </c>
      <c r="J37" s="8">
        <f t="shared" si="3"/>
        <v>1.5590169943749475</v>
      </c>
      <c r="K37" s="8">
        <f t="shared" si="4"/>
        <v>1.5590169943749475</v>
      </c>
      <c r="L37" s="8">
        <f t="shared" si="5"/>
        <v>4.5230960639922815</v>
      </c>
      <c r="M37" s="51">
        <f t="shared" si="6"/>
        <v>0.65532083061731583</v>
      </c>
    </row>
    <row r="38" spans="4:13">
      <c r="D38" s="47" t="s">
        <v>8</v>
      </c>
      <c r="E38" s="43">
        <v>13</v>
      </c>
      <c r="F38" s="13">
        <v>10</v>
      </c>
      <c r="G38" s="13">
        <v>9</v>
      </c>
      <c r="H38" s="8">
        <f t="shared" si="3"/>
        <v>7.1527771257744881</v>
      </c>
      <c r="I38" s="8">
        <f t="shared" si="3"/>
        <v>5.7633586743318688</v>
      </c>
      <c r="J38" s="8">
        <f t="shared" si="3"/>
        <v>1.4571067811865475</v>
      </c>
      <c r="K38" s="8">
        <f t="shared" si="4"/>
        <v>1.4571067811865475</v>
      </c>
      <c r="L38" s="8">
        <f t="shared" si="5"/>
        <v>5.7633586743318688</v>
      </c>
      <c r="M38" s="51">
        <f t="shared" si="6"/>
        <v>0.74717749431836866</v>
      </c>
    </row>
    <row r="39" spans="4:13">
      <c r="D39" s="47" t="s">
        <v>8</v>
      </c>
      <c r="E39" s="43">
        <v>14</v>
      </c>
      <c r="F39" s="13">
        <v>10</v>
      </c>
      <c r="G39" s="13">
        <v>12</v>
      </c>
      <c r="H39" s="8">
        <f t="shared" si="3"/>
        <v>9.4233639188308818</v>
      </c>
      <c r="I39" s="8">
        <f t="shared" si="3"/>
        <v>4.8618556388582634</v>
      </c>
      <c r="J39" s="8">
        <f>AVERAGEIF($H$4:$U$4,J$24,$H21:$U21)</f>
        <v>3.9976790206496235</v>
      </c>
      <c r="K39" s="8">
        <f t="shared" si="4"/>
        <v>3.9976790206496235</v>
      </c>
      <c r="L39" s="8">
        <f t="shared" si="5"/>
        <v>4.8618556388582634</v>
      </c>
      <c r="M39" s="51">
        <f>(L39-K39)/MAX(L39,K39)</f>
        <v>0.1777462521309208</v>
      </c>
    </row>
    <row r="41" spans="4:13">
      <c r="M41" s="52">
        <f>AVERAGE(M26:M39)</f>
        <v>0.56129160172066572</v>
      </c>
    </row>
  </sheetData>
  <conditionalFormatting sqref="D8:D21">
    <cfRule type="cellIs" dxfId="17" priority="16" operator="equal">
      <formula>#REF!</formula>
    </cfRule>
    <cfRule type="cellIs" dxfId="16" priority="17" operator="equal">
      <formula>#REF!</formula>
    </cfRule>
    <cfRule type="cellIs" dxfId="15" priority="18" operator="equal">
      <formula>#REF!</formula>
    </cfRule>
  </conditionalFormatting>
  <conditionalFormatting sqref="H4:U4">
    <cfRule type="cellIs" dxfId="14" priority="13" operator="equal">
      <formula>#REF!</formula>
    </cfRule>
    <cfRule type="cellIs" dxfId="13" priority="14" operator="equal">
      <formula>#REF!</formula>
    </cfRule>
    <cfRule type="cellIs" dxfId="12" priority="15" operator="equal">
      <formula>#REF!</formula>
    </cfRule>
  </conditionalFormatting>
  <conditionalFormatting sqref="D26:D39">
    <cfRule type="cellIs" dxfId="11" priority="10" operator="equal">
      <formula>#REF!</formula>
    </cfRule>
    <cfRule type="cellIs" dxfId="10" priority="11" operator="equal">
      <formula>#REF!</formula>
    </cfRule>
    <cfRule type="cellIs" dxfId="9" priority="12" operator="equal">
      <formula>#REF!</formula>
    </cfRule>
  </conditionalFormatting>
  <conditionalFormatting sqref="H24">
    <cfRule type="cellIs" dxfId="8" priority="7" operator="equal">
      <formula>#REF!</formula>
    </cfRule>
    <cfRule type="cellIs" dxfId="7" priority="8" operator="equal">
      <formula>#REF!</formula>
    </cfRule>
    <cfRule type="cellIs" dxfId="6" priority="9" operator="equal">
      <formula>#REF!</formula>
    </cfRule>
  </conditionalFormatting>
  <conditionalFormatting sqref="I24">
    <cfRule type="cellIs" dxfId="5" priority="4" operator="equal">
      <formula>#REF!</formula>
    </cfRule>
    <cfRule type="cellIs" dxfId="4" priority="5" operator="equal">
      <formula>#REF!</formula>
    </cfRule>
    <cfRule type="cellIs" dxfId="3" priority="6" operator="equal">
      <formula>#REF!</formula>
    </cfRule>
  </conditionalFormatting>
  <conditionalFormatting sqref="J24">
    <cfRule type="cellIs" dxfId="2" priority="1" operator="equal">
      <formula>#REF!</formula>
    </cfRule>
    <cfRule type="cellIs" dxfId="1" priority="2" operator="equal">
      <formula>#REF!</formula>
    </cfRule>
    <cfRule type="cellIs" dxfId="0" priority="3" operator="equal">
      <formula>#REF!</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D57"/>
  <sheetViews>
    <sheetView workbookViewId="0">
      <selection activeCell="B4" sqref="B4"/>
    </sheetView>
  </sheetViews>
  <sheetFormatPr baseColWidth="10" defaultColWidth="8.83203125" defaultRowHeight="15"/>
  <cols>
    <col min="1" max="2" width="8.83203125" style="6"/>
    <col min="3" max="3" width="12.5" style="6" customWidth="1"/>
    <col min="4" max="16384" width="8.83203125" style="6"/>
  </cols>
  <sheetData>
    <row r="3" spans="2:4">
      <c r="B3" s="7" t="s">
        <v>835</v>
      </c>
    </row>
    <row r="4" spans="2:4">
      <c r="B4" s="6" t="s">
        <v>831</v>
      </c>
    </row>
    <row r="5" spans="2:4">
      <c r="B5" s="6" t="s">
        <v>832</v>
      </c>
    </row>
    <row r="7" spans="2:4" ht="30.5" customHeight="1">
      <c r="B7" s="6" t="s">
        <v>834</v>
      </c>
      <c r="C7" s="8" t="s">
        <v>833</v>
      </c>
      <c r="D7" s="8" t="s">
        <v>11</v>
      </c>
    </row>
    <row r="8" spans="2:4">
      <c r="B8" s="6">
        <v>1001</v>
      </c>
      <c r="C8" s="6">
        <v>20.241331476837487</v>
      </c>
      <c r="D8" s="6">
        <v>0.20451739485287795</v>
      </c>
    </row>
    <row r="9" spans="2:4">
      <c r="B9" s="6">
        <v>1002</v>
      </c>
      <c r="C9" s="6">
        <v>20.276580942916773</v>
      </c>
      <c r="D9" s="6">
        <v>0.23229477215147204</v>
      </c>
    </row>
    <row r="10" spans="2:4">
      <c r="B10" s="6">
        <v>1003</v>
      </c>
      <c r="C10" s="6">
        <v>20.330648479522964</v>
      </c>
      <c r="D10" s="6">
        <v>0.20732435773910307</v>
      </c>
    </row>
    <row r="11" spans="2:4">
      <c r="B11" s="6">
        <v>1004</v>
      </c>
      <c r="C11" s="6">
        <v>20.693601729248432</v>
      </c>
      <c r="D11" s="6">
        <v>0.11766633417242292</v>
      </c>
    </row>
    <row r="12" spans="2:4">
      <c r="B12" s="6">
        <v>1005</v>
      </c>
      <c r="C12" s="6">
        <v>20.919666462044841</v>
      </c>
      <c r="D12" s="6">
        <v>3.3545946457426506E-2</v>
      </c>
    </row>
    <row r="13" spans="2:4">
      <c r="B13" s="6">
        <v>1006</v>
      </c>
      <c r="C13" s="6">
        <v>20.942881441055114</v>
      </c>
      <c r="D13" s="6">
        <v>0.23363886945817056</v>
      </c>
    </row>
    <row r="14" spans="2:4">
      <c r="B14" s="6">
        <v>1007</v>
      </c>
      <c r="C14" s="6">
        <v>20.970022341845354</v>
      </c>
      <c r="D14" s="6">
        <v>0.15697396443525133</v>
      </c>
    </row>
    <row r="15" spans="2:4">
      <c r="B15" s="6">
        <v>1008</v>
      </c>
      <c r="C15" s="6">
        <v>21.353950927715545</v>
      </c>
      <c r="D15" s="6">
        <v>0.2222543995096285</v>
      </c>
    </row>
    <row r="16" spans="2:4">
      <c r="B16" s="6">
        <v>1009</v>
      </c>
      <c r="C16" s="6">
        <v>21.494155200611676</v>
      </c>
      <c r="D16" s="6">
        <v>9.7410141188806587E-2</v>
      </c>
    </row>
    <row r="17" spans="2:4">
      <c r="B17" s="6">
        <v>1010</v>
      </c>
      <c r="C17" s="6">
        <v>22.233768643367885</v>
      </c>
      <c r="D17" s="6">
        <v>0.22388275992751813</v>
      </c>
    </row>
    <row r="18" spans="2:4">
      <c r="B18" s="6">
        <v>1011</v>
      </c>
      <c r="C18" s="6">
        <v>22.25556274335996</v>
      </c>
      <c r="D18" s="6">
        <v>0.13789904519631965</v>
      </c>
    </row>
    <row r="19" spans="2:4">
      <c r="B19" s="6">
        <v>1012</v>
      </c>
      <c r="C19" s="6">
        <v>22.293631512757273</v>
      </c>
      <c r="D19" s="6">
        <v>0.15734770733524878</v>
      </c>
    </row>
    <row r="20" spans="2:4">
      <c r="B20" s="6">
        <v>1013</v>
      </c>
      <c r="C20" s="6">
        <v>22.324428788171737</v>
      </c>
      <c r="D20" s="6">
        <v>0.17136713453856711</v>
      </c>
    </row>
    <row r="21" spans="2:4">
      <c r="B21" s="6">
        <v>1014</v>
      </c>
      <c r="C21" s="6">
        <v>22.388555714356961</v>
      </c>
      <c r="D21" s="6">
        <v>0.1621204188516584</v>
      </c>
    </row>
    <row r="22" spans="2:4">
      <c r="B22" s="6">
        <v>1015</v>
      </c>
      <c r="C22" s="6">
        <v>22.504926819264856</v>
      </c>
      <c r="D22" s="6">
        <v>0.20503658401324049</v>
      </c>
    </row>
    <row r="23" spans="2:4">
      <c r="B23" s="6">
        <v>1016</v>
      </c>
      <c r="C23" s="6">
        <v>22.537926031292699</v>
      </c>
      <c r="D23" s="6">
        <v>0.14203002647705515</v>
      </c>
    </row>
    <row r="24" spans="2:4">
      <c r="B24" s="6">
        <v>1017</v>
      </c>
      <c r="C24" s="6">
        <v>22.74137048878335</v>
      </c>
      <c r="D24" s="6">
        <v>0.17563316628373582</v>
      </c>
    </row>
    <row r="25" spans="2:4">
      <c r="B25" s="6">
        <v>1018</v>
      </c>
      <c r="C25" s="6">
        <v>22.741864801578878</v>
      </c>
      <c r="D25" s="6">
        <v>0.14218938432267486</v>
      </c>
    </row>
    <row r="26" spans="2:4">
      <c r="B26" s="6">
        <v>1019</v>
      </c>
      <c r="C26" s="6">
        <v>22.815041628307895</v>
      </c>
      <c r="D26" s="6">
        <v>0.10827922941408478</v>
      </c>
    </row>
    <row r="27" spans="2:4">
      <c r="B27" s="6">
        <v>1020</v>
      </c>
      <c r="C27" s="6">
        <v>22.859507313777435</v>
      </c>
      <c r="D27" s="6">
        <v>0.16442755215583288</v>
      </c>
    </row>
    <row r="28" spans="2:4">
      <c r="B28" s="6">
        <v>1021</v>
      </c>
      <c r="C28" s="6">
        <v>22.984068893090104</v>
      </c>
      <c r="D28" s="6">
        <v>0.23559874983936024</v>
      </c>
    </row>
    <row r="29" spans="2:4">
      <c r="B29" s="6">
        <v>1022</v>
      </c>
      <c r="C29" s="6">
        <v>26.411751365212965</v>
      </c>
      <c r="D29" s="6">
        <v>2.8146845559966105E-2</v>
      </c>
    </row>
    <row r="30" spans="2:4">
      <c r="B30" s="6">
        <v>1023</v>
      </c>
      <c r="C30" s="6">
        <v>28.500035243670659</v>
      </c>
      <c r="D30" s="6">
        <v>2.9257858966260437E-2</v>
      </c>
    </row>
    <row r="31" spans="2:4">
      <c r="B31" s="6">
        <v>1024</v>
      </c>
      <c r="C31" s="6">
        <v>37.994184078930203</v>
      </c>
      <c r="D31" s="6">
        <v>5.4393296746838883E-2</v>
      </c>
    </row>
    <row r="32" spans="2:4">
      <c r="B32" s="6">
        <v>1025</v>
      </c>
      <c r="C32" s="6">
        <v>41.304708131241817</v>
      </c>
      <c r="D32" s="6">
        <v>2.7072085591523687E-2</v>
      </c>
    </row>
    <row r="33" spans="2:4">
      <c r="B33" s="6">
        <v>1026</v>
      </c>
      <c r="C33" s="6">
        <v>43.3953756916289</v>
      </c>
      <c r="D33" s="6">
        <v>2.8064905543057884E-2</v>
      </c>
    </row>
    <row r="34" spans="2:4">
      <c r="B34" s="6">
        <v>1027</v>
      </c>
      <c r="C34" s="6">
        <v>48.056462963006865</v>
      </c>
      <c r="D34" s="6">
        <v>2.4497693257667211E-2</v>
      </c>
    </row>
    <row r="35" spans="2:4">
      <c r="B35" s="6">
        <v>1028</v>
      </c>
      <c r="C35" s="6">
        <v>52.401346283902129</v>
      </c>
      <c r="D35" s="6">
        <v>5.2151939256351282E-2</v>
      </c>
    </row>
    <row r="36" spans="2:4">
      <c r="B36" s="6">
        <v>1029</v>
      </c>
      <c r="C36" s="6">
        <v>61.003672170853768</v>
      </c>
      <c r="D36" s="6">
        <v>5.4681959945518409E-2</v>
      </c>
    </row>
    <row r="37" spans="2:4">
      <c r="B37" s="6">
        <v>1030</v>
      </c>
      <c r="C37" s="6">
        <v>61.548936268618881</v>
      </c>
      <c r="D37" s="6">
        <v>2.6864078790711635E-2</v>
      </c>
    </row>
    <row r="38" spans="2:4">
      <c r="B38" s="6">
        <v>1031</v>
      </c>
      <c r="C38" s="6">
        <v>102.89705289769877</v>
      </c>
      <c r="D38" s="6">
        <v>7.8087680199449783E-2</v>
      </c>
    </row>
    <row r="39" spans="2:4">
      <c r="B39" s="6">
        <v>1032</v>
      </c>
      <c r="C39" s="6">
        <v>104.22928725173077</v>
      </c>
      <c r="D39" s="6">
        <v>7.7819295203223171E-2</v>
      </c>
    </row>
    <row r="40" spans="2:4">
      <c r="B40" s="6">
        <v>1033</v>
      </c>
      <c r="C40" s="6">
        <v>107.74635337405363</v>
      </c>
      <c r="D40" s="6">
        <v>6.7108280171267853E-2</v>
      </c>
    </row>
    <row r="41" spans="2:4">
      <c r="B41" s="6">
        <v>1034</v>
      </c>
      <c r="C41" s="6">
        <v>110.42555212390415</v>
      </c>
      <c r="D41" s="6">
        <v>5.0403050763567145E-2</v>
      </c>
    </row>
    <row r="42" spans="2:4">
      <c r="B42" s="6">
        <v>1035</v>
      </c>
      <c r="C42" s="6">
        <v>113.30164980259386</v>
      </c>
      <c r="D42" s="6">
        <v>6.409294924240598E-2</v>
      </c>
    </row>
    <row r="43" spans="2:4">
      <c r="B43" s="6">
        <v>1036</v>
      </c>
      <c r="C43" s="6">
        <v>117.82846027435268</v>
      </c>
      <c r="D43" s="6">
        <v>7.5440205338251978E-2</v>
      </c>
    </row>
    <row r="44" spans="2:4">
      <c r="B44" s="6">
        <v>1037</v>
      </c>
      <c r="C44" s="6">
        <v>118.85384320368256</v>
      </c>
      <c r="D44" s="6">
        <v>4.3745326760464831E-2</v>
      </c>
    </row>
    <row r="45" spans="2:4">
      <c r="B45" s="6">
        <v>1038</v>
      </c>
      <c r="C45" s="6">
        <v>122.00266770479003</v>
      </c>
      <c r="D45" s="6">
        <v>8.3073982080613243E-2</v>
      </c>
    </row>
    <row r="46" spans="2:4">
      <c r="B46" s="6">
        <v>1039</v>
      </c>
      <c r="C46" s="6">
        <v>122.48720738698086</v>
      </c>
      <c r="D46" s="6">
        <v>4.2678214576899624E-2</v>
      </c>
    </row>
    <row r="47" spans="2:4">
      <c r="B47" s="6">
        <v>1040</v>
      </c>
      <c r="C47" s="6">
        <v>124.27213174028256</v>
      </c>
      <c r="D47" s="6">
        <v>4.1473684096914279E-2</v>
      </c>
    </row>
    <row r="48" spans="2:4">
      <c r="B48" s="6">
        <v>1041</v>
      </c>
      <c r="C48" s="6">
        <v>124.50873151262273</v>
      </c>
      <c r="D48" s="6">
        <v>9.7088132799527577E-2</v>
      </c>
    </row>
    <row r="49" spans="2:4">
      <c r="B49" s="6">
        <v>1042</v>
      </c>
      <c r="C49" s="6">
        <v>127.04001863639991</v>
      </c>
      <c r="D49" s="6">
        <v>6.3547011618296179E-2</v>
      </c>
    </row>
    <row r="50" spans="2:4">
      <c r="B50" s="6">
        <v>1043</v>
      </c>
      <c r="C50" s="6">
        <v>129.03128937975649</v>
      </c>
      <c r="D50" s="6">
        <v>3.6504375865875287E-2</v>
      </c>
    </row>
    <row r="51" spans="2:4">
      <c r="B51" s="6">
        <v>1044</v>
      </c>
      <c r="C51" s="6">
        <v>130.87617891150941</v>
      </c>
      <c r="D51" s="6">
        <v>8.2614648810458977E-2</v>
      </c>
    </row>
    <row r="52" spans="2:4">
      <c r="B52" s="6">
        <v>1045</v>
      </c>
      <c r="C52" s="6">
        <v>135.36846749746627</v>
      </c>
      <c r="D52" s="6">
        <v>0.1023294829310355</v>
      </c>
    </row>
    <row r="53" spans="2:4">
      <c r="B53" s="6">
        <v>1046</v>
      </c>
      <c r="C53" s="6">
        <v>136.81524066372691</v>
      </c>
      <c r="D53" s="6">
        <v>7.0145505784128939E-2</v>
      </c>
    </row>
    <row r="54" spans="2:4">
      <c r="B54" s="6">
        <v>1047</v>
      </c>
      <c r="C54" s="6">
        <v>137.09539846853505</v>
      </c>
      <c r="D54" s="6">
        <v>5.3411465864522042E-2</v>
      </c>
    </row>
    <row r="55" spans="2:4">
      <c r="B55" s="6">
        <v>1048</v>
      </c>
      <c r="C55" s="6">
        <v>137.34541376687798</v>
      </c>
      <c r="D55" s="6">
        <v>9.7970282976244216E-2</v>
      </c>
    </row>
    <row r="56" spans="2:4">
      <c r="B56" s="6">
        <v>1049</v>
      </c>
      <c r="C56" s="6">
        <v>137.37402434628325</v>
      </c>
      <c r="D56" s="6">
        <v>6.6540524807624679E-2</v>
      </c>
    </row>
    <row r="57" spans="2:4">
      <c r="B57" s="6">
        <v>1050</v>
      </c>
      <c r="C57" s="6">
        <v>137.90032912437809</v>
      </c>
      <c r="D57" s="6">
        <v>3.502665724580533E-2</v>
      </c>
    </row>
  </sheetData>
  <sortState xmlns:xlrd2="http://schemas.microsoft.com/office/spreadsheetml/2017/richdata2" ref="C8:D57">
    <sortCondition ref="C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382"/>
  <sheetViews>
    <sheetView topLeftCell="A99" workbookViewId="0">
      <selection activeCell="I7" sqref="I7"/>
    </sheetView>
  </sheetViews>
  <sheetFormatPr baseColWidth="10" defaultColWidth="8.83203125" defaultRowHeight="15" customHeight="1"/>
  <cols>
    <col min="1" max="1" width="8.83203125" style="6"/>
    <col min="2" max="2" width="20.5" style="6" customWidth="1"/>
    <col min="3" max="3" width="31" style="6" customWidth="1"/>
    <col min="4" max="4" width="11.1640625" style="6" customWidth="1"/>
    <col min="5" max="5" width="13.1640625" style="6" customWidth="1"/>
    <col min="6" max="16384" width="8.83203125" style="6"/>
  </cols>
  <sheetData>
    <row r="2" spans="2:5" ht="30.5" customHeight="1">
      <c r="B2" s="57" t="s">
        <v>836</v>
      </c>
      <c r="C2" s="57" t="s">
        <v>837</v>
      </c>
      <c r="D2" s="57" t="s">
        <v>838</v>
      </c>
      <c r="E2" s="57" t="s">
        <v>839</v>
      </c>
    </row>
    <row r="3" spans="2:5" ht="15" customHeight="1">
      <c r="B3" s="54" t="s">
        <v>12</v>
      </c>
      <c r="C3" s="55" t="s">
        <v>13</v>
      </c>
      <c r="D3" s="56">
        <v>13</v>
      </c>
      <c r="E3" s="56">
        <v>72.099999999999994</v>
      </c>
    </row>
    <row r="4" spans="2:5" ht="15" customHeight="1">
      <c r="B4" s="54" t="s">
        <v>14</v>
      </c>
      <c r="C4" s="55" t="s">
        <v>15</v>
      </c>
      <c r="D4" s="56">
        <v>16.600000000000001</v>
      </c>
      <c r="E4" s="56">
        <v>79.8</v>
      </c>
    </row>
    <row r="5" spans="2:5" ht="15" customHeight="1">
      <c r="B5" s="54" t="s">
        <v>16</v>
      </c>
      <c r="C5" s="55" t="s">
        <v>17</v>
      </c>
      <c r="D5" s="56">
        <v>18.399999999999999</v>
      </c>
      <c r="E5" s="56">
        <v>85.1</v>
      </c>
    </row>
    <row r="6" spans="2:5" ht="15" customHeight="1">
      <c r="B6" s="54" t="s">
        <v>18</v>
      </c>
      <c r="C6" s="55" t="s">
        <v>19</v>
      </c>
      <c r="D6" s="56">
        <v>15.6</v>
      </c>
      <c r="E6" s="56">
        <v>67.2</v>
      </c>
    </row>
    <row r="7" spans="2:5" ht="15" customHeight="1">
      <c r="B7" s="54" t="s">
        <v>20</v>
      </c>
      <c r="C7" s="55" t="s">
        <v>21</v>
      </c>
      <c r="D7" s="56">
        <v>12.3</v>
      </c>
      <c r="E7" s="56">
        <v>95.7</v>
      </c>
    </row>
    <row r="8" spans="2:5" ht="15" customHeight="1">
      <c r="B8" s="54" t="s">
        <v>22</v>
      </c>
      <c r="C8" s="55" t="s">
        <v>23</v>
      </c>
      <c r="D8" s="56">
        <v>13.5</v>
      </c>
      <c r="E8" s="56">
        <v>142.19999999999999</v>
      </c>
    </row>
    <row r="9" spans="2:5" ht="15" customHeight="1">
      <c r="B9" s="54" t="s">
        <v>24</v>
      </c>
      <c r="C9" s="55" t="s">
        <v>25</v>
      </c>
      <c r="D9" s="56">
        <v>17.100000000000001</v>
      </c>
      <c r="E9" s="56">
        <v>77.5</v>
      </c>
    </row>
    <row r="10" spans="2:5" ht="15" customHeight="1">
      <c r="B10" s="54" t="s">
        <v>26</v>
      </c>
      <c r="C10" s="55" t="s">
        <v>27</v>
      </c>
      <c r="D10" s="56">
        <v>13.6</v>
      </c>
      <c r="E10" s="56">
        <v>74.400000000000006</v>
      </c>
    </row>
    <row r="11" spans="2:5" ht="15" customHeight="1">
      <c r="B11" s="54" t="s">
        <v>28</v>
      </c>
      <c r="C11" s="55" t="s">
        <v>29</v>
      </c>
      <c r="D11" s="56">
        <v>16.5</v>
      </c>
      <c r="E11" s="56">
        <v>73.2</v>
      </c>
    </row>
    <row r="12" spans="2:5" ht="15" customHeight="1">
      <c r="B12" s="54" t="s">
        <v>30</v>
      </c>
      <c r="C12" s="55" t="s">
        <v>31</v>
      </c>
      <c r="D12" s="56">
        <v>17.8</v>
      </c>
      <c r="E12" s="56">
        <v>77.599999999999994</v>
      </c>
    </row>
    <row r="13" spans="2:5" ht="15" customHeight="1">
      <c r="B13" s="54" t="s">
        <v>32</v>
      </c>
      <c r="C13" s="55" t="s">
        <v>33</v>
      </c>
      <c r="D13" s="56">
        <v>12.8</v>
      </c>
      <c r="E13" s="56">
        <v>71.400000000000006</v>
      </c>
    </row>
    <row r="14" spans="2:5" ht="15" customHeight="1">
      <c r="B14" s="54" t="s">
        <v>34</v>
      </c>
      <c r="C14" s="55" t="s">
        <v>35</v>
      </c>
      <c r="D14" s="56">
        <v>18.8</v>
      </c>
      <c r="E14" s="56">
        <v>70.900000000000006</v>
      </c>
    </row>
    <row r="15" spans="2:5" ht="15" customHeight="1">
      <c r="B15" s="54" t="s">
        <v>36</v>
      </c>
      <c r="C15" s="55" t="s">
        <v>37</v>
      </c>
      <c r="D15" s="56">
        <v>13.9</v>
      </c>
      <c r="E15" s="56">
        <v>83.2</v>
      </c>
    </row>
    <row r="16" spans="2:5" ht="15" customHeight="1">
      <c r="B16" s="54" t="s">
        <v>38</v>
      </c>
      <c r="C16" s="55" t="s">
        <v>39</v>
      </c>
      <c r="D16" s="56">
        <v>15.6</v>
      </c>
      <c r="E16" s="56">
        <v>95.2</v>
      </c>
    </row>
    <row r="17" spans="2:5" ht="15" customHeight="1">
      <c r="B17" s="54" t="s">
        <v>40</v>
      </c>
      <c r="C17" s="55" t="s">
        <v>41</v>
      </c>
      <c r="D17" s="56">
        <v>13.9</v>
      </c>
      <c r="E17" s="56">
        <v>79.5</v>
      </c>
    </row>
    <row r="18" spans="2:5" ht="15" customHeight="1">
      <c r="B18" s="54" t="s">
        <v>42</v>
      </c>
      <c r="C18" s="55" t="s">
        <v>43</v>
      </c>
      <c r="D18" s="56">
        <v>12.7</v>
      </c>
      <c r="E18" s="56">
        <v>77</v>
      </c>
    </row>
    <row r="19" spans="2:5" ht="15" customHeight="1">
      <c r="B19" s="54" t="s">
        <v>44</v>
      </c>
      <c r="C19" s="55" t="s">
        <v>45</v>
      </c>
      <c r="D19" s="56">
        <v>10.9</v>
      </c>
      <c r="E19" s="56">
        <v>70.2</v>
      </c>
    </row>
    <row r="20" spans="2:5" ht="15" customHeight="1">
      <c r="B20" s="54" t="s">
        <v>46</v>
      </c>
      <c r="C20" s="55" t="s">
        <v>47</v>
      </c>
      <c r="D20" s="56">
        <v>16.2</v>
      </c>
      <c r="E20" s="56">
        <v>77</v>
      </c>
    </row>
    <row r="21" spans="2:5" ht="15" customHeight="1">
      <c r="B21" s="54" t="s">
        <v>48</v>
      </c>
      <c r="C21" s="55" t="s">
        <v>49</v>
      </c>
      <c r="D21" s="56">
        <v>17.8</v>
      </c>
      <c r="E21" s="56">
        <v>84.2</v>
      </c>
    </row>
    <row r="22" spans="2:5" ht="15" customHeight="1">
      <c r="B22" s="54" t="s">
        <v>50</v>
      </c>
      <c r="C22" s="55" t="s">
        <v>51</v>
      </c>
      <c r="D22" s="56">
        <v>16.3</v>
      </c>
      <c r="E22" s="56">
        <v>88.4</v>
      </c>
    </row>
    <row r="23" spans="2:5" ht="15" customHeight="1">
      <c r="B23" s="54" t="s">
        <v>52</v>
      </c>
      <c r="C23" s="55" t="s">
        <v>53</v>
      </c>
      <c r="D23" s="56">
        <v>10.8</v>
      </c>
      <c r="E23" s="56">
        <v>80.5</v>
      </c>
    </row>
    <row r="24" spans="2:5" ht="15" customHeight="1">
      <c r="B24" s="54" t="s">
        <v>54</v>
      </c>
      <c r="C24" s="55" t="s">
        <v>55</v>
      </c>
      <c r="D24" s="56">
        <v>9.4</v>
      </c>
      <c r="E24" s="56">
        <v>78.900000000000006</v>
      </c>
    </row>
    <row r="25" spans="2:5" ht="15" customHeight="1">
      <c r="B25" s="54" t="s">
        <v>56</v>
      </c>
      <c r="C25" s="55" t="s">
        <v>57</v>
      </c>
      <c r="D25" s="56">
        <v>9</v>
      </c>
      <c r="E25" s="56">
        <v>76.5</v>
      </c>
    </row>
    <row r="26" spans="2:5" ht="15" customHeight="1">
      <c r="B26" s="54" t="s">
        <v>58</v>
      </c>
      <c r="C26" s="55" t="s">
        <v>59</v>
      </c>
      <c r="D26" s="56">
        <v>12.1</v>
      </c>
      <c r="E26" s="56">
        <v>79.5</v>
      </c>
    </row>
    <row r="27" spans="2:5" ht="15" customHeight="1">
      <c r="B27" s="54" t="s">
        <v>60</v>
      </c>
      <c r="C27" s="55" t="s">
        <v>61</v>
      </c>
      <c r="D27" s="56">
        <v>17.399999999999999</v>
      </c>
      <c r="E27" s="56">
        <v>89.2</v>
      </c>
    </row>
    <row r="28" spans="2:5" ht="15" customHeight="1">
      <c r="B28" s="54" t="s">
        <v>62</v>
      </c>
      <c r="C28" s="55" t="s">
        <v>63</v>
      </c>
      <c r="D28" s="56">
        <v>23.9</v>
      </c>
      <c r="E28" s="56">
        <v>79.3</v>
      </c>
    </row>
    <row r="29" spans="2:5" ht="15" customHeight="1">
      <c r="B29" s="54" t="s">
        <v>64</v>
      </c>
      <c r="C29" s="55" t="s">
        <v>65</v>
      </c>
      <c r="D29" s="56">
        <v>15.8</v>
      </c>
      <c r="E29" s="56">
        <v>72.8</v>
      </c>
    </row>
    <row r="30" spans="2:5" ht="15" customHeight="1">
      <c r="B30" s="54" t="s">
        <v>66</v>
      </c>
      <c r="C30" s="55" t="s">
        <v>67</v>
      </c>
      <c r="D30" s="56">
        <v>21.8</v>
      </c>
      <c r="E30" s="56">
        <v>82.9</v>
      </c>
    </row>
    <row r="31" spans="2:5" ht="15" customHeight="1">
      <c r="B31" s="54" t="s">
        <v>68</v>
      </c>
      <c r="C31" s="55" t="s">
        <v>69</v>
      </c>
      <c r="D31" s="56">
        <v>17.8</v>
      </c>
      <c r="E31" s="56">
        <v>86.9</v>
      </c>
    </row>
    <row r="32" spans="2:5" ht="15" customHeight="1">
      <c r="B32" s="54" t="s">
        <v>70</v>
      </c>
      <c r="C32" s="55" t="s">
        <v>71</v>
      </c>
      <c r="D32" s="56">
        <v>24.7</v>
      </c>
      <c r="E32" s="56">
        <v>81.5</v>
      </c>
    </row>
    <row r="33" spans="2:5" ht="15" customHeight="1">
      <c r="B33" s="54" t="s">
        <v>72</v>
      </c>
      <c r="C33" s="55" t="s">
        <v>73</v>
      </c>
      <c r="D33" s="56">
        <v>23.8</v>
      </c>
      <c r="E33" s="56">
        <v>77.400000000000006</v>
      </c>
    </row>
    <row r="34" spans="2:5" ht="15" customHeight="1">
      <c r="B34" s="54" t="s">
        <v>74</v>
      </c>
      <c r="C34" s="55" t="s">
        <v>75</v>
      </c>
      <c r="D34" s="56">
        <v>13</v>
      </c>
      <c r="E34" s="56">
        <v>123.8</v>
      </c>
    </row>
    <row r="35" spans="2:5" ht="15" customHeight="1">
      <c r="B35" s="54" t="s">
        <v>76</v>
      </c>
      <c r="C35" s="55" t="s">
        <v>77</v>
      </c>
      <c r="D35" s="56">
        <v>12</v>
      </c>
      <c r="E35" s="56">
        <v>78.900000000000006</v>
      </c>
    </row>
    <row r="36" spans="2:5" ht="15" customHeight="1">
      <c r="B36" s="54" t="s">
        <v>78</v>
      </c>
      <c r="C36" s="55" t="s">
        <v>79</v>
      </c>
      <c r="D36" s="56">
        <v>25.6</v>
      </c>
      <c r="E36" s="56">
        <v>79</v>
      </c>
    </row>
    <row r="37" spans="2:5" ht="15" customHeight="1">
      <c r="B37" s="54" t="s">
        <v>80</v>
      </c>
      <c r="C37" s="55" t="s">
        <v>81</v>
      </c>
      <c r="D37" s="56">
        <v>18.399999999999999</v>
      </c>
      <c r="E37" s="56">
        <v>83.8</v>
      </c>
    </row>
    <row r="38" spans="2:5" ht="15" customHeight="1">
      <c r="B38" s="54" t="s">
        <v>82</v>
      </c>
      <c r="C38" s="55" t="s">
        <v>83</v>
      </c>
      <c r="D38" s="56">
        <v>17.399999999999999</v>
      </c>
      <c r="E38" s="56">
        <v>86.1</v>
      </c>
    </row>
    <row r="39" spans="2:5" ht="15" customHeight="1">
      <c r="B39" s="54" t="s">
        <v>84</v>
      </c>
      <c r="C39" s="55" t="s">
        <v>85</v>
      </c>
      <c r="D39" s="56">
        <v>17.5</v>
      </c>
      <c r="E39" s="56">
        <v>83.7</v>
      </c>
    </row>
    <row r="40" spans="2:5" ht="15" customHeight="1">
      <c r="B40" s="54" t="s">
        <v>86</v>
      </c>
      <c r="C40" s="55" t="s">
        <v>87</v>
      </c>
      <c r="D40" s="56">
        <v>23.7</v>
      </c>
      <c r="E40" s="56">
        <v>80.3</v>
      </c>
    </row>
    <row r="41" spans="2:5" ht="15" customHeight="1">
      <c r="B41" s="54" t="s">
        <v>88</v>
      </c>
      <c r="C41" s="55" t="s">
        <v>89</v>
      </c>
      <c r="D41" s="56">
        <v>12.8</v>
      </c>
      <c r="E41" s="56">
        <v>78.900000000000006</v>
      </c>
    </row>
    <row r="42" spans="2:5" ht="15" customHeight="1">
      <c r="B42" s="54" t="s">
        <v>90</v>
      </c>
      <c r="C42" s="55" t="s">
        <v>91</v>
      </c>
      <c r="D42" s="56">
        <v>12.1</v>
      </c>
      <c r="E42" s="56">
        <v>78.3</v>
      </c>
    </row>
    <row r="43" spans="2:5" ht="15" customHeight="1">
      <c r="B43" s="54" t="s">
        <v>92</v>
      </c>
      <c r="C43" s="55" t="s">
        <v>93</v>
      </c>
      <c r="D43" s="56">
        <v>15.7</v>
      </c>
      <c r="E43" s="56">
        <v>79.3</v>
      </c>
    </row>
    <row r="44" spans="2:5" ht="15" customHeight="1">
      <c r="B44" s="54" t="s">
        <v>94</v>
      </c>
      <c r="C44" s="55" t="s">
        <v>95</v>
      </c>
      <c r="D44" s="56">
        <v>14</v>
      </c>
      <c r="E44" s="56">
        <v>80.900000000000006</v>
      </c>
    </row>
    <row r="45" spans="2:5" ht="15" customHeight="1">
      <c r="B45" s="54" t="s">
        <v>96</v>
      </c>
      <c r="C45" s="55" t="s">
        <v>97</v>
      </c>
      <c r="D45" s="56">
        <v>16</v>
      </c>
      <c r="E45" s="56">
        <v>100.9</v>
      </c>
    </row>
    <row r="46" spans="2:5" ht="15" customHeight="1">
      <c r="B46" s="54" t="s">
        <v>98</v>
      </c>
      <c r="C46" s="55" t="s">
        <v>99</v>
      </c>
      <c r="D46" s="56">
        <v>11.8</v>
      </c>
      <c r="E46" s="56">
        <v>91.1</v>
      </c>
    </row>
    <row r="47" spans="2:5" ht="15" customHeight="1">
      <c r="B47" s="54" t="s">
        <v>100</v>
      </c>
      <c r="C47" s="55" t="s">
        <v>101</v>
      </c>
      <c r="D47" s="56">
        <v>15.2</v>
      </c>
      <c r="E47" s="56">
        <v>87.3</v>
      </c>
    </row>
    <row r="48" spans="2:5" ht="15" customHeight="1">
      <c r="B48" s="54" t="s">
        <v>102</v>
      </c>
      <c r="C48" s="55" t="s">
        <v>103</v>
      </c>
      <c r="D48" s="56">
        <v>19.2</v>
      </c>
      <c r="E48" s="56">
        <v>114.7</v>
      </c>
    </row>
    <row r="49" spans="2:5" ht="15" customHeight="1">
      <c r="B49" s="54" t="s">
        <v>104</v>
      </c>
      <c r="C49" s="55" t="s">
        <v>105</v>
      </c>
      <c r="D49" s="56">
        <v>16.7</v>
      </c>
      <c r="E49" s="56">
        <v>83.3</v>
      </c>
    </row>
    <row r="50" spans="2:5" ht="15" customHeight="1">
      <c r="B50" s="54" t="s">
        <v>106</v>
      </c>
      <c r="C50" s="55" t="s">
        <v>107</v>
      </c>
      <c r="D50" s="56">
        <v>27.4</v>
      </c>
      <c r="E50" s="56">
        <v>81</v>
      </c>
    </row>
    <row r="51" spans="2:5" ht="15" customHeight="1">
      <c r="B51" s="54" t="s">
        <v>108</v>
      </c>
      <c r="C51" s="55" t="s">
        <v>109</v>
      </c>
      <c r="D51" s="56">
        <v>30.4</v>
      </c>
      <c r="E51" s="56">
        <v>76.400000000000006</v>
      </c>
    </row>
    <row r="52" spans="2:5" ht="15" customHeight="1">
      <c r="B52" s="54" t="s">
        <v>110</v>
      </c>
      <c r="C52" s="55" t="s">
        <v>111</v>
      </c>
      <c r="D52" s="56">
        <v>38.700000000000003</v>
      </c>
      <c r="E52" s="56">
        <v>76.099999999999994</v>
      </c>
    </row>
    <row r="53" spans="2:5" ht="15" customHeight="1">
      <c r="B53" s="54" t="s">
        <v>112</v>
      </c>
      <c r="C53" s="55" t="s">
        <v>113</v>
      </c>
      <c r="D53" s="56">
        <v>22.7</v>
      </c>
      <c r="E53" s="56">
        <v>82.6</v>
      </c>
    </row>
    <row r="54" spans="2:5" ht="15" customHeight="1">
      <c r="B54" s="54" t="s">
        <v>114</v>
      </c>
      <c r="C54" s="55" t="s">
        <v>115</v>
      </c>
      <c r="D54" s="56">
        <v>22.8</v>
      </c>
      <c r="E54" s="56">
        <v>90.9</v>
      </c>
    </row>
    <row r="55" spans="2:5" ht="15" customHeight="1">
      <c r="B55" s="54" t="s">
        <v>116</v>
      </c>
      <c r="C55" s="55" t="s">
        <v>117</v>
      </c>
      <c r="D55" s="56">
        <v>4.8</v>
      </c>
      <c r="E55" s="56">
        <v>134.80000000000001</v>
      </c>
    </row>
    <row r="56" spans="2:5" ht="15" customHeight="1">
      <c r="B56" s="54" t="s">
        <v>118</v>
      </c>
      <c r="C56" s="55" t="s">
        <v>119</v>
      </c>
      <c r="D56" s="56">
        <v>15.5</v>
      </c>
      <c r="E56" s="56">
        <v>87.9</v>
      </c>
    </row>
    <row r="57" spans="2:5" ht="15" customHeight="1">
      <c r="B57" s="54" t="s">
        <v>120</v>
      </c>
      <c r="C57" s="55" t="s">
        <v>121</v>
      </c>
      <c r="D57" s="56">
        <v>15.8</v>
      </c>
      <c r="E57" s="56">
        <v>95.2</v>
      </c>
    </row>
    <row r="58" spans="2:5" ht="15" customHeight="1">
      <c r="B58" s="54" t="s">
        <v>122</v>
      </c>
      <c r="C58" s="55" t="s">
        <v>123</v>
      </c>
      <c r="D58" s="56">
        <v>12.4</v>
      </c>
      <c r="E58" s="56">
        <v>83.5</v>
      </c>
    </row>
    <row r="59" spans="2:5" ht="15" customHeight="1">
      <c r="B59" s="54" t="s">
        <v>124</v>
      </c>
      <c r="C59" s="55" t="s">
        <v>125</v>
      </c>
      <c r="D59" s="56">
        <v>12.8</v>
      </c>
      <c r="E59" s="56">
        <v>110.5</v>
      </c>
    </row>
    <row r="60" spans="2:5" ht="15" customHeight="1">
      <c r="B60" s="54" t="s">
        <v>126</v>
      </c>
      <c r="C60" s="55" t="s">
        <v>127</v>
      </c>
      <c r="D60" s="56">
        <v>9.6999999999999993</v>
      </c>
      <c r="E60" s="56">
        <v>93.6</v>
      </c>
    </row>
    <row r="61" spans="2:5" ht="15" customHeight="1">
      <c r="B61" s="54" t="s">
        <v>128</v>
      </c>
      <c r="C61" s="55" t="s">
        <v>129</v>
      </c>
      <c r="D61" s="56">
        <v>17.3</v>
      </c>
      <c r="E61" s="56">
        <v>90.4</v>
      </c>
    </row>
    <row r="62" spans="2:5" ht="15" customHeight="1">
      <c r="B62" s="54" t="s">
        <v>130</v>
      </c>
      <c r="C62" s="55" t="s">
        <v>131</v>
      </c>
      <c r="D62" s="56">
        <v>7.6</v>
      </c>
      <c r="E62" s="56">
        <v>103.1</v>
      </c>
    </row>
    <row r="63" spans="2:5" ht="15" customHeight="1">
      <c r="B63" s="54" t="s">
        <v>132</v>
      </c>
      <c r="C63" s="55" t="s">
        <v>133</v>
      </c>
      <c r="D63" s="56">
        <v>8.1999999999999993</v>
      </c>
      <c r="E63" s="56">
        <v>94</v>
      </c>
    </row>
    <row r="64" spans="2:5" ht="15" customHeight="1">
      <c r="B64" s="54" t="s">
        <v>134</v>
      </c>
      <c r="C64" s="55" t="s">
        <v>135</v>
      </c>
      <c r="D64" s="56">
        <v>8.1999999999999993</v>
      </c>
      <c r="E64" s="56">
        <v>100.4</v>
      </c>
    </row>
    <row r="65" spans="2:5" ht="15" customHeight="1">
      <c r="B65" s="54" t="s">
        <v>136</v>
      </c>
      <c r="C65" s="55" t="s">
        <v>137</v>
      </c>
      <c r="D65" s="56">
        <v>8.5</v>
      </c>
      <c r="E65" s="56">
        <v>121.9</v>
      </c>
    </row>
    <row r="66" spans="2:5" ht="15" customHeight="1">
      <c r="B66" s="54" t="s">
        <v>138</v>
      </c>
      <c r="C66" s="55" t="s">
        <v>139</v>
      </c>
      <c r="D66" s="56">
        <v>11.5</v>
      </c>
      <c r="E66" s="56">
        <v>97.2</v>
      </c>
    </row>
    <row r="67" spans="2:5" ht="15" customHeight="1">
      <c r="B67" s="54" t="s">
        <v>140</v>
      </c>
      <c r="C67" s="55" t="s">
        <v>141</v>
      </c>
      <c r="D67" s="56">
        <v>6.8</v>
      </c>
      <c r="E67" s="56">
        <v>106.2</v>
      </c>
    </row>
    <row r="68" spans="2:5" ht="15" customHeight="1">
      <c r="B68" s="54" t="s">
        <v>142</v>
      </c>
      <c r="C68" s="55" t="s">
        <v>143</v>
      </c>
      <c r="D68" s="56">
        <v>16.399999999999999</v>
      </c>
      <c r="E68" s="56">
        <v>93.5</v>
      </c>
    </row>
    <row r="69" spans="2:5" ht="15" customHeight="1">
      <c r="B69" s="54" t="s">
        <v>144</v>
      </c>
      <c r="C69" s="55" t="s">
        <v>145</v>
      </c>
      <c r="D69" s="56">
        <v>11</v>
      </c>
      <c r="E69" s="56">
        <v>83.3</v>
      </c>
    </row>
    <row r="70" spans="2:5" ht="15" customHeight="1">
      <c r="B70" s="54" t="s">
        <v>146</v>
      </c>
      <c r="C70" s="55" t="s">
        <v>147</v>
      </c>
      <c r="D70" s="56">
        <v>10.3</v>
      </c>
      <c r="E70" s="56">
        <v>96.9</v>
      </c>
    </row>
    <row r="71" spans="2:5" ht="15" customHeight="1">
      <c r="B71" s="54" t="s">
        <v>148</v>
      </c>
      <c r="C71" s="55" t="s">
        <v>149</v>
      </c>
      <c r="D71" s="56">
        <v>11.7</v>
      </c>
      <c r="E71" s="56">
        <v>76.900000000000006</v>
      </c>
    </row>
    <row r="72" spans="2:5" ht="15" customHeight="1">
      <c r="B72" s="54" t="s">
        <v>150</v>
      </c>
      <c r="C72" s="55" t="s">
        <v>151</v>
      </c>
      <c r="D72" s="56">
        <v>13.5</v>
      </c>
      <c r="E72" s="56">
        <v>75.2</v>
      </c>
    </row>
    <row r="73" spans="2:5" ht="15" customHeight="1">
      <c r="B73" s="54" t="s">
        <v>152</v>
      </c>
      <c r="C73" s="55" t="s">
        <v>153</v>
      </c>
      <c r="D73" s="56">
        <v>12.9</v>
      </c>
      <c r="E73" s="56">
        <v>77.900000000000006</v>
      </c>
    </row>
    <row r="74" spans="2:5" ht="15" customHeight="1">
      <c r="B74" s="54" t="s">
        <v>154</v>
      </c>
      <c r="C74" s="55" t="s">
        <v>155</v>
      </c>
      <c r="D74" s="56">
        <v>12.4</v>
      </c>
      <c r="E74" s="56">
        <v>89.7</v>
      </c>
    </row>
    <row r="75" spans="2:5" ht="15" customHeight="1">
      <c r="B75" s="54" t="s">
        <v>156</v>
      </c>
      <c r="C75" s="55" t="s">
        <v>157</v>
      </c>
      <c r="D75" s="56">
        <v>5.8</v>
      </c>
      <c r="E75" s="56">
        <v>103.1</v>
      </c>
    </row>
    <row r="76" spans="2:5" ht="15" customHeight="1">
      <c r="B76" s="54" t="s">
        <v>158</v>
      </c>
      <c r="C76" s="55" t="s">
        <v>159</v>
      </c>
      <c r="D76" s="56">
        <v>14.7</v>
      </c>
      <c r="E76" s="56">
        <v>75.3</v>
      </c>
    </row>
    <row r="77" spans="2:5" ht="15" customHeight="1">
      <c r="B77" s="54" t="s">
        <v>160</v>
      </c>
      <c r="C77" s="55" t="s">
        <v>161</v>
      </c>
      <c r="D77" s="56">
        <v>18.600000000000001</v>
      </c>
      <c r="E77" s="56">
        <v>77.2</v>
      </c>
    </row>
    <row r="78" spans="2:5" ht="15" customHeight="1">
      <c r="B78" s="54" t="s">
        <v>162</v>
      </c>
      <c r="C78" s="55" t="s">
        <v>163</v>
      </c>
      <c r="D78" s="56">
        <v>17.600000000000001</v>
      </c>
      <c r="E78" s="56">
        <v>74.099999999999994</v>
      </c>
    </row>
    <row r="79" spans="2:5" ht="15" customHeight="1">
      <c r="B79" s="54" t="s">
        <v>164</v>
      </c>
      <c r="C79" s="55" t="s">
        <v>165</v>
      </c>
      <c r="D79" s="56">
        <v>14.9</v>
      </c>
      <c r="E79" s="56">
        <v>74.3</v>
      </c>
    </row>
    <row r="80" spans="2:5" ht="15" customHeight="1">
      <c r="B80" s="54" t="s">
        <v>166</v>
      </c>
      <c r="C80" s="55" t="s">
        <v>167</v>
      </c>
      <c r="D80" s="56">
        <v>13.6</v>
      </c>
      <c r="E80" s="56">
        <v>84.5</v>
      </c>
    </row>
    <row r="81" spans="2:5" ht="15" customHeight="1">
      <c r="B81" s="54" t="s">
        <v>168</v>
      </c>
      <c r="C81" s="55" t="s">
        <v>169</v>
      </c>
      <c r="D81" s="56">
        <v>10.7</v>
      </c>
      <c r="E81" s="56">
        <v>79.900000000000006</v>
      </c>
    </row>
    <row r="82" spans="2:5" ht="15" customHeight="1">
      <c r="B82" s="54" t="s">
        <v>170</v>
      </c>
      <c r="C82" s="55" t="s">
        <v>171</v>
      </c>
      <c r="D82" s="56">
        <v>16.399999999999999</v>
      </c>
      <c r="E82" s="56">
        <v>85.7</v>
      </c>
    </row>
    <row r="83" spans="2:5" ht="15" customHeight="1">
      <c r="B83" s="54" t="s">
        <v>172</v>
      </c>
      <c r="C83" s="55" t="s">
        <v>173</v>
      </c>
      <c r="D83" s="56">
        <v>15.1</v>
      </c>
      <c r="E83" s="56">
        <v>91.5</v>
      </c>
    </row>
    <row r="84" spans="2:5" ht="15" customHeight="1">
      <c r="B84" s="54" t="s">
        <v>174</v>
      </c>
      <c r="C84" s="55" t="s">
        <v>175</v>
      </c>
      <c r="D84" s="56">
        <v>13.9</v>
      </c>
      <c r="E84" s="56">
        <v>87.3</v>
      </c>
    </row>
    <row r="85" spans="2:5" ht="15" customHeight="1">
      <c r="B85" s="54" t="s">
        <v>176</v>
      </c>
      <c r="C85" s="55" t="s">
        <v>177</v>
      </c>
      <c r="D85" s="56">
        <v>12.6</v>
      </c>
      <c r="E85" s="56">
        <v>79.3</v>
      </c>
    </row>
    <row r="86" spans="2:5" ht="15" customHeight="1">
      <c r="B86" s="54" t="s">
        <v>178</v>
      </c>
      <c r="C86" s="55" t="s">
        <v>179</v>
      </c>
      <c r="D86" s="56">
        <v>13.3</v>
      </c>
      <c r="E86" s="56">
        <v>75.5</v>
      </c>
    </row>
    <row r="87" spans="2:5" ht="15" customHeight="1">
      <c r="B87" s="54" t="s">
        <v>180</v>
      </c>
      <c r="C87" s="55" t="s">
        <v>181</v>
      </c>
      <c r="D87" s="56">
        <v>13.6</v>
      </c>
      <c r="E87" s="56">
        <v>75.5</v>
      </c>
    </row>
    <row r="88" spans="2:5" ht="15" customHeight="1">
      <c r="B88" s="54" t="s">
        <v>182</v>
      </c>
      <c r="C88" s="55" t="s">
        <v>183</v>
      </c>
      <c r="D88" s="56">
        <v>20.3</v>
      </c>
      <c r="E88" s="56">
        <v>78.8</v>
      </c>
    </row>
    <row r="89" spans="2:5" ht="15" customHeight="1">
      <c r="B89" s="54" t="s">
        <v>184</v>
      </c>
      <c r="C89" s="55" t="s">
        <v>185</v>
      </c>
      <c r="D89" s="56">
        <v>15.3</v>
      </c>
      <c r="E89" s="56">
        <v>72.900000000000006</v>
      </c>
    </row>
    <row r="90" spans="2:5" ht="15" customHeight="1">
      <c r="B90" s="54" t="s">
        <v>186</v>
      </c>
      <c r="C90" s="55" t="s">
        <v>187</v>
      </c>
      <c r="D90" s="56">
        <v>10.5</v>
      </c>
      <c r="E90" s="56">
        <v>88.9</v>
      </c>
    </row>
    <row r="91" spans="2:5" ht="15" customHeight="1">
      <c r="B91" s="54" t="s">
        <v>188</v>
      </c>
      <c r="C91" s="55" t="s">
        <v>189</v>
      </c>
      <c r="D91" s="56">
        <v>10.5</v>
      </c>
      <c r="E91" s="56">
        <v>86.2</v>
      </c>
    </row>
    <row r="92" spans="2:5" ht="15" customHeight="1">
      <c r="B92" s="54" t="s">
        <v>190</v>
      </c>
      <c r="C92" s="55" t="s">
        <v>191</v>
      </c>
      <c r="D92" s="56">
        <v>11.1</v>
      </c>
      <c r="E92" s="56">
        <v>82</v>
      </c>
    </row>
    <row r="93" spans="2:5" ht="15" customHeight="1">
      <c r="B93" s="54" t="s">
        <v>192</v>
      </c>
      <c r="C93" s="55" t="s">
        <v>193</v>
      </c>
      <c r="D93" s="56">
        <v>15.9</v>
      </c>
      <c r="E93" s="56">
        <v>99.2</v>
      </c>
    </row>
    <row r="94" spans="2:5" ht="15" customHeight="1">
      <c r="B94" s="54" t="s">
        <v>194</v>
      </c>
      <c r="C94" s="55" t="s">
        <v>195</v>
      </c>
      <c r="D94" s="56">
        <v>6.3</v>
      </c>
      <c r="E94" s="56">
        <v>97.5</v>
      </c>
    </row>
    <row r="95" spans="2:5" ht="15" customHeight="1">
      <c r="B95" s="54" t="s">
        <v>196</v>
      </c>
      <c r="C95" s="55" t="s">
        <v>197</v>
      </c>
      <c r="D95" s="56">
        <v>13.7</v>
      </c>
      <c r="E95" s="56">
        <v>81.900000000000006</v>
      </c>
    </row>
    <row r="96" spans="2:5" ht="15" customHeight="1">
      <c r="B96" s="54" t="s">
        <v>198</v>
      </c>
      <c r="C96" s="55" t="s">
        <v>199</v>
      </c>
      <c r="D96" s="56">
        <v>12</v>
      </c>
      <c r="E96" s="56">
        <v>82.4</v>
      </c>
    </row>
    <row r="97" spans="2:5" ht="15" customHeight="1">
      <c r="B97" s="54" t="s">
        <v>200</v>
      </c>
      <c r="C97" s="55" t="s">
        <v>201</v>
      </c>
      <c r="D97" s="56">
        <v>21.1</v>
      </c>
      <c r="E97" s="56">
        <v>89.3</v>
      </c>
    </row>
    <row r="98" spans="2:5" ht="15" customHeight="1">
      <c r="B98" s="54" t="s">
        <v>202</v>
      </c>
      <c r="C98" s="55" t="s">
        <v>203</v>
      </c>
      <c r="D98" s="56">
        <v>17</v>
      </c>
      <c r="E98" s="56">
        <v>85.9</v>
      </c>
    </row>
    <row r="99" spans="2:5" ht="15" customHeight="1">
      <c r="B99" s="54" t="s">
        <v>204</v>
      </c>
      <c r="C99" s="55" t="s">
        <v>205</v>
      </c>
      <c r="D99" s="56">
        <v>21.3</v>
      </c>
      <c r="E99" s="56">
        <v>75.8</v>
      </c>
    </row>
    <row r="100" spans="2:5" ht="15" customHeight="1">
      <c r="B100" s="54" t="s">
        <v>206</v>
      </c>
      <c r="C100" s="55" t="s">
        <v>207</v>
      </c>
      <c r="D100" s="56">
        <v>15</v>
      </c>
      <c r="E100" s="56">
        <v>72</v>
      </c>
    </row>
    <row r="101" spans="2:5" ht="15" customHeight="1">
      <c r="B101" s="54" t="s">
        <v>208</v>
      </c>
      <c r="C101" s="55" t="s">
        <v>209</v>
      </c>
      <c r="D101" s="56">
        <v>19.7</v>
      </c>
      <c r="E101" s="56">
        <v>79.400000000000006</v>
      </c>
    </row>
    <row r="102" spans="2:5" ht="15" customHeight="1">
      <c r="B102" s="54" t="s">
        <v>210</v>
      </c>
      <c r="C102" s="55" t="s">
        <v>211</v>
      </c>
      <c r="D102" s="56">
        <v>13.8</v>
      </c>
      <c r="E102" s="56">
        <v>88.9</v>
      </c>
    </row>
    <row r="103" spans="2:5" ht="15" customHeight="1">
      <c r="B103" s="54" t="s">
        <v>212</v>
      </c>
      <c r="C103" s="55" t="s">
        <v>213</v>
      </c>
      <c r="D103" s="56">
        <v>10.7</v>
      </c>
      <c r="E103" s="56">
        <v>81.3</v>
      </c>
    </row>
    <row r="104" spans="2:5" ht="15" customHeight="1">
      <c r="B104" s="54" t="s">
        <v>214</v>
      </c>
      <c r="C104" s="55" t="s">
        <v>215</v>
      </c>
      <c r="D104" s="56">
        <v>7.5</v>
      </c>
      <c r="E104" s="56">
        <v>111.7</v>
      </c>
    </row>
    <row r="105" spans="2:5" ht="15" customHeight="1">
      <c r="B105" s="54" t="s">
        <v>216</v>
      </c>
      <c r="C105" s="55" t="s">
        <v>217</v>
      </c>
      <c r="D105" s="56">
        <v>14</v>
      </c>
      <c r="E105" s="56">
        <v>94.7</v>
      </c>
    </row>
    <row r="106" spans="2:5" ht="15" customHeight="1">
      <c r="B106" s="54" t="s">
        <v>218</v>
      </c>
      <c r="C106" s="55" t="s">
        <v>219</v>
      </c>
      <c r="D106" s="56">
        <v>12.1</v>
      </c>
      <c r="E106" s="56">
        <v>91.3</v>
      </c>
    </row>
    <row r="107" spans="2:5" ht="15" customHeight="1">
      <c r="B107" s="54" t="s">
        <v>220</v>
      </c>
      <c r="C107" s="55" t="s">
        <v>221</v>
      </c>
      <c r="D107" s="56">
        <v>5.4</v>
      </c>
      <c r="E107" s="56">
        <v>135.9</v>
      </c>
    </row>
    <row r="108" spans="2:5" ht="15" customHeight="1">
      <c r="B108" s="54" t="s">
        <v>222</v>
      </c>
      <c r="C108" s="55" t="s">
        <v>223</v>
      </c>
      <c r="D108" s="56">
        <v>9.5</v>
      </c>
      <c r="E108" s="56">
        <v>93.3</v>
      </c>
    </row>
    <row r="109" spans="2:5" ht="15" customHeight="1">
      <c r="B109" s="54" t="s">
        <v>224</v>
      </c>
      <c r="C109" s="55" t="s">
        <v>225</v>
      </c>
      <c r="D109" s="56">
        <v>9.4</v>
      </c>
      <c r="E109" s="56">
        <v>87.6</v>
      </c>
    </row>
    <row r="110" spans="2:5" ht="15" customHeight="1">
      <c r="B110" s="54" t="s">
        <v>226</v>
      </c>
      <c r="C110" s="55" t="s">
        <v>227</v>
      </c>
      <c r="D110" s="56">
        <v>15.1</v>
      </c>
      <c r="E110" s="56">
        <v>89.5</v>
      </c>
    </row>
    <row r="111" spans="2:5" ht="15" customHeight="1">
      <c r="B111" s="54" t="s">
        <v>228</v>
      </c>
      <c r="C111" s="55" t="s">
        <v>229</v>
      </c>
      <c r="D111" s="56">
        <v>18.8</v>
      </c>
      <c r="E111" s="56">
        <v>78</v>
      </c>
    </row>
    <row r="112" spans="2:5" ht="15" customHeight="1">
      <c r="B112" s="54" t="s">
        <v>230</v>
      </c>
      <c r="C112" s="55" t="s">
        <v>231</v>
      </c>
      <c r="D112" s="56">
        <v>8.6</v>
      </c>
      <c r="E112" s="56">
        <v>88.3</v>
      </c>
    </row>
    <row r="113" spans="2:5" ht="15" customHeight="1">
      <c r="B113" s="54" t="s">
        <v>232</v>
      </c>
      <c r="C113" s="55" t="s">
        <v>233</v>
      </c>
      <c r="D113" s="56">
        <v>13.4</v>
      </c>
      <c r="E113" s="56">
        <v>86.3</v>
      </c>
    </row>
    <row r="114" spans="2:5" ht="15" customHeight="1">
      <c r="B114" s="54" t="s">
        <v>234</v>
      </c>
      <c r="C114" s="55" t="s">
        <v>235</v>
      </c>
      <c r="D114" s="56">
        <v>11.8</v>
      </c>
      <c r="E114" s="56">
        <v>77.400000000000006</v>
      </c>
    </row>
    <row r="115" spans="2:5" ht="15" customHeight="1">
      <c r="B115" s="54" t="s">
        <v>236</v>
      </c>
      <c r="C115" s="55" t="s">
        <v>237</v>
      </c>
      <c r="D115" s="56">
        <v>10.1</v>
      </c>
      <c r="E115" s="56">
        <v>164.7</v>
      </c>
    </row>
    <row r="116" spans="2:5" ht="15" customHeight="1">
      <c r="B116" s="54" t="s">
        <v>238</v>
      </c>
      <c r="C116" s="55" t="s">
        <v>239</v>
      </c>
      <c r="D116" s="56">
        <v>8.5</v>
      </c>
      <c r="E116" s="56">
        <v>90.5</v>
      </c>
    </row>
    <row r="117" spans="2:5" ht="15" customHeight="1">
      <c r="B117" s="54" t="s">
        <v>240</v>
      </c>
      <c r="C117" s="55" t="s">
        <v>241</v>
      </c>
      <c r="D117" s="56">
        <v>10.8</v>
      </c>
      <c r="E117" s="56">
        <v>87.5</v>
      </c>
    </row>
    <row r="118" spans="2:5" ht="15" customHeight="1">
      <c r="B118" s="54" t="s">
        <v>242</v>
      </c>
      <c r="C118" s="55" t="s">
        <v>243</v>
      </c>
      <c r="D118" s="56">
        <v>16.399999999999999</v>
      </c>
      <c r="E118" s="56">
        <v>83.3</v>
      </c>
    </row>
    <row r="119" spans="2:5" ht="15" customHeight="1">
      <c r="B119" s="54" t="s">
        <v>244</v>
      </c>
      <c r="C119" s="55" t="s">
        <v>245</v>
      </c>
      <c r="D119" s="56">
        <v>17.8</v>
      </c>
      <c r="E119" s="56">
        <v>85.1</v>
      </c>
    </row>
    <row r="120" spans="2:5" ht="15" customHeight="1">
      <c r="B120" s="54" t="s">
        <v>246</v>
      </c>
      <c r="C120" s="55" t="s">
        <v>247</v>
      </c>
      <c r="D120" s="56">
        <v>12.3</v>
      </c>
      <c r="E120" s="56">
        <v>111.5</v>
      </c>
    </row>
    <row r="121" spans="2:5" ht="15" customHeight="1">
      <c r="B121" s="54" t="s">
        <v>248</v>
      </c>
      <c r="C121" s="55" t="s">
        <v>249</v>
      </c>
      <c r="D121" s="56">
        <v>11</v>
      </c>
      <c r="E121" s="56">
        <v>121.3</v>
      </c>
    </row>
    <row r="122" spans="2:5" ht="15" customHeight="1">
      <c r="B122" s="54" t="s">
        <v>250</v>
      </c>
      <c r="C122" s="55" t="s">
        <v>251</v>
      </c>
      <c r="D122" s="56">
        <v>14.8</v>
      </c>
      <c r="E122" s="56">
        <v>89.8</v>
      </c>
    </row>
    <row r="123" spans="2:5" ht="15" customHeight="1">
      <c r="B123" s="54" t="s">
        <v>252</v>
      </c>
      <c r="C123" s="55" t="s">
        <v>253</v>
      </c>
      <c r="D123" s="56">
        <v>8.3000000000000007</v>
      </c>
      <c r="E123" s="56">
        <v>86</v>
      </c>
    </row>
    <row r="124" spans="2:5" ht="15" customHeight="1">
      <c r="B124" s="54" t="s">
        <v>254</v>
      </c>
      <c r="C124" s="55" t="s">
        <v>255</v>
      </c>
      <c r="D124" s="56">
        <v>7.1</v>
      </c>
      <c r="E124" s="56">
        <v>81.2</v>
      </c>
    </row>
    <row r="125" spans="2:5" ht="15" customHeight="1">
      <c r="B125" s="54" t="s">
        <v>256</v>
      </c>
      <c r="C125" s="55" t="s">
        <v>257</v>
      </c>
      <c r="D125" s="56">
        <v>6.2</v>
      </c>
      <c r="E125" s="56">
        <v>89.3</v>
      </c>
    </row>
    <row r="126" spans="2:5" ht="15" customHeight="1">
      <c r="B126" s="54" t="s">
        <v>258</v>
      </c>
      <c r="C126" s="55" t="s">
        <v>259</v>
      </c>
      <c r="D126" s="56">
        <v>7</v>
      </c>
      <c r="E126" s="56">
        <v>95.2</v>
      </c>
    </row>
    <row r="127" spans="2:5" ht="15" customHeight="1">
      <c r="B127" s="54" t="s">
        <v>260</v>
      </c>
      <c r="C127" s="55" t="s">
        <v>261</v>
      </c>
      <c r="D127" s="56">
        <v>15.8</v>
      </c>
      <c r="E127" s="56">
        <v>76.099999999999994</v>
      </c>
    </row>
    <row r="128" spans="2:5" ht="15" customHeight="1">
      <c r="B128" s="54" t="s">
        <v>262</v>
      </c>
      <c r="C128" s="55" t="s">
        <v>263</v>
      </c>
      <c r="D128" s="56">
        <v>15.3</v>
      </c>
      <c r="E128" s="56">
        <v>78.3</v>
      </c>
    </row>
    <row r="129" spans="2:5" ht="15" customHeight="1">
      <c r="B129" s="54" t="s">
        <v>264</v>
      </c>
      <c r="C129" s="55" t="s">
        <v>265</v>
      </c>
      <c r="D129" s="56">
        <v>15.3</v>
      </c>
      <c r="E129" s="56">
        <v>81.7</v>
      </c>
    </row>
    <row r="130" spans="2:5" ht="15" customHeight="1">
      <c r="B130" s="54" t="s">
        <v>266</v>
      </c>
      <c r="C130" s="55" t="s">
        <v>267</v>
      </c>
      <c r="D130" s="56">
        <v>25</v>
      </c>
      <c r="E130" s="56">
        <v>79.3</v>
      </c>
    </row>
    <row r="131" spans="2:5" ht="15" customHeight="1">
      <c r="B131" s="54" t="s">
        <v>268</v>
      </c>
      <c r="C131" s="55" t="s">
        <v>269</v>
      </c>
      <c r="D131" s="56">
        <v>16.399999999999999</v>
      </c>
      <c r="E131" s="56">
        <v>89.3</v>
      </c>
    </row>
    <row r="132" spans="2:5" ht="15" customHeight="1">
      <c r="B132" s="54" t="s">
        <v>270</v>
      </c>
      <c r="C132" s="55" t="s">
        <v>271</v>
      </c>
      <c r="D132" s="56">
        <v>9.4</v>
      </c>
      <c r="E132" s="56">
        <v>79.599999999999994</v>
      </c>
    </row>
    <row r="133" spans="2:5" ht="15" customHeight="1">
      <c r="B133" s="54" t="s">
        <v>272</v>
      </c>
      <c r="C133" s="55" t="s">
        <v>273</v>
      </c>
      <c r="D133" s="56">
        <v>20.3</v>
      </c>
      <c r="E133" s="56">
        <v>77.900000000000006</v>
      </c>
    </row>
    <row r="134" spans="2:5" ht="15" customHeight="1">
      <c r="B134" s="54" t="s">
        <v>274</v>
      </c>
      <c r="C134" s="55" t="s">
        <v>275</v>
      </c>
      <c r="D134" s="56">
        <v>20.3</v>
      </c>
      <c r="E134" s="56">
        <v>80.400000000000006</v>
      </c>
    </row>
    <row r="135" spans="2:5" ht="15" customHeight="1">
      <c r="B135" s="54" t="s">
        <v>276</v>
      </c>
      <c r="C135" s="55" t="s">
        <v>277</v>
      </c>
      <c r="D135" s="56">
        <v>17</v>
      </c>
      <c r="E135" s="56">
        <v>80.7</v>
      </c>
    </row>
    <row r="136" spans="2:5" ht="15" customHeight="1">
      <c r="B136" s="54" t="s">
        <v>278</v>
      </c>
      <c r="C136" s="55" t="s">
        <v>31</v>
      </c>
      <c r="D136" s="56">
        <v>15.8</v>
      </c>
      <c r="E136" s="56">
        <v>75.599999999999994</v>
      </c>
    </row>
    <row r="137" spans="2:5" ht="15" customHeight="1">
      <c r="B137" s="54" t="s">
        <v>279</v>
      </c>
      <c r="C137" s="55" t="s">
        <v>280</v>
      </c>
      <c r="D137" s="56">
        <v>16.2</v>
      </c>
      <c r="E137" s="56">
        <v>74</v>
      </c>
    </row>
    <row r="138" spans="2:5" ht="15" customHeight="1">
      <c r="B138" s="54" t="s">
        <v>281</v>
      </c>
      <c r="C138" s="55" t="s">
        <v>282</v>
      </c>
      <c r="D138" s="56">
        <v>18.3</v>
      </c>
      <c r="E138" s="56">
        <v>82.1</v>
      </c>
    </row>
    <row r="139" spans="2:5" ht="15" customHeight="1">
      <c r="B139" s="54" t="s">
        <v>283</v>
      </c>
      <c r="C139" s="55" t="s">
        <v>284</v>
      </c>
      <c r="D139" s="56">
        <v>16.5</v>
      </c>
      <c r="E139" s="56">
        <v>88</v>
      </c>
    </row>
    <row r="140" spans="2:5" ht="15" customHeight="1">
      <c r="B140" s="54" t="s">
        <v>285</v>
      </c>
      <c r="C140" s="55" t="s">
        <v>286</v>
      </c>
      <c r="D140" s="56">
        <v>17.5</v>
      </c>
      <c r="E140" s="56">
        <v>77.2</v>
      </c>
    </row>
    <row r="141" spans="2:5" ht="15" customHeight="1">
      <c r="B141" s="54" t="s">
        <v>287</v>
      </c>
      <c r="C141" s="55" t="s">
        <v>288</v>
      </c>
      <c r="D141" s="56">
        <v>12.9</v>
      </c>
      <c r="E141" s="56">
        <v>78.099999999999994</v>
      </c>
    </row>
    <row r="142" spans="2:5" ht="15" customHeight="1">
      <c r="B142" s="54" t="s">
        <v>289</v>
      </c>
      <c r="C142" s="55" t="s">
        <v>290</v>
      </c>
      <c r="D142" s="56">
        <v>10.3</v>
      </c>
      <c r="E142" s="56">
        <v>132.5</v>
      </c>
    </row>
    <row r="143" spans="2:5" ht="15" customHeight="1">
      <c r="B143" s="54" t="s">
        <v>291</v>
      </c>
      <c r="C143" s="55" t="s">
        <v>292</v>
      </c>
      <c r="D143" s="56">
        <v>16.100000000000001</v>
      </c>
      <c r="E143" s="56">
        <v>93.4</v>
      </c>
    </row>
    <row r="144" spans="2:5" ht="15" customHeight="1">
      <c r="B144" s="54" t="s">
        <v>293</v>
      </c>
      <c r="C144" s="55" t="s">
        <v>294</v>
      </c>
      <c r="D144" s="56">
        <v>10</v>
      </c>
      <c r="E144" s="56">
        <v>98.5</v>
      </c>
    </row>
    <row r="145" spans="2:5" ht="15" customHeight="1">
      <c r="B145" s="54" t="s">
        <v>295</v>
      </c>
      <c r="C145" s="55" t="s">
        <v>296</v>
      </c>
      <c r="D145" s="56">
        <v>15.3</v>
      </c>
      <c r="E145" s="56">
        <v>80</v>
      </c>
    </row>
    <row r="146" spans="2:5" ht="15" customHeight="1">
      <c r="B146" s="54" t="s">
        <v>297</v>
      </c>
      <c r="C146" s="55" t="s">
        <v>298</v>
      </c>
      <c r="D146" s="56">
        <v>16</v>
      </c>
      <c r="E146" s="56">
        <v>76.2</v>
      </c>
    </row>
    <row r="147" spans="2:5" ht="15" customHeight="1">
      <c r="B147" s="54" t="s">
        <v>299</v>
      </c>
      <c r="C147" s="55" t="s">
        <v>300</v>
      </c>
      <c r="D147" s="56">
        <v>12.9</v>
      </c>
      <c r="E147" s="56">
        <v>74.400000000000006</v>
      </c>
    </row>
    <row r="148" spans="2:5" ht="15" customHeight="1">
      <c r="B148" s="54" t="s">
        <v>301</v>
      </c>
      <c r="C148" s="55" t="s">
        <v>302</v>
      </c>
      <c r="D148" s="56">
        <v>16</v>
      </c>
      <c r="E148" s="56">
        <v>77.900000000000006</v>
      </c>
    </row>
    <row r="149" spans="2:5" ht="15" customHeight="1">
      <c r="B149" s="54" t="s">
        <v>303</v>
      </c>
      <c r="C149" s="55" t="s">
        <v>304</v>
      </c>
      <c r="D149" s="56">
        <v>11.7</v>
      </c>
      <c r="E149" s="56">
        <v>97.6</v>
      </c>
    </row>
    <row r="150" spans="2:5" ht="15" customHeight="1">
      <c r="B150" s="54" t="s">
        <v>305</v>
      </c>
      <c r="C150" s="55" t="s">
        <v>306</v>
      </c>
      <c r="D150" s="56">
        <v>15.5</v>
      </c>
      <c r="E150" s="56">
        <v>78.7</v>
      </c>
    </row>
    <row r="151" spans="2:5" ht="15" customHeight="1">
      <c r="B151" s="54" t="s">
        <v>307</v>
      </c>
      <c r="C151" s="55" t="s">
        <v>308</v>
      </c>
      <c r="D151" s="56">
        <v>22.2</v>
      </c>
      <c r="E151" s="56">
        <v>83.5</v>
      </c>
    </row>
    <row r="152" spans="2:5" ht="15" customHeight="1">
      <c r="B152" s="54" t="s">
        <v>309</v>
      </c>
      <c r="C152" s="55" t="s">
        <v>310</v>
      </c>
      <c r="D152" s="56">
        <v>24.3</v>
      </c>
      <c r="E152" s="56">
        <v>76.5</v>
      </c>
    </row>
    <row r="153" spans="2:5" ht="15" customHeight="1">
      <c r="B153" s="54" t="s">
        <v>311</v>
      </c>
      <c r="C153" s="55" t="s">
        <v>312</v>
      </c>
      <c r="D153" s="56">
        <v>18.2</v>
      </c>
      <c r="E153" s="56">
        <v>78.400000000000006</v>
      </c>
    </row>
    <row r="154" spans="2:5" ht="15" customHeight="1">
      <c r="B154" s="54" t="s">
        <v>313</v>
      </c>
      <c r="C154" s="55" t="s">
        <v>314</v>
      </c>
      <c r="D154" s="56">
        <v>18.899999999999999</v>
      </c>
      <c r="E154" s="56">
        <v>74.5</v>
      </c>
    </row>
    <row r="155" spans="2:5" ht="15" customHeight="1">
      <c r="B155" s="54" t="s">
        <v>315</v>
      </c>
      <c r="C155" s="55" t="s">
        <v>316</v>
      </c>
      <c r="D155" s="56">
        <v>13.9</v>
      </c>
      <c r="E155" s="56">
        <v>79.400000000000006</v>
      </c>
    </row>
    <row r="156" spans="2:5" ht="15" customHeight="1">
      <c r="B156" s="54" t="s">
        <v>317</v>
      </c>
      <c r="C156" s="55" t="s">
        <v>318</v>
      </c>
      <c r="D156" s="56">
        <v>23.6</v>
      </c>
      <c r="E156" s="56">
        <v>84.7</v>
      </c>
    </row>
    <row r="157" spans="2:5" ht="15" customHeight="1">
      <c r="B157" s="54" t="s">
        <v>319</v>
      </c>
      <c r="C157" s="55" t="s">
        <v>320</v>
      </c>
      <c r="D157" s="56">
        <v>8.1999999999999993</v>
      </c>
      <c r="E157" s="56">
        <v>76.900000000000006</v>
      </c>
    </row>
    <row r="158" spans="2:5" ht="15" customHeight="1">
      <c r="B158" s="54" t="s">
        <v>321</v>
      </c>
      <c r="C158" s="55" t="s">
        <v>322</v>
      </c>
      <c r="D158" s="56">
        <v>18.600000000000001</v>
      </c>
      <c r="E158" s="56">
        <v>85.8</v>
      </c>
    </row>
    <row r="159" spans="2:5" ht="15" customHeight="1">
      <c r="B159" s="54" t="s">
        <v>323</v>
      </c>
      <c r="C159" s="55" t="s">
        <v>324</v>
      </c>
      <c r="D159" s="56">
        <v>17.8</v>
      </c>
      <c r="E159" s="56">
        <v>76.099999999999994</v>
      </c>
    </row>
    <row r="160" spans="2:5" ht="15" customHeight="1">
      <c r="B160" s="54" t="s">
        <v>325</v>
      </c>
      <c r="C160" s="55" t="s">
        <v>326</v>
      </c>
      <c r="D160" s="56">
        <v>21.5</v>
      </c>
      <c r="E160" s="56">
        <v>78.3</v>
      </c>
    </row>
    <row r="161" spans="2:5" ht="15" customHeight="1">
      <c r="B161" s="54" t="s">
        <v>327</v>
      </c>
      <c r="C161" s="55" t="s">
        <v>328</v>
      </c>
      <c r="D161" s="56">
        <v>19.5</v>
      </c>
      <c r="E161" s="56">
        <v>75.599999999999994</v>
      </c>
    </row>
    <row r="162" spans="2:5" ht="15" customHeight="1">
      <c r="B162" s="54" t="s">
        <v>329</v>
      </c>
      <c r="C162" s="55" t="s">
        <v>330</v>
      </c>
      <c r="D162" s="56">
        <v>17.899999999999999</v>
      </c>
      <c r="E162" s="56">
        <v>85.8</v>
      </c>
    </row>
    <row r="163" spans="2:5" ht="15" customHeight="1">
      <c r="B163" s="54" t="s">
        <v>331</v>
      </c>
      <c r="C163" s="55" t="s">
        <v>332</v>
      </c>
      <c r="D163" s="56">
        <v>16.899999999999999</v>
      </c>
      <c r="E163" s="56">
        <v>75.599999999999994</v>
      </c>
    </row>
    <row r="164" spans="2:5" ht="15" customHeight="1">
      <c r="B164" s="54" t="s">
        <v>333</v>
      </c>
      <c r="C164" s="55" t="s">
        <v>334</v>
      </c>
      <c r="D164" s="56">
        <v>19.899999999999999</v>
      </c>
      <c r="E164" s="56">
        <v>74.5</v>
      </c>
    </row>
    <row r="165" spans="2:5" ht="15" customHeight="1">
      <c r="B165" s="54" t="s">
        <v>335</v>
      </c>
      <c r="C165" s="55" t="s">
        <v>336</v>
      </c>
      <c r="D165" s="56">
        <v>21.9</v>
      </c>
      <c r="E165" s="56">
        <v>80.900000000000006</v>
      </c>
    </row>
    <row r="166" spans="2:5" ht="15" customHeight="1">
      <c r="B166" s="54" t="s">
        <v>337</v>
      </c>
      <c r="C166" s="55" t="s">
        <v>338</v>
      </c>
      <c r="D166" s="56">
        <v>14.8</v>
      </c>
      <c r="E166" s="56">
        <v>79.2</v>
      </c>
    </row>
    <row r="167" spans="2:5" ht="15" customHeight="1">
      <c r="B167" s="54" t="s">
        <v>339</v>
      </c>
      <c r="C167" s="55" t="s">
        <v>340</v>
      </c>
      <c r="D167" s="56">
        <v>23.9</v>
      </c>
      <c r="E167" s="56">
        <v>71.900000000000006</v>
      </c>
    </row>
    <row r="168" spans="2:5" ht="15" customHeight="1">
      <c r="B168" s="54" t="s">
        <v>341</v>
      </c>
      <c r="C168" s="55" t="s">
        <v>342</v>
      </c>
      <c r="D168" s="56">
        <v>8.4</v>
      </c>
      <c r="E168" s="56">
        <v>99.5</v>
      </c>
    </row>
    <row r="169" spans="2:5" ht="15" customHeight="1">
      <c r="B169" s="54" t="s">
        <v>343</v>
      </c>
      <c r="C169" s="55" t="s">
        <v>344</v>
      </c>
      <c r="D169" s="56">
        <v>13.9</v>
      </c>
      <c r="E169" s="56">
        <v>81.599999999999994</v>
      </c>
    </row>
    <row r="170" spans="2:5" ht="15" customHeight="1">
      <c r="B170" s="54" t="s">
        <v>345</v>
      </c>
      <c r="C170" s="55" t="s">
        <v>346</v>
      </c>
      <c r="D170" s="56">
        <v>19.7</v>
      </c>
      <c r="E170" s="56">
        <v>81.099999999999994</v>
      </c>
    </row>
    <row r="171" spans="2:5" ht="15" customHeight="1">
      <c r="B171" s="54" t="s">
        <v>347</v>
      </c>
      <c r="C171" s="55" t="s">
        <v>348</v>
      </c>
      <c r="D171" s="56">
        <v>11.9</v>
      </c>
      <c r="E171" s="56">
        <v>85.9</v>
      </c>
    </row>
    <row r="172" spans="2:5" ht="15" customHeight="1">
      <c r="B172" s="54" t="s">
        <v>349</v>
      </c>
      <c r="C172" s="55" t="s">
        <v>350</v>
      </c>
      <c r="D172" s="56">
        <v>25.8</v>
      </c>
      <c r="E172" s="56">
        <v>74.5</v>
      </c>
    </row>
    <row r="173" spans="2:5" ht="15" customHeight="1">
      <c r="B173" s="54" t="s">
        <v>351</v>
      </c>
      <c r="C173" s="55" t="s">
        <v>352</v>
      </c>
      <c r="D173" s="56">
        <v>14.9</v>
      </c>
      <c r="E173" s="56">
        <v>86.7</v>
      </c>
    </row>
    <row r="174" spans="2:5" ht="15" customHeight="1">
      <c r="B174" s="54" t="s">
        <v>353</v>
      </c>
      <c r="C174" s="55" t="s">
        <v>354</v>
      </c>
      <c r="D174" s="56">
        <v>14.5</v>
      </c>
      <c r="E174" s="56">
        <v>85.8</v>
      </c>
    </row>
    <row r="175" spans="2:5" ht="15" customHeight="1">
      <c r="B175" s="54" t="s">
        <v>355</v>
      </c>
      <c r="C175" s="55" t="s">
        <v>356</v>
      </c>
      <c r="D175" s="56">
        <v>15.9</v>
      </c>
      <c r="E175" s="56">
        <v>82.5</v>
      </c>
    </row>
    <row r="176" spans="2:5" ht="15" customHeight="1">
      <c r="B176" s="54" t="s">
        <v>357</v>
      </c>
      <c r="C176" s="55" t="s">
        <v>358</v>
      </c>
      <c r="D176" s="56">
        <v>18.3</v>
      </c>
      <c r="E176" s="56">
        <v>79.900000000000006</v>
      </c>
    </row>
    <row r="177" spans="2:5" ht="15" customHeight="1">
      <c r="B177" s="54" t="s">
        <v>359</v>
      </c>
      <c r="C177" s="55" t="s">
        <v>360</v>
      </c>
      <c r="D177" s="56">
        <v>17.8</v>
      </c>
      <c r="E177" s="56">
        <v>82.6</v>
      </c>
    </row>
    <row r="178" spans="2:5" ht="15" customHeight="1">
      <c r="B178" s="54" t="s">
        <v>361</v>
      </c>
      <c r="C178" s="55" t="s">
        <v>362</v>
      </c>
      <c r="D178" s="56">
        <v>13.7</v>
      </c>
      <c r="E178" s="56">
        <v>93.5</v>
      </c>
    </row>
    <row r="179" spans="2:5" ht="15" customHeight="1">
      <c r="B179" s="54" t="s">
        <v>363</v>
      </c>
      <c r="C179" s="55" t="s">
        <v>189</v>
      </c>
      <c r="D179" s="56">
        <v>10.3</v>
      </c>
      <c r="E179" s="56">
        <v>102.9</v>
      </c>
    </row>
    <row r="180" spans="2:5" ht="15" customHeight="1">
      <c r="B180" s="54" t="s">
        <v>364</v>
      </c>
      <c r="C180" s="55" t="s">
        <v>365</v>
      </c>
      <c r="D180" s="56">
        <v>13.8</v>
      </c>
      <c r="E180" s="56">
        <v>85.6</v>
      </c>
    </row>
    <row r="181" spans="2:5" ht="15" customHeight="1">
      <c r="B181" s="54" t="s">
        <v>366</v>
      </c>
      <c r="C181" s="55" t="s">
        <v>367</v>
      </c>
      <c r="D181" s="56">
        <v>20.399999999999999</v>
      </c>
      <c r="E181" s="56">
        <v>82.8</v>
      </c>
    </row>
    <row r="182" spans="2:5" ht="15" customHeight="1">
      <c r="B182" s="54" t="s">
        <v>368</v>
      </c>
      <c r="C182" s="55" t="s">
        <v>369</v>
      </c>
      <c r="D182" s="56">
        <v>13.6</v>
      </c>
      <c r="E182" s="56">
        <v>87.9</v>
      </c>
    </row>
    <row r="183" spans="2:5" ht="15" customHeight="1">
      <c r="B183" s="54" t="s">
        <v>370</v>
      </c>
      <c r="C183" s="55" t="s">
        <v>371</v>
      </c>
      <c r="D183" s="56">
        <v>11.2</v>
      </c>
      <c r="E183" s="56">
        <v>77.8</v>
      </c>
    </row>
    <row r="184" spans="2:5" ht="15" customHeight="1">
      <c r="B184" s="54" t="s">
        <v>372</v>
      </c>
      <c r="C184" s="55" t="s">
        <v>373</v>
      </c>
      <c r="D184" s="56">
        <v>9.4</v>
      </c>
      <c r="E184" s="56">
        <v>87</v>
      </c>
    </row>
    <row r="185" spans="2:5" ht="15" customHeight="1">
      <c r="B185" s="54" t="s">
        <v>374</v>
      </c>
      <c r="C185" s="55" t="s">
        <v>375</v>
      </c>
      <c r="D185" s="56">
        <v>16.3</v>
      </c>
      <c r="E185" s="56">
        <v>82.4</v>
      </c>
    </row>
    <row r="186" spans="2:5" ht="15" customHeight="1">
      <c r="B186" s="54" t="s">
        <v>376</v>
      </c>
      <c r="C186" s="55" t="s">
        <v>377</v>
      </c>
      <c r="D186" s="56">
        <v>17</v>
      </c>
      <c r="E186" s="56">
        <v>80.5</v>
      </c>
    </row>
    <row r="187" spans="2:5" ht="15" customHeight="1">
      <c r="B187" s="54" t="s">
        <v>378</v>
      </c>
      <c r="C187" s="55" t="s">
        <v>379</v>
      </c>
      <c r="D187" s="56">
        <v>20</v>
      </c>
      <c r="E187" s="56">
        <v>92.3</v>
      </c>
    </row>
    <row r="188" spans="2:5" ht="15" customHeight="1">
      <c r="B188" s="54" t="s">
        <v>380</v>
      </c>
      <c r="C188" s="55" t="s">
        <v>381</v>
      </c>
      <c r="D188" s="56">
        <v>22.7</v>
      </c>
      <c r="E188" s="56">
        <v>97.5</v>
      </c>
    </row>
    <row r="189" spans="2:5" ht="15" customHeight="1">
      <c r="B189" s="54" t="s">
        <v>382</v>
      </c>
      <c r="C189" s="55" t="s">
        <v>383</v>
      </c>
      <c r="D189" s="56">
        <v>13.7</v>
      </c>
      <c r="E189" s="56">
        <v>84.4</v>
      </c>
    </row>
    <row r="190" spans="2:5" ht="15" customHeight="1">
      <c r="B190" s="54" t="s">
        <v>384</v>
      </c>
      <c r="C190" s="55" t="s">
        <v>385</v>
      </c>
      <c r="D190" s="56">
        <v>20.8</v>
      </c>
      <c r="E190" s="56">
        <v>87.2</v>
      </c>
    </row>
    <row r="191" spans="2:5" ht="15" customHeight="1">
      <c r="B191" s="54" t="s">
        <v>386</v>
      </c>
      <c r="C191" s="55" t="s">
        <v>387</v>
      </c>
      <c r="D191" s="56">
        <v>11</v>
      </c>
      <c r="E191" s="56">
        <v>76.7</v>
      </c>
    </row>
    <row r="192" spans="2:5" ht="15" customHeight="1">
      <c r="B192" s="54" t="s">
        <v>388</v>
      </c>
      <c r="C192" s="55" t="s">
        <v>389</v>
      </c>
      <c r="D192" s="56">
        <v>12.9</v>
      </c>
      <c r="E192" s="56">
        <v>80.599999999999994</v>
      </c>
    </row>
    <row r="193" spans="2:5" ht="15" customHeight="1">
      <c r="B193" s="54" t="s">
        <v>390</v>
      </c>
      <c r="C193" s="55" t="s">
        <v>391</v>
      </c>
      <c r="D193" s="56">
        <v>20.399999999999999</v>
      </c>
      <c r="E193" s="56">
        <v>78.5</v>
      </c>
    </row>
    <row r="194" spans="2:5" ht="15" customHeight="1">
      <c r="B194" s="54" t="s">
        <v>392</v>
      </c>
      <c r="C194" s="55" t="s">
        <v>393</v>
      </c>
      <c r="D194" s="56">
        <v>24.2</v>
      </c>
      <c r="E194" s="56">
        <v>81.400000000000006</v>
      </c>
    </row>
    <row r="195" spans="2:5" ht="15" customHeight="1">
      <c r="B195" s="54" t="s">
        <v>394</v>
      </c>
      <c r="C195" s="55" t="s">
        <v>395</v>
      </c>
      <c r="D195" s="56">
        <v>22.5</v>
      </c>
      <c r="E195" s="56">
        <v>81.400000000000006</v>
      </c>
    </row>
    <row r="196" spans="2:5" ht="15" customHeight="1">
      <c r="B196" s="54" t="s">
        <v>396</v>
      </c>
      <c r="C196" s="55" t="s">
        <v>397</v>
      </c>
      <c r="D196" s="56">
        <v>27.9</v>
      </c>
      <c r="E196" s="56">
        <v>84.6</v>
      </c>
    </row>
    <row r="197" spans="2:5" ht="15" customHeight="1">
      <c r="B197" s="54" t="s">
        <v>398</v>
      </c>
      <c r="C197" s="55" t="s">
        <v>399</v>
      </c>
      <c r="D197" s="56">
        <v>18.100000000000001</v>
      </c>
      <c r="E197" s="56">
        <v>79.5</v>
      </c>
    </row>
    <row r="198" spans="2:5" ht="15" customHeight="1">
      <c r="B198" s="54" t="s">
        <v>400</v>
      </c>
      <c r="C198" s="55" t="s">
        <v>401</v>
      </c>
      <c r="D198" s="56">
        <v>11.3</v>
      </c>
      <c r="E198" s="56">
        <v>92.8</v>
      </c>
    </row>
    <row r="199" spans="2:5" ht="15" customHeight="1">
      <c r="B199" s="54" t="s">
        <v>402</v>
      </c>
      <c r="C199" s="55" t="s">
        <v>403</v>
      </c>
      <c r="D199" s="56">
        <v>9.4</v>
      </c>
      <c r="E199" s="56">
        <v>79</v>
      </c>
    </row>
    <row r="200" spans="2:5" ht="15" customHeight="1">
      <c r="B200" s="54" t="s">
        <v>404</v>
      </c>
      <c r="C200" s="55" t="s">
        <v>405</v>
      </c>
      <c r="D200" s="56">
        <v>15.2</v>
      </c>
      <c r="E200" s="56">
        <v>93.6</v>
      </c>
    </row>
    <row r="201" spans="2:5" ht="15" customHeight="1">
      <c r="B201" s="54" t="s">
        <v>406</v>
      </c>
      <c r="C201" s="55" t="s">
        <v>407</v>
      </c>
      <c r="D201" s="56">
        <v>13.7</v>
      </c>
      <c r="E201" s="56">
        <v>77.400000000000006</v>
      </c>
    </row>
    <row r="202" spans="2:5" ht="15" customHeight="1">
      <c r="B202" s="54" t="s">
        <v>408</v>
      </c>
      <c r="C202" s="55" t="s">
        <v>409</v>
      </c>
      <c r="D202" s="56">
        <v>23.1</v>
      </c>
      <c r="E202" s="56">
        <v>79.599999999999994</v>
      </c>
    </row>
    <row r="203" spans="2:5" ht="15" customHeight="1">
      <c r="B203" s="54" t="s">
        <v>410</v>
      </c>
      <c r="C203" s="55" t="s">
        <v>411</v>
      </c>
      <c r="D203" s="56">
        <v>10.7</v>
      </c>
      <c r="E203" s="56">
        <v>80.7</v>
      </c>
    </row>
    <row r="204" spans="2:5" ht="15" customHeight="1">
      <c r="B204" s="54" t="s">
        <v>412</v>
      </c>
      <c r="C204" s="55" t="s">
        <v>413</v>
      </c>
      <c r="D204" s="56">
        <v>13.3</v>
      </c>
      <c r="E204" s="56">
        <v>88.1</v>
      </c>
    </row>
    <row r="205" spans="2:5" ht="15" customHeight="1">
      <c r="B205" s="54" t="s">
        <v>414</v>
      </c>
      <c r="C205" s="55" t="s">
        <v>415</v>
      </c>
      <c r="D205" s="56">
        <v>12.9</v>
      </c>
      <c r="E205" s="56">
        <v>89.5</v>
      </c>
    </row>
    <row r="206" spans="2:5" ht="15" customHeight="1">
      <c r="B206" s="54" t="s">
        <v>416</v>
      </c>
      <c r="C206" s="55" t="s">
        <v>417</v>
      </c>
      <c r="D206" s="56">
        <v>15.1</v>
      </c>
      <c r="E206" s="56">
        <v>85.3</v>
      </c>
    </row>
    <row r="207" spans="2:5" ht="15" customHeight="1">
      <c r="B207" s="54" t="s">
        <v>418</v>
      </c>
      <c r="C207" s="55" t="s">
        <v>419</v>
      </c>
      <c r="D207" s="56">
        <v>12.9</v>
      </c>
      <c r="E207" s="56">
        <v>90.9</v>
      </c>
    </row>
    <row r="208" spans="2:5" ht="15" customHeight="1">
      <c r="B208" s="54" t="s">
        <v>420</v>
      </c>
      <c r="C208" s="55" t="s">
        <v>421</v>
      </c>
      <c r="D208" s="56">
        <v>23.6</v>
      </c>
      <c r="E208" s="56">
        <v>82.9</v>
      </c>
    </row>
    <row r="209" spans="2:5" ht="15" customHeight="1">
      <c r="B209" s="54" t="s">
        <v>422</v>
      </c>
      <c r="C209" s="55" t="s">
        <v>423</v>
      </c>
      <c r="D209" s="56">
        <v>13.1</v>
      </c>
      <c r="E209" s="56">
        <v>84.7</v>
      </c>
    </row>
    <row r="210" spans="2:5" ht="15" customHeight="1">
      <c r="B210" s="54" t="s">
        <v>424</v>
      </c>
      <c r="C210" s="55" t="s">
        <v>425</v>
      </c>
      <c r="D210" s="56">
        <v>25.5</v>
      </c>
      <c r="E210" s="56">
        <v>84.1</v>
      </c>
    </row>
    <row r="211" spans="2:5" ht="15" customHeight="1">
      <c r="B211" s="54" t="s">
        <v>426</v>
      </c>
      <c r="C211" s="55" t="s">
        <v>427</v>
      </c>
      <c r="D211" s="56">
        <v>15.3</v>
      </c>
      <c r="E211" s="56">
        <v>70.7</v>
      </c>
    </row>
    <row r="212" spans="2:5" ht="15" customHeight="1">
      <c r="B212" s="54" t="s">
        <v>428</v>
      </c>
      <c r="C212" s="55" t="s">
        <v>429</v>
      </c>
      <c r="D212" s="56">
        <v>8.5</v>
      </c>
      <c r="E212" s="56">
        <v>85.4</v>
      </c>
    </row>
    <row r="213" spans="2:5" ht="15" customHeight="1">
      <c r="B213" s="54" t="s">
        <v>430</v>
      </c>
      <c r="C213" s="55" t="s">
        <v>314</v>
      </c>
      <c r="D213" s="56">
        <v>24.1</v>
      </c>
      <c r="E213" s="56">
        <v>83.4</v>
      </c>
    </row>
    <row r="214" spans="2:5" ht="15" customHeight="1">
      <c r="B214" s="54" t="s">
        <v>431</v>
      </c>
      <c r="C214" s="55" t="s">
        <v>432</v>
      </c>
      <c r="D214" s="56">
        <v>25.5</v>
      </c>
      <c r="E214" s="56">
        <v>83.9</v>
      </c>
    </row>
    <row r="215" spans="2:5" ht="15" customHeight="1">
      <c r="B215" s="54" t="s">
        <v>433</v>
      </c>
      <c r="C215" s="55" t="s">
        <v>434</v>
      </c>
      <c r="D215" s="56">
        <v>13.5</v>
      </c>
      <c r="E215" s="56">
        <v>80.099999999999994</v>
      </c>
    </row>
    <row r="216" spans="2:5" ht="15" customHeight="1">
      <c r="B216" s="54" t="s">
        <v>435</v>
      </c>
      <c r="C216" s="55" t="s">
        <v>436</v>
      </c>
      <c r="D216" s="56">
        <v>15.2</v>
      </c>
      <c r="E216" s="56">
        <v>85.6</v>
      </c>
    </row>
    <row r="217" spans="2:5" ht="15" customHeight="1">
      <c r="B217" s="54" t="s">
        <v>437</v>
      </c>
      <c r="C217" s="55" t="s">
        <v>438</v>
      </c>
      <c r="D217" s="56">
        <v>25.7</v>
      </c>
      <c r="E217" s="56">
        <v>77.400000000000006</v>
      </c>
    </row>
    <row r="218" spans="2:5" ht="15" customHeight="1">
      <c r="B218" s="54" t="s">
        <v>439</v>
      </c>
      <c r="C218" s="55" t="s">
        <v>440</v>
      </c>
      <c r="D218" s="56">
        <v>16.5</v>
      </c>
      <c r="E218" s="56">
        <v>90.3</v>
      </c>
    </row>
    <row r="219" spans="2:5" ht="15" customHeight="1">
      <c r="B219" s="54" t="s">
        <v>441</v>
      </c>
      <c r="C219" s="55" t="s">
        <v>442</v>
      </c>
      <c r="D219" s="56">
        <v>16.3</v>
      </c>
      <c r="E219" s="56">
        <v>77.5</v>
      </c>
    </row>
    <row r="220" spans="2:5" ht="15" customHeight="1">
      <c r="B220" s="54" t="s">
        <v>443</v>
      </c>
      <c r="C220" s="55" t="s">
        <v>444</v>
      </c>
      <c r="D220" s="56">
        <v>7.8</v>
      </c>
      <c r="E220" s="56">
        <v>86.7</v>
      </c>
    </row>
    <row r="221" spans="2:5" ht="15" customHeight="1">
      <c r="B221" s="54" t="s">
        <v>445</v>
      </c>
      <c r="C221" s="55" t="s">
        <v>446</v>
      </c>
      <c r="D221" s="56">
        <v>13.4</v>
      </c>
      <c r="E221" s="56">
        <v>70.400000000000006</v>
      </c>
    </row>
    <row r="222" spans="2:5" ht="15" customHeight="1">
      <c r="B222" s="54" t="s">
        <v>447</v>
      </c>
      <c r="C222" s="55" t="s">
        <v>448</v>
      </c>
      <c r="D222" s="56">
        <v>8.4</v>
      </c>
      <c r="E222" s="56">
        <v>72.900000000000006</v>
      </c>
    </row>
    <row r="223" spans="2:5" ht="15" customHeight="1">
      <c r="B223" s="54" t="s">
        <v>449</v>
      </c>
      <c r="C223" s="55" t="s">
        <v>450</v>
      </c>
      <c r="D223" s="56">
        <v>5</v>
      </c>
      <c r="E223" s="56">
        <v>63.4</v>
      </c>
    </row>
    <row r="224" spans="2:5" ht="15" customHeight="1">
      <c r="B224" s="54" t="s">
        <v>451</v>
      </c>
      <c r="C224" s="55" t="s">
        <v>452</v>
      </c>
      <c r="D224" s="56">
        <v>9.6</v>
      </c>
      <c r="E224" s="56">
        <v>72.400000000000006</v>
      </c>
    </row>
    <row r="225" spans="2:5" ht="15" customHeight="1">
      <c r="B225" s="54" t="s">
        <v>453</v>
      </c>
      <c r="C225" s="55" t="s">
        <v>83</v>
      </c>
      <c r="D225" s="56">
        <v>10.3</v>
      </c>
      <c r="E225" s="56">
        <v>79.599999999999994</v>
      </c>
    </row>
    <row r="226" spans="2:5" ht="15" customHeight="1">
      <c r="B226" s="54" t="s">
        <v>454</v>
      </c>
      <c r="C226" s="55" t="s">
        <v>455</v>
      </c>
      <c r="D226" s="56">
        <v>11</v>
      </c>
      <c r="E226" s="56">
        <v>78.2</v>
      </c>
    </row>
    <row r="227" spans="2:5" ht="15" customHeight="1">
      <c r="B227" s="54" t="s">
        <v>456</v>
      </c>
      <c r="C227" s="55" t="s">
        <v>457</v>
      </c>
      <c r="D227" s="56">
        <v>13.4</v>
      </c>
      <c r="E227" s="56">
        <v>79.400000000000006</v>
      </c>
    </row>
    <row r="228" spans="2:5" ht="15" customHeight="1">
      <c r="B228" s="54" t="s">
        <v>458</v>
      </c>
      <c r="C228" s="55" t="s">
        <v>459</v>
      </c>
      <c r="D228" s="56">
        <v>8.3000000000000007</v>
      </c>
      <c r="E228" s="56">
        <v>84.2</v>
      </c>
    </row>
    <row r="229" spans="2:5" ht="15" customHeight="1">
      <c r="B229" s="54" t="s">
        <v>460</v>
      </c>
      <c r="C229" s="55" t="s">
        <v>461</v>
      </c>
      <c r="D229" s="56">
        <v>15.3</v>
      </c>
      <c r="E229" s="56">
        <v>81.099999999999994</v>
      </c>
    </row>
    <row r="230" spans="2:5" ht="15" customHeight="1">
      <c r="B230" s="54" t="s">
        <v>462</v>
      </c>
      <c r="C230" s="55" t="s">
        <v>463</v>
      </c>
      <c r="D230" s="56">
        <v>16.100000000000001</v>
      </c>
      <c r="E230" s="56">
        <v>92.4</v>
      </c>
    </row>
    <row r="231" spans="2:5" ht="15" customHeight="1">
      <c r="B231" s="54" t="s">
        <v>464</v>
      </c>
      <c r="C231" s="55" t="s">
        <v>465</v>
      </c>
      <c r="D231" s="56">
        <v>18.899999999999999</v>
      </c>
      <c r="E231" s="56">
        <v>85</v>
      </c>
    </row>
    <row r="232" spans="2:5" ht="15" customHeight="1">
      <c r="B232" s="54" t="s">
        <v>466</v>
      </c>
      <c r="C232" s="55" t="s">
        <v>467</v>
      </c>
      <c r="D232" s="56">
        <v>17.899999999999999</v>
      </c>
      <c r="E232" s="56">
        <v>76.099999999999994</v>
      </c>
    </row>
    <row r="233" spans="2:5" ht="15" customHeight="1">
      <c r="B233" s="54" t="s">
        <v>468</v>
      </c>
      <c r="C233" s="55" t="s">
        <v>469</v>
      </c>
      <c r="D233" s="56">
        <v>10.9</v>
      </c>
      <c r="E233" s="56">
        <v>76.3</v>
      </c>
    </row>
    <row r="234" spans="2:5" ht="15" customHeight="1">
      <c r="B234" s="54" t="s">
        <v>470</v>
      </c>
      <c r="C234" s="55" t="s">
        <v>471</v>
      </c>
      <c r="D234" s="56">
        <v>15.7</v>
      </c>
      <c r="E234" s="56">
        <v>79.5</v>
      </c>
    </row>
    <row r="235" spans="2:5" ht="15" customHeight="1">
      <c r="B235" s="54" t="s">
        <v>472</v>
      </c>
      <c r="C235" s="55" t="s">
        <v>473</v>
      </c>
      <c r="D235" s="56">
        <v>13.9</v>
      </c>
      <c r="E235" s="56">
        <v>91.5</v>
      </c>
    </row>
    <row r="236" spans="2:5" ht="15" customHeight="1">
      <c r="B236" s="54" t="s">
        <v>474</v>
      </c>
      <c r="C236" s="55" t="s">
        <v>475</v>
      </c>
      <c r="D236" s="56">
        <v>12</v>
      </c>
      <c r="E236" s="56">
        <v>83.5</v>
      </c>
    </row>
    <row r="237" spans="2:5" ht="15" customHeight="1">
      <c r="B237" s="54" t="s">
        <v>476</v>
      </c>
      <c r="C237" s="55" t="s">
        <v>131</v>
      </c>
      <c r="D237" s="56">
        <v>9</v>
      </c>
      <c r="E237" s="56">
        <v>76</v>
      </c>
    </row>
    <row r="238" spans="2:5" ht="15" customHeight="1">
      <c r="B238" s="54" t="s">
        <v>477</v>
      </c>
      <c r="C238" s="55" t="s">
        <v>478</v>
      </c>
      <c r="D238" s="56">
        <v>9</v>
      </c>
      <c r="E238" s="56">
        <v>81.2</v>
      </c>
    </row>
    <row r="239" spans="2:5" ht="15" customHeight="1">
      <c r="B239" s="54" t="s">
        <v>479</v>
      </c>
      <c r="C239" s="55" t="s">
        <v>480</v>
      </c>
      <c r="D239" s="56">
        <v>8.3000000000000007</v>
      </c>
      <c r="E239" s="56">
        <v>91.1</v>
      </c>
    </row>
    <row r="240" spans="2:5" ht="15" customHeight="1">
      <c r="B240" s="54" t="s">
        <v>481</v>
      </c>
      <c r="C240" s="55" t="s">
        <v>482</v>
      </c>
      <c r="D240" s="56">
        <v>12</v>
      </c>
      <c r="E240" s="56">
        <v>77.3</v>
      </c>
    </row>
    <row r="241" spans="2:5" ht="15" customHeight="1">
      <c r="B241" s="54" t="s">
        <v>483</v>
      </c>
      <c r="C241" s="55" t="s">
        <v>484</v>
      </c>
      <c r="D241" s="56">
        <v>6.6</v>
      </c>
      <c r="E241" s="56">
        <v>84.7</v>
      </c>
    </row>
    <row r="242" spans="2:5" ht="15" customHeight="1">
      <c r="B242" s="54" t="s">
        <v>485</v>
      </c>
      <c r="C242" s="55" t="s">
        <v>486</v>
      </c>
      <c r="D242" s="56">
        <v>11</v>
      </c>
      <c r="E242" s="56">
        <v>73</v>
      </c>
    </row>
    <row r="243" spans="2:5" ht="15" customHeight="1">
      <c r="B243" s="54" t="s">
        <v>487</v>
      </c>
      <c r="C243" s="55" t="s">
        <v>488</v>
      </c>
      <c r="D243" s="56">
        <v>5.9</v>
      </c>
      <c r="E243" s="56">
        <v>72.5</v>
      </c>
    </row>
    <row r="244" spans="2:5" ht="15" customHeight="1">
      <c r="B244" s="54" t="s">
        <v>489</v>
      </c>
      <c r="C244" s="55" t="s">
        <v>490</v>
      </c>
      <c r="D244" s="56">
        <v>8.8000000000000007</v>
      </c>
      <c r="E244" s="56">
        <v>83.2</v>
      </c>
    </row>
    <row r="245" spans="2:5" ht="15" customHeight="1">
      <c r="B245" s="54" t="s">
        <v>491</v>
      </c>
      <c r="C245" s="55" t="s">
        <v>492</v>
      </c>
      <c r="D245" s="56">
        <v>16.5</v>
      </c>
      <c r="E245" s="56">
        <v>83.2</v>
      </c>
    </row>
    <row r="246" spans="2:5" ht="15" customHeight="1">
      <c r="B246" s="54" t="s">
        <v>493</v>
      </c>
      <c r="C246" s="55" t="s">
        <v>494</v>
      </c>
      <c r="D246" s="56">
        <v>14.6</v>
      </c>
      <c r="E246" s="56">
        <v>83.2</v>
      </c>
    </row>
    <row r="247" spans="2:5" ht="15" customHeight="1">
      <c r="B247" s="54" t="s">
        <v>495</v>
      </c>
      <c r="C247" s="55" t="s">
        <v>496</v>
      </c>
      <c r="D247" s="56">
        <v>12.6</v>
      </c>
      <c r="E247" s="56">
        <v>91.3</v>
      </c>
    </row>
    <row r="248" spans="2:5" ht="15" customHeight="1">
      <c r="B248" s="54" t="s">
        <v>497</v>
      </c>
      <c r="C248" s="55" t="s">
        <v>498</v>
      </c>
      <c r="D248" s="56">
        <v>20.9</v>
      </c>
      <c r="E248" s="56">
        <v>79.3</v>
      </c>
    </row>
    <row r="249" spans="2:5" ht="15" customHeight="1">
      <c r="B249" s="54" t="s">
        <v>499</v>
      </c>
      <c r="C249" s="55" t="s">
        <v>500</v>
      </c>
      <c r="D249" s="56">
        <v>16.7</v>
      </c>
      <c r="E249" s="56">
        <v>76.599999999999994</v>
      </c>
    </row>
    <row r="250" spans="2:5" ht="15" customHeight="1">
      <c r="B250" s="54" t="s">
        <v>501</v>
      </c>
      <c r="C250" s="55" t="s">
        <v>502</v>
      </c>
      <c r="D250" s="56">
        <v>11.8</v>
      </c>
      <c r="E250" s="56">
        <v>82.9</v>
      </c>
    </row>
    <row r="251" spans="2:5" ht="15" customHeight="1">
      <c r="B251" s="54" t="s">
        <v>503</v>
      </c>
      <c r="C251" s="55" t="s">
        <v>504</v>
      </c>
      <c r="D251" s="56">
        <v>4.5</v>
      </c>
      <c r="E251" s="56">
        <v>90.6</v>
      </c>
    </row>
    <row r="252" spans="2:5" ht="15" customHeight="1">
      <c r="B252" s="54" t="s">
        <v>505</v>
      </c>
      <c r="C252" s="55" t="s">
        <v>506</v>
      </c>
      <c r="D252" s="56">
        <v>9.3000000000000007</v>
      </c>
      <c r="E252" s="56">
        <v>98.6</v>
      </c>
    </row>
    <row r="253" spans="2:5" ht="15" customHeight="1">
      <c r="B253" s="54" t="s">
        <v>507</v>
      </c>
      <c r="C253" s="55" t="s">
        <v>508</v>
      </c>
      <c r="D253" s="56">
        <v>14.7</v>
      </c>
      <c r="E253" s="56">
        <v>85.4</v>
      </c>
    </row>
    <row r="254" spans="2:5" ht="15" customHeight="1">
      <c r="B254" s="54" t="s">
        <v>509</v>
      </c>
      <c r="C254" s="55" t="s">
        <v>510</v>
      </c>
      <c r="D254" s="56">
        <v>10.1</v>
      </c>
      <c r="E254" s="56">
        <v>78.900000000000006</v>
      </c>
    </row>
    <row r="255" spans="2:5" ht="15" customHeight="1">
      <c r="B255" s="54" t="s">
        <v>511</v>
      </c>
      <c r="C255" s="55" t="s">
        <v>512</v>
      </c>
      <c r="D255" s="56">
        <v>4.2</v>
      </c>
      <c r="E255" s="56">
        <v>109.8</v>
      </c>
    </row>
    <row r="256" spans="2:5" ht="15" customHeight="1">
      <c r="B256" s="54" t="s">
        <v>513</v>
      </c>
      <c r="C256" s="55" t="s">
        <v>514</v>
      </c>
      <c r="D256" s="56">
        <v>29.6</v>
      </c>
      <c r="E256" s="56">
        <v>82.1</v>
      </c>
    </row>
    <row r="257" spans="2:5" ht="15" customHeight="1">
      <c r="B257" s="54" t="s">
        <v>515</v>
      </c>
      <c r="C257" s="55" t="s">
        <v>516</v>
      </c>
      <c r="D257" s="56">
        <v>25</v>
      </c>
      <c r="E257" s="56">
        <v>75</v>
      </c>
    </row>
    <row r="258" spans="2:5" ht="15" customHeight="1">
      <c r="B258" s="54" t="s">
        <v>517</v>
      </c>
      <c r="C258" s="55" t="s">
        <v>518</v>
      </c>
      <c r="D258" s="56">
        <v>13.1</v>
      </c>
      <c r="E258" s="56">
        <v>82.5</v>
      </c>
    </row>
    <row r="259" spans="2:5" ht="15" customHeight="1">
      <c r="B259" s="54" t="s">
        <v>519</v>
      </c>
      <c r="C259" s="55" t="s">
        <v>520</v>
      </c>
      <c r="D259" s="56">
        <v>28.9</v>
      </c>
      <c r="E259" s="56">
        <v>82.5</v>
      </c>
    </row>
    <row r="260" spans="2:5" ht="15" customHeight="1">
      <c r="B260" s="54" t="s">
        <v>521</v>
      </c>
      <c r="C260" s="55" t="s">
        <v>522</v>
      </c>
      <c r="D260" s="56">
        <v>25.3</v>
      </c>
      <c r="E260" s="56">
        <v>76.3</v>
      </c>
    </row>
    <row r="261" spans="2:5" ht="15" customHeight="1">
      <c r="B261" s="54" t="s">
        <v>523</v>
      </c>
      <c r="C261" s="55" t="s">
        <v>524</v>
      </c>
      <c r="D261" s="56">
        <v>27.4</v>
      </c>
      <c r="E261" s="56">
        <v>86.5</v>
      </c>
    </row>
    <row r="262" spans="2:5" ht="15" customHeight="1">
      <c r="B262" s="54" t="s">
        <v>525</v>
      </c>
      <c r="C262" s="55" t="s">
        <v>526</v>
      </c>
      <c r="D262" s="56">
        <v>27</v>
      </c>
      <c r="E262" s="56">
        <v>75.2</v>
      </c>
    </row>
    <row r="263" spans="2:5" ht="15" customHeight="1">
      <c r="B263" s="54" t="s">
        <v>527</v>
      </c>
      <c r="C263" s="55" t="s">
        <v>528</v>
      </c>
      <c r="D263" s="56">
        <v>19.899999999999999</v>
      </c>
      <c r="E263" s="56">
        <v>83.3</v>
      </c>
    </row>
    <row r="264" spans="2:5" ht="15" customHeight="1">
      <c r="B264" s="54" t="s">
        <v>529</v>
      </c>
      <c r="C264" s="55" t="s">
        <v>530</v>
      </c>
      <c r="D264" s="56">
        <v>12.1</v>
      </c>
      <c r="E264" s="56">
        <v>90.1</v>
      </c>
    </row>
    <row r="265" spans="2:5" ht="15" customHeight="1">
      <c r="B265" s="54" t="s">
        <v>531</v>
      </c>
      <c r="C265" s="55" t="s">
        <v>532</v>
      </c>
      <c r="D265" s="56">
        <v>29</v>
      </c>
      <c r="E265" s="56">
        <v>81.599999999999994</v>
      </c>
    </row>
    <row r="266" spans="2:5" ht="15" customHeight="1">
      <c r="B266" s="54" t="s">
        <v>533</v>
      </c>
      <c r="C266" s="55" t="s">
        <v>534</v>
      </c>
      <c r="D266" s="56">
        <v>26.8</v>
      </c>
      <c r="E266" s="56">
        <v>75.7</v>
      </c>
    </row>
    <row r="267" spans="2:5" ht="15" customHeight="1">
      <c r="B267" s="54" t="s">
        <v>535</v>
      </c>
      <c r="C267" s="55" t="s">
        <v>536</v>
      </c>
      <c r="D267" s="56">
        <v>18.8</v>
      </c>
      <c r="E267" s="56">
        <v>85.5</v>
      </c>
    </row>
    <row r="268" spans="2:5" ht="15" customHeight="1">
      <c r="B268" s="54" t="s">
        <v>537</v>
      </c>
      <c r="C268" s="55" t="s">
        <v>538</v>
      </c>
      <c r="D268" s="56">
        <v>27.9</v>
      </c>
      <c r="E268" s="56">
        <v>76.5</v>
      </c>
    </row>
    <row r="269" spans="2:5" ht="15" customHeight="1">
      <c r="B269" s="54" t="s">
        <v>539</v>
      </c>
      <c r="C269" s="55" t="s">
        <v>540</v>
      </c>
      <c r="D269" s="56">
        <v>19.7</v>
      </c>
      <c r="E269" s="56">
        <v>84.4</v>
      </c>
    </row>
    <row r="270" spans="2:5" ht="15" customHeight="1">
      <c r="B270" s="54" t="s">
        <v>541</v>
      </c>
      <c r="C270" s="55" t="s">
        <v>542</v>
      </c>
      <c r="D270" s="56">
        <v>28.7</v>
      </c>
      <c r="E270" s="56">
        <v>80.5</v>
      </c>
    </row>
    <row r="271" spans="2:5" ht="15" customHeight="1">
      <c r="B271" s="54" t="s">
        <v>543</v>
      </c>
      <c r="C271" s="55" t="s">
        <v>544</v>
      </c>
      <c r="D271" s="56">
        <v>10.6</v>
      </c>
      <c r="E271" s="56">
        <v>103.9</v>
      </c>
    </row>
    <row r="272" spans="2:5" ht="15" customHeight="1">
      <c r="B272" s="54" t="s">
        <v>545</v>
      </c>
      <c r="C272" s="55" t="s">
        <v>546</v>
      </c>
      <c r="D272" s="56">
        <v>13.3</v>
      </c>
      <c r="E272" s="56">
        <v>88</v>
      </c>
    </row>
    <row r="273" spans="2:5" ht="15" customHeight="1">
      <c r="B273" s="54" t="s">
        <v>547</v>
      </c>
      <c r="C273" s="55" t="s">
        <v>548</v>
      </c>
      <c r="D273" s="56">
        <v>22.4</v>
      </c>
      <c r="E273" s="56">
        <v>85.8</v>
      </c>
    </row>
    <row r="274" spans="2:5" ht="15" customHeight="1">
      <c r="B274" s="54" t="s">
        <v>549</v>
      </c>
      <c r="C274" s="55" t="s">
        <v>550</v>
      </c>
      <c r="D274" s="56">
        <v>25.2</v>
      </c>
      <c r="E274" s="56">
        <v>78.400000000000006</v>
      </c>
    </row>
    <row r="275" spans="2:5" ht="15" customHeight="1">
      <c r="B275" s="54" t="s">
        <v>551</v>
      </c>
      <c r="C275" s="55" t="s">
        <v>552</v>
      </c>
      <c r="D275" s="56">
        <v>14.2</v>
      </c>
      <c r="E275" s="56">
        <v>103.3</v>
      </c>
    </row>
    <row r="276" spans="2:5" ht="15" customHeight="1">
      <c r="B276" s="54" t="s">
        <v>553</v>
      </c>
      <c r="C276" s="55" t="s">
        <v>554</v>
      </c>
      <c r="D276" s="56">
        <v>10.5</v>
      </c>
      <c r="E276" s="56">
        <v>100.7</v>
      </c>
    </row>
    <row r="277" spans="2:5" ht="15" customHeight="1">
      <c r="B277" s="54" t="s">
        <v>555</v>
      </c>
      <c r="C277" s="55" t="s">
        <v>556</v>
      </c>
      <c r="D277" s="56">
        <v>12.6</v>
      </c>
      <c r="E277" s="56">
        <v>83.3</v>
      </c>
    </row>
    <row r="278" spans="2:5" ht="15" customHeight="1">
      <c r="B278" s="54" t="s">
        <v>557</v>
      </c>
      <c r="C278" s="55" t="s">
        <v>558</v>
      </c>
      <c r="D278" s="56">
        <v>24.3</v>
      </c>
      <c r="E278" s="56">
        <v>78.400000000000006</v>
      </c>
    </row>
    <row r="279" spans="2:5" ht="15" customHeight="1">
      <c r="B279" s="54" t="s">
        <v>559</v>
      </c>
      <c r="C279" s="55" t="s">
        <v>560</v>
      </c>
      <c r="D279" s="56">
        <v>19.8</v>
      </c>
      <c r="E279" s="56">
        <v>80.7</v>
      </c>
    </row>
    <row r="280" spans="2:5" ht="15" customHeight="1">
      <c r="B280" s="54" t="s">
        <v>561</v>
      </c>
      <c r="C280" s="55" t="s">
        <v>562</v>
      </c>
      <c r="D280" s="56">
        <v>20.5</v>
      </c>
      <c r="E280" s="56">
        <v>78.5</v>
      </c>
    </row>
    <row r="281" spans="2:5" ht="15" customHeight="1">
      <c r="B281" s="54" t="s">
        <v>563</v>
      </c>
      <c r="C281" s="55" t="s">
        <v>564</v>
      </c>
      <c r="D281" s="56">
        <v>21.6</v>
      </c>
      <c r="E281" s="56">
        <v>78.3</v>
      </c>
    </row>
    <row r="282" spans="2:5" ht="15" customHeight="1">
      <c r="B282" s="54" t="s">
        <v>565</v>
      </c>
      <c r="C282" s="55" t="s">
        <v>566</v>
      </c>
      <c r="D282" s="56">
        <v>26.2</v>
      </c>
      <c r="E282" s="56">
        <v>80.099999999999994</v>
      </c>
    </row>
    <row r="283" spans="2:5" ht="15" customHeight="1">
      <c r="B283" s="54" t="s">
        <v>567</v>
      </c>
      <c r="C283" s="55" t="s">
        <v>568</v>
      </c>
      <c r="D283" s="56">
        <v>14.7</v>
      </c>
      <c r="E283" s="56">
        <v>88.6</v>
      </c>
    </row>
    <row r="284" spans="2:5" ht="15" customHeight="1">
      <c r="B284" s="54" t="s">
        <v>569</v>
      </c>
      <c r="C284" s="55" t="s">
        <v>570</v>
      </c>
      <c r="D284" s="56">
        <v>28.6</v>
      </c>
      <c r="E284" s="56">
        <v>92.2</v>
      </c>
    </row>
    <row r="285" spans="2:5" ht="15" customHeight="1">
      <c r="B285" s="54" t="s">
        <v>571</v>
      </c>
      <c r="C285" s="55" t="s">
        <v>572</v>
      </c>
      <c r="D285" s="56">
        <v>9.3000000000000007</v>
      </c>
      <c r="E285" s="56">
        <v>86.8</v>
      </c>
    </row>
    <row r="286" spans="2:5" ht="15" customHeight="1">
      <c r="B286" s="54" t="s">
        <v>573</v>
      </c>
      <c r="C286" s="55" t="s">
        <v>574</v>
      </c>
      <c r="D286" s="56">
        <v>14.9</v>
      </c>
      <c r="E286" s="56">
        <v>85.6</v>
      </c>
    </row>
    <row r="287" spans="2:5" ht="15" customHeight="1">
      <c r="B287" s="54" t="s">
        <v>575</v>
      </c>
      <c r="C287" s="55" t="s">
        <v>576</v>
      </c>
      <c r="D287" s="56">
        <v>28.3</v>
      </c>
      <c r="E287" s="56">
        <v>79.099999999999994</v>
      </c>
    </row>
    <row r="288" spans="2:5" ht="15" customHeight="1">
      <c r="B288" s="54" t="s">
        <v>577</v>
      </c>
      <c r="C288" s="55" t="s">
        <v>578</v>
      </c>
      <c r="D288" s="56">
        <v>21.3</v>
      </c>
      <c r="E288" s="56">
        <v>82</v>
      </c>
    </row>
    <row r="289" spans="2:5" ht="15" customHeight="1">
      <c r="B289" s="54" t="s">
        <v>579</v>
      </c>
      <c r="C289" s="55" t="s">
        <v>580</v>
      </c>
      <c r="D289" s="56">
        <v>10.9</v>
      </c>
      <c r="E289" s="56">
        <v>171.3</v>
      </c>
    </row>
    <row r="290" spans="2:5" ht="15" customHeight="1">
      <c r="B290" s="54" t="s">
        <v>581</v>
      </c>
      <c r="C290" s="55" t="s">
        <v>582</v>
      </c>
      <c r="D290" s="56">
        <v>8.8000000000000007</v>
      </c>
      <c r="E290" s="56">
        <v>104.5</v>
      </c>
    </row>
    <row r="291" spans="2:5" ht="15" customHeight="1">
      <c r="B291" s="54" t="s">
        <v>583</v>
      </c>
      <c r="C291" s="55" t="s">
        <v>584</v>
      </c>
      <c r="D291" s="56">
        <v>10.3</v>
      </c>
      <c r="E291" s="56">
        <v>82.2</v>
      </c>
    </row>
    <row r="292" spans="2:5" ht="15" customHeight="1">
      <c r="B292" s="54" t="s">
        <v>585</v>
      </c>
      <c r="C292" s="55" t="s">
        <v>586</v>
      </c>
      <c r="D292" s="56">
        <v>20.2</v>
      </c>
      <c r="E292" s="56">
        <v>81.400000000000006</v>
      </c>
    </row>
    <row r="293" spans="2:5" ht="15" customHeight="1">
      <c r="B293" s="54" t="s">
        <v>587</v>
      </c>
      <c r="C293" s="55" t="s">
        <v>588</v>
      </c>
      <c r="D293" s="56">
        <v>27.1</v>
      </c>
      <c r="E293" s="56">
        <v>82.5</v>
      </c>
    </row>
    <row r="294" spans="2:5" ht="15" customHeight="1">
      <c r="B294" s="54" t="s">
        <v>589</v>
      </c>
      <c r="C294" s="55" t="s">
        <v>292</v>
      </c>
      <c r="D294" s="56">
        <v>13.8</v>
      </c>
      <c r="E294" s="56">
        <v>87.5</v>
      </c>
    </row>
    <row r="295" spans="2:5" ht="15" customHeight="1">
      <c r="B295" s="54" t="s">
        <v>590</v>
      </c>
      <c r="C295" s="55" t="s">
        <v>591</v>
      </c>
      <c r="D295" s="56">
        <v>29.8</v>
      </c>
      <c r="E295" s="56">
        <v>80.900000000000006</v>
      </c>
    </row>
    <row r="296" spans="2:5" ht="15" customHeight="1">
      <c r="B296" s="54" t="s">
        <v>592</v>
      </c>
      <c r="C296" s="55" t="s">
        <v>593</v>
      </c>
      <c r="D296" s="56">
        <v>22.4</v>
      </c>
      <c r="E296" s="56">
        <v>82.6</v>
      </c>
    </row>
    <row r="297" spans="2:5" ht="15" customHeight="1">
      <c r="B297" s="54" t="s">
        <v>594</v>
      </c>
      <c r="C297" s="55" t="s">
        <v>595</v>
      </c>
      <c r="D297" s="56">
        <v>16.8</v>
      </c>
      <c r="E297" s="56">
        <v>96.3</v>
      </c>
    </row>
    <row r="298" spans="2:5" ht="15" customHeight="1">
      <c r="B298" s="54" t="s">
        <v>596</v>
      </c>
      <c r="C298" s="55" t="s">
        <v>597</v>
      </c>
      <c r="D298" s="56">
        <v>18.100000000000001</v>
      </c>
      <c r="E298" s="56">
        <v>75.7</v>
      </c>
    </row>
    <row r="299" spans="2:5" ht="15" customHeight="1">
      <c r="B299" s="54" t="s">
        <v>598</v>
      </c>
      <c r="C299" s="55" t="s">
        <v>599</v>
      </c>
      <c r="D299" s="56">
        <v>16</v>
      </c>
      <c r="E299" s="56">
        <v>83.9</v>
      </c>
    </row>
    <row r="300" spans="2:5" ht="15" customHeight="1">
      <c r="B300" s="54" t="s">
        <v>600</v>
      </c>
      <c r="C300" s="55" t="s">
        <v>601</v>
      </c>
      <c r="D300" s="56">
        <v>12.7</v>
      </c>
      <c r="E300" s="56">
        <v>87.6</v>
      </c>
    </row>
    <row r="301" spans="2:5" ht="15" customHeight="1">
      <c r="B301" s="54" t="s">
        <v>602</v>
      </c>
      <c r="C301" s="55" t="s">
        <v>603</v>
      </c>
      <c r="D301" s="56">
        <v>18</v>
      </c>
      <c r="E301" s="56">
        <v>87.5</v>
      </c>
    </row>
    <row r="302" spans="2:5" ht="15" customHeight="1">
      <c r="B302" s="54" t="s">
        <v>604</v>
      </c>
      <c r="C302" s="55" t="s">
        <v>508</v>
      </c>
      <c r="D302" s="56">
        <v>13.1</v>
      </c>
      <c r="E302" s="56">
        <v>92.9</v>
      </c>
    </row>
    <row r="303" spans="2:5" ht="15" customHeight="1">
      <c r="B303" s="54" t="s">
        <v>605</v>
      </c>
      <c r="C303" s="55" t="s">
        <v>606</v>
      </c>
      <c r="D303" s="56">
        <v>14.4</v>
      </c>
      <c r="E303" s="56">
        <v>81.7</v>
      </c>
    </row>
    <row r="304" spans="2:5" ht="15" customHeight="1">
      <c r="B304" s="54" t="s">
        <v>607</v>
      </c>
      <c r="C304" s="55" t="s">
        <v>608</v>
      </c>
      <c r="D304" s="56">
        <v>21.8</v>
      </c>
      <c r="E304" s="56">
        <v>91.7</v>
      </c>
    </row>
    <row r="305" spans="2:5" ht="15" customHeight="1">
      <c r="B305" s="54" t="s">
        <v>609</v>
      </c>
      <c r="C305" s="55" t="s">
        <v>610</v>
      </c>
      <c r="D305" s="56">
        <v>5.3</v>
      </c>
      <c r="E305" s="56">
        <v>93.8</v>
      </c>
    </row>
    <row r="306" spans="2:5" ht="15" customHeight="1">
      <c r="B306" s="54" t="s">
        <v>611</v>
      </c>
      <c r="C306" s="55" t="s">
        <v>612</v>
      </c>
      <c r="D306" s="56">
        <v>5.5</v>
      </c>
      <c r="E306" s="56">
        <v>106.5</v>
      </c>
    </row>
    <row r="307" spans="2:5" ht="15" customHeight="1">
      <c r="B307" s="54" t="s">
        <v>613</v>
      </c>
      <c r="C307" s="55" t="s">
        <v>181</v>
      </c>
      <c r="D307" s="56">
        <v>22.7</v>
      </c>
      <c r="E307" s="56">
        <v>82.5</v>
      </c>
    </row>
    <row r="308" spans="2:5" ht="15" customHeight="1">
      <c r="B308" s="54" t="s">
        <v>614</v>
      </c>
      <c r="C308" s="55" t="s">
        <v>615</v>
      </c>
      <c r="D308" s="56">
        <v>14.9</v>
      </c>
      <c r="E308" s="56">
        <v>83.5</v>
      </c>
    </row>
    <row r="309" spans="2:5" ht="15" customHeight="1">
      <c r="B309" s="54" t="s">
        <v>616</v>
      </c>
      <c r="C309" s="55" t="s">
        <v>617</v>
      </c>
      <c r="D309" s="56">
        <v>19.100000000000001</v>
      </c>
      <c r="E309" s="56">
        <v>84.6</v>
      </c>
    </row>
    <row r="310" spans="2:5" ht="15" customHeight="1">
      <c r="B310" s="54" t="s">
        <v>618</v>
      </c>
      <c r="C310" s="55" t="s">
        <v>619</v>
      </c>
      <c r="D310" s="56">
        <v>20.2</v>
      </c>
      <c r="E310" s="56">
        <v>80.400000000000006</v>
      </c>
    </row>
    <row r="311" spans="2:5" ht="15" customHeight="1">
      <c r="B311" s="54" t="s">
        <v>620</v>
      </c>
      <c r="C311" s="55" t="s">
        <v>621</v>
      </c>
      <c r="D311" s="56">
        <v>20.399999999999999</v>
      </c>
      <c r="E311" s="56">
        <v>83</v>
      </c>
    </row>
    <row r="312" spans="2:5" ht="15" customHeight="1">
      <c r="B312" s="54" t="s">
        <v>622</v>
      </c>
      <c r="C312" s="55" t="s">
        <v>623</v>
      </c>
      <c r="D312" s="56">
        <v>19.100000000000001</v>
      </c>
      <c r="E312" s="56">
        <v>82.2</v>
      </c>
    </row>
    <row r="313" spans="2:5" ht="15" customHeight="1">
      <c r="B313" s="54" t="s">
        <v>624</v>
      </c>
      <c r="C313" s="55" t="s">
        <v>625</v>
      </c>
      <c r="D313" s="56">
        <v>14.7</v>
      </c>
      <c r="E313" s="56">
        <v>103.4</v>
      </c>
    </row>
    <row r="314" spans="2:5" ht="15" customHeight="1">
      <c r="B314" s="54" t="s">
        <v>626</v>
      </c>
      <c r="C314" s="55" t="s">
        <v>627</v>
      </c>
      <c r="D314" s="56">
        <v>9.8000000000000007</v>
      </c>
      <c r="E314" s="56">
        <v>100.1</v>
      </c>
    </row>
    <row r="315" spans="2:5" ht="15" customHeight="1">
      <c r="B315" s="54" t="s">
        <v>628</v>
      </c>
      <c r="C315" s="55" t="s">
        <v>629</v>
      </c>
      <c r="D315" s="56">
        <v>10.199999999999999</v>
      </c>
      <c r="E315" s="56">
        <v>79.599999999999994</v>
      </c>
    </row>
    <row r="316" spans="2:5" ht="15" customHeight="1">
      <c r="B316" s="54" t="s">
        <v>630</v>
      </c>
      <c r="C316" s="55" t="s">
        <v>302</v>
      </c>
      <c r="D316" s="56">
        <v>14</v>
      </c>
      <c r="E316" s="56">
        <v>78</v>
      </c>
    </row>
    <row r="317" spans="2:5" ht="15" customHeight="1">
      <c r="B317" s="54" t="s">
        <v>631</v>
      </c>
      <c r="C317" s="55" t="s">
        <v>632</v>
      </c>
      <c r="D317" s="56">
        <v>10.6</v>
      </c>
      <c r="E317" s="56">
        <v>84.9</v>
      </c>
    </row>
    <row r="318" spans="2:5" ht="15" customHeight="1">
      <c r="B318" s="54" t="s">
        <v>633</v>
      </c>
      <c r="C318" s="55" t="s">
        <v>634</v>
      </c>
      <c r="D318" s="56">
        <v>6.9</v>
      </c>
      <c r="E318" s="56">
        <v>99.9</v>
      </c>
    </row>
    <row r="319" spans="2:5" ht="15" customHeight="1">
      <c r="B319" s="54" t="s">
        <v>635</v>
      </c>
      <c r="C319" s="55" t="s">
        <v>636</v>
      </c>
      <c r="D319" s="56">
        <v>13.8</v>
      </c>
      <c r="E319" s="56">
        <v>83.4</v>
      </c>
    </row>
    <row r="320" spans="2:5" ht="15" customHeight="1">
      <c r="B320" s="54" t="s">
        <v>637</v>
      </c>
      <c r="C320" s="55" t="s">
        <v>638</v>
      </c>
      <c r="D320" s="56">
        <v>21.3</v>
      </c>
      <c r="E320" s="56">
        <v>75.099999999999994</v>
      </c>
    </row>
    <row r="321" spans="2:5" ht="15" customHeight="1">
      <c r="B321" s="54" t="s">
        <v>639</v>
      </c>
      <c r="C321" s="55" t="s">
        <v>640</v>
      </c>
      <c r="D321" s="56">
        <v>8.8000000000000007</v>
      </c>
      <c r="E321" s="56">
        <v>92.6</v>
      </c>
    </row>
    <row r="322" spans="2:5" ht="15" customHeight="1">
      <c r="B322" s="54" t="s">
        <v>641</v>
      </c>
      <c r="C322" s="55" t="s">
        <v>642</v>
      </c>
      <c r="D322" s="56">
        <v>10.4</v>
      </c>
      <c r="E322" s="56">
        <v>95.9</v>
      </c>
    </row>
    <row r="323" spans="2:5" ht="15" customHeight="1">
      <c r="B323" s="54" t="s">
        <v>643</v>
      </c>
      <c r="C323" s="55" t="s">
        <v>644</v>
      </c>
      <c r="D323" s="56">
        <v>15.7</v>
      </c>
      <c r="E323" s="56">
        <v>77.099999999999994</v>
      </c>
    </row>
    <row r="324" spans="2:5" ht="15" customHeight="1">
      <c r="B324" s="54" t="s">
        <v>645</v>
      </c>
      <c r="C324" s="55" t="s">
        <v>646</v>
      </c>
      <c r="D324" s="56">
        <v>24.7</v>
      </c>
      <c r="E324" s="56">
        <v>79.8</v>
      </c>
    </row>
    <row r="325" spans="2:5" ht="15" customHeight="1">
      <c r="B325" s="54" t="s">
        <v>647</v>
      </c>
      <c r="C325" s="55" t="s">
        <v>648</v>
      </c>
      <c r="D325" s="56">
        <v>23.6</v>
      </c>
      <c r="E325" s="56">
        <v>82</v>
      </c>
    </row>
    <row r="326" spans="2:5" ht="15" customHeight="1">
      <c r="B326" s="54" t="s">
        <v>649</v>
      </c>
      <c r="C326" s="55" t="s">
        <v>650</v>
      </c>
      <c r="D326" s="56">
        <v>26</v>
      </c>
      <c r="E326" s="56">
        <v>80.900000000000006</v>
      </c>
    </row>
    <row r="327" spans="2:5" ht="15" customHeight="1">
      <c r="B327" s="54" t="s">
        <v>651</v>
      </c>
      <c r="C327" s="55" t="s">
        <v>652</v>
      </c>
      <c r="D327" s="56">
        <v>25</v>
      </c>
      <c r="E327" s="56">
        <v>79.400000000000006</v>
      </c>
    </row>
    <row r="328" spans="2:5" ht="15" customHeight="1">
      <c r="B328" s="54" t="s">
        <v>653</v>
      </c>
      <c r="C328" s="55" t="s">
        <v>654</v>
      </c>
      <c r="D328" s="56">
        <v>18.2</v>
      </c>
      <c r="E328" s="56">
        <v>86.2</v>
      </c>
    </row>
    <row r="329" spans="2:5" ht="15" customHeight="1">
      <c r="B329" s="54" t="s">
        <v>655</v>
      </c>
      <c r="C329" s="55" t="s">
        <v>656</v>
      </c>
      <c r="D329" s="56">
        <v>21.9</v>
      </c>
      <c r="E329" s="56">
        <v>74.3</v>
      </c>
    </row>
    <row r="330" spans="2:5" ht="15" customHeight="1">
      <c r="B330" s="54" t="s">
        <v>657</v>
      </c>
      <c r="C330" s="55" t="s">
        <v>658</v>
      </c>
      <c r="D330" s="56">
        <v>22.8</v>
      </c>
      <c r="E330" s="56">
        <v>80.8</v>
      </c>
    </row>
    <row r="331" spans="2:5" ht="15" customHeight="1">
      <c r="B331" s="54" t="s">
        <v>659</v>
      </c>
      <c r="C331" s="55" t="s">
        <v>660</v>
      </c>
      <c r="D331" s="56">
        <v>20.9</v>
      </c>
      <c r="E331" s="56">
        <v>77.900000000000006</v>
      </c>
    </row>
    <row r="332" spans="2:5" ht="15" customHeight="1">
      <c r="B332" s="54" t="s">
        <v>661</v>
      </c>
      <c r="C332" s="55" t="s">
        <v>662</v>
      </c>
      <c r="D332" s="56">
        <v>24.2</v>
      </c>
      <c r="E332" s="56">
        <v>75.099999999999994</v>
      </c>
    </row>
    <row r="333" spans="2:5" ht="15" customHeight="1">
      <c r="B333" s="54" t="s">
        <v>663</v>
      </c>
      <c r="C333" s="55" t="s">
        <v>664</v>
      </c>
      <c r="D333" s="56">
        <v>23.8</v>
      </c>
      <c r="E333" s="56">
        <v>79.8</v>
      </c>
    </row>
    <row r="334" spans="2:5" ht="15" customHeight="1">
      <c r="B334" s="54" t="s">
        <v>665</v>
      </c>
      <c r="C334" s="55" t="s">
        <v>666</v>
      </c>
      <c r="D334" s="56">
        <v>28.7</v>
      </c>
      <c r="E334" s="56">
        <v>74.400000000000006</v>
      </c>
    </row>
    <row r="335" spans="2:5" ht="15" customHeight="1">
      <c r="B335" s="54" t="s">
        <v>667</v>
      </c>
      <c r="C335" s="55" t="s">
        <v>668</v>
      </c>
      <c r="D335" s="56">
        <v>22.6</v>
      </c>
      <c r="E335" s="56">
        <v>76.099999999999994</v>
      </c>
    </row>
    <row r="336" spans="2:5" ht="15" customHeight="1">
      <c r="B336" s="54" t="s">
        <v>669</v>
      </c>
      <c r="C336" s="55" t="s">
        <v>670</v>
      </c>
      <c r="D336" s="56">
        <v>23.6</v>
      </c>
      <c r="E336" s="56">
        <v>79.400000000000006</v>
      </c>
    </row>
    <row r="337" spans="2:5" ht="15" customHeight="1">
      <c r="B337" s="54" t="s">
        <v>671</v>
      </c>
      <c r="C337" s="55" t="s">
        <v>672</v>
      </c>
      <c r="D337" s="56">
        <v>26.1</v>
      </c>
      <c r="E337" s="56">
        <v>73.7</v>
      </c>
    </row>
    <row r="338" spans="2:5" ht="15" customHeight="1">
      <c r="B338" s="54" t="s">
        <v>673</v>
      </c>
      <c r="C338" s="55" t="s">
        <v>674</v>
      </c>
      <c r="D338" s="56">
        <v>21.2</v>
      </c>
      <c r="E338" s="56">
        <v>76.900000000000006</v>
      </c>
    </row>
    <row r="339" spans="2:5" ht="15" customHeight="1">
      <c r="B339" s="54" t="s">
        <v>675</v>
      </c>
      <c r="C339" s="55" t="s">
        <v>676</v>
      </c>
      <c r="D339" s="56">
        <v>27.3</v>
      </c>
      <c r="E339" s="56">
        <v>74.400000000000006</v>
      </c>
    </row>
    <row r="340" spans="2:5" ht="15" customHeight="1">
      <c r="B340" s="54" t="s">
        <v>677</v>
      </c>
      <c r="C340" s="55" t="s">
        <v>678</v>
      </c>
      <c r="D340" s="56">
        <v>23</v>
      </c>
      <c r="E340" s="56">
        <v>74.2</v>
      </c>
    </row>
    <row r="341" spans="2:5" ht="15" customHeight="1">
      <c r="B341" s="54" t="s">
        <v>679</v>
      </c>
      <c r="C341" s="55" t="s">
        <v>680</v>
      </c>
      <c r="D341" s="56">
        <v>20.3</v>
      </c>
      <c r="E341" s="56">
        <v>88.2</v>
      </c>
    </row>
    <row r="342" spans="2:5" ht="15" customHeight="1">
      <c r="B342" s="54" t="s">
        <v>681</v>
      </c>
      <c r="C342" s="55" t="s">
        <v>682</v>
      </c>
      <c r="D342" s="56">
        <v>9.5</v>
      </c>
      <c r="E342" s="56">
        <v>87.9</v>
      </c>
    </row>
    <row r="343" spans="2:5" ht="15" customHeight="1">
      <c r="B343" s="54" t="s">
        <v>683</v>
      </c>
      <c r="C343" s="55" t="s">
        <v>684</v>
      </c>
      <c r="D343" s="56">
        <v>11.1</v>
      </c>
      <c r="E343" s="56">
        <v>80.2</v>
      </c>
    </row>
    <row r="344" spans="2:5" ht="15" customHeight="1">
      <c r="B344" s="54" t="s">
        <v>685</v>
      </c>
      <c r="C344" s="55" t="s">
        <v>125</v>
      </c>
      <c r="D344" s="56">
        <v>30.7</v>
      </c>
      <c r="E344" s="56">
        <v>82.8</v>
      </c>
    </row>
    <row r="345" spans="2:5" ht="15" customHeight="1">
      <c r="B345" s="54" t="s">
        <v>686</v>
      </c>
      <c r="C345" s="55" t="s">
        <v>687</v>
      </c>
      <c r="D345" s="56">
        <v>15.4</v>
      </c>
      <c r="E345" s="56">
        <v>86.7</v>
      </c>
    </row>
    <row r="346" spans="2:5" ht="15" customHeight="1">
      <c r="B346" s="54" t="s">
        <v>688</v>
      </c>
      <c r="C346" s="55" t="s">
        <v>689</v>
      </c>
      <c r="D346" s="56">
        <v>15.7</v>
      </c>
      <c r="E346" s="56">
        <v>82.4</v>
      </c>
    </row>
    <row r="347" spans="2:5" ht="15" customHeight="1">
      <c r="B347" s="54" t="s">
        <v>690</v>
      </c>
      <c r="C347" s="55" t="s">
        <v>691</v>
      </c>
      <c r="D347" s="56">
        <v>23.4</v>
      </c>
      <c r="E347" s="56">
        <v>80.8</v>
      </c>
    </row>
    <row r="348" spans="2:5" ht="15" customHeight="1">
      <c r="B348" s="54" t="s">
        <v>692</v>
      </c>
      <c r="C348" s="55" t="s">
        <v>693</v>
      </c>
      <c r="D348" s="56">
        <v>19.399999999999999</v>
      </c>
      <c r="E348" s="56">
        <v>75.900000000000006</v>
      </c>
    </row>
    <row r="349" spans="2:5" ht="15" customHeight="1">
      <c r="B349" s="54" t="s">
        <v>694</v>
      </c>
      <c r="C349" s="55" t="s">
        <v>695</v>
      </c>
      <c r="D349" s="56">
        <v>24.1</v>
      </c>
      <c r="E349" s="56">
        <v>81.8</v>
      </c>
    </row>
    <row r="350" spans="2:5" ht="15" customHeight="1">
      <c r="B350" s="54" t="s">
        <v>696</v>
      </c>
      <c r="C350" s="55" t="s">
        <v>697</v>
      </c>
      <c r="D350" s="56">
        <v>21.2</v>
      </c>
      <c r="E350" s="56">
        <v>84.9</v>
      </c>
    </row>
    <row r="351" spans="2:5" ht="15" customHeight="1">
      <c r="B351" s="54" t="s">
        <v>698</v>
      </c>
      <c r="C351" s="55" t="s">
        <v>699</v>
      </c>
      <c r="D351" s="56">
        <v>21.7</v>
      </c>
      <c r="E351" s="56">
        <v>80.7</v>
      </c>
    </row>
    <row r="352" spans="2:5" ht="15" customHeight="1">
      <c r="B352" s="54" t="s">
        <v>700</v>
      </c>
      <c r="C352" s="55" t="s">
        <v>701</v>
      </c>
      <c r="D352" s="56">
        <v>12.2</v>
      </c>
      <c r="E352" s="56">
        <v>85.9</v>
      </c>
    </row>
    <row r="353" spans="2:5" ht="15" customHeight="1">
      <c r="B353" s="54" t="s">
        <v>702</v>
      </c>
      <c r="C353" s="55" t="s">
        <v>703</v>
      </c>
      <c r="D353" s="56">
        <v>15.5</v>
      </c>
      <c r="E353" s="56">
        <v>75.3</v>
      </c>
    </row>
    <row r="354" spans="2:5" ht="15" customHeight="1">
      <c r="B354" s="54" t="s">
        <v>704</v>
      </c>
      <c r="C354" s="55" t="s">
        <v>705</v>
      </c>
      <c r="D354" s="56">
        <v>17.100000000000001</v>
      </c>
      <c r="E354" s="56">
        <v>90.9</v>
      </c>
    </row>
    <row r="355" spans="2:5" ht="15" customHeight="1">
      <c r="B355" s="54" t="s">
        <v>706</v>
      </c>
      <c r="C355" s="55" t="s">
        <v>707</v>
      </c>
      <c r="D355" s="56">
        <v>25.6</v>
      </c>
      <c r="E355" s="56">
        <v>87.4</v>
      </c>
    </row>
    <row r="356" spans="2:5" ht="15" customHeight="1">
      <c r="B356" s="54" t="s">
        <v>708</v>
      </c>
      <c r="C356" s="55" t="s">
        <v>709</v>
      </c>
      <c r="D356" s="56">
        <v>19.2</v>
      </c>
      <c r="E356" s="56">
        <v>87.4</v>
      </c>
    </row>
    <row r="357" spans="2:5" ht="15" customHeight="1">
      <c r="B357" s="54" t="s">
        <v>710</v>
      </c>
      <c r="C357" s="55" t="s">
        <v>711</v>
      </c>
      <c r="D357" s="56">
        <v>14</v>
      </c>
      <c r="E357" s="56">
        <v>93.5</v>
      </c>
    </row>
    <row r="358" spans="2:5" ht="15" customHeight="1">
      <c r="B358" s="54" t="s">
        <v>712</v>
      </c>
      <c r="C358" s="55" t="s">
        <v>713</v>
      </c>
      <c r="D358" s="56">
        <v>27.1</v>
      </c>
      <c r="E358" s="56">
        <v>84.1</v>
      </c>
    </row>
    <row r="359" spans="2:5" ht="15" customHeight="1">
      <c r="B359" s="54" t="s">
        <v>714</v>
      </c>
      <c r="C359" s="55" t="s">
        <v>715</v>
      </c>
      <c r="D359" s="56">
        <v>6.5</v>
      </c>
      <c r="E359" s="56">
        <v>117.7</v>
      </c>
    </row>
    <row r="360" spans="2:5" ht="15" customHeight="1">
      <c r="B360" s="54" t="s">
        <v>716</v>
      </c>
      <c r="C360" s="55" t="s">
        <v>717</v>
      </c>
      <c r="D360" s="56">
        <v>6.3</v>
      </c>
      <c r="E360" s="56">
        <v>110.9</v>
      </c>
    </row>
    <row r="361" spans="2:5" ht="15" customHeight="1">
      <c r="B361" s="54" t="s">
        <v>718</v>
      </c>
      <c r="C361" s="55" t="s">
        <v>719</v>
      </c>
      <c r="D361" s="56">
        <v>4.8</v>
      </c>
      <c r="E361" s="56">
        <v>116.1</v>
      </c>
    </row>
    <row r="362" spans="2:5" ht="15" customHeight="1">
      <c r="B362" s="54" t="s">
        <v>720</v>
      </c>
      <c r="C362" s="55" t="s">
        <v>721</v>
      </c>
      <c r="D362" s="56">
        <v>32.799999999999997</v>
      </c>
      <c r="E362" s="56">
        <v>80.2</v>
      </c>
    </row>
    <row r="363" spans="2:5" ht="15" customHeight="1">
      <c r="B363" s="54" t="s">
        <v>722</v>
      </c>
      <c r="C363" s="55" t="s">
        <v>723</v>
      </c>
      <c r="D363" s="56">
        <v>26.2</v>
      </c>
      <c r="E363" s="56">
        <v>76</v>
      </c>
    </row>
    <row r="364" spans="2:5" ht="15" customHeight="1">
      <c r="B364" s="54" t="s">
        <v>724</v>
      </c>
      <c r="C364" s="55" t="s">
        <v>725</v>
      </c>
      <c r="D364" s="56">
        <v>28.9</v>
      </c>
      <c r="E364" s="56">
        <v>78.2</v>
      </c>
    </row>
    <row r="365" spans="2:5" ht="15" customHeight="1">
      <c r="B365" s="54" t="s">
        <v>726</v>
      </c>
      <c r="C365" s="55" t="s">
        <v>727</v>
      </c>
      <c r="D365" s="56">
        <v>12.2</v>
      </c>
      <c r="E365" s="56">
        <v>76.2</v>
      </c>
    </row>
    <row r="366" spans="2:5" ht="15" customHeight="1">
      <c r="B366" s="54" t="s">
        <v>728</v>
      </c>
      <c r="C366" s="55" t="s">
        <v>729</v>
      </c>
      <c r="D366" s="56">
        <v>23.6</v>
      </c>
      <c r="E366" s="56">
        <v>72.7</v>
      </c>
    </row>
    <row r="367" spans="2:5" ht="15" customHeight="1">
      <c r="B367" s="54" t="s">
        <v>730</v>
      </c>
      <c r="C367" s="55" t="s">
        <v>731</v>
      </c>
      <c r="D367" s="56">
        <v>24.3</v>
      </c>
      <c r="E367" s="56">
        <v>77.5</v>
      </c>
    </row>
    <row r="368" spans="2:5" ht="15" customHeight="1">
      <c r="B368" s="54" t="s">
        <v>732</v>
      </c>
      <c r="C368" s="55" t="s">
        <v>733</v>
      </c>
      <c r="D368" s="56">
        <v>17.7</v>
      </c>
      <c r="E368" s="56">
        <v>90</v>
      </c>
    </row>
    <row r="369" spans="2:5" ht="15" customHeight="1">
      <c r="B369" s="54" t="s">
        <v>734</v>
      </c>
      <c r="C369" s="55" t="s">
        <v>735</v>
      </c>
      <c r="D369" s="56">
        <v>26</v>
      </c>
      <c r="E369" s="56">
        <v>79.599999999999994</v>
      </c>
    </row>
    <row r="370" spans="2:5" ht="15" customHeight="1">
      <c r="B370" s="54" t="s">
        <v>736</v>
      </c>
      <c r="C370" s="55" t="s">
        <v>737</v>
      </c>
      <c r="D370" s="56">
        <v>19.600000000000001</v>
      </c>
      <c r="E370" s="56">
        <v>79.2</v>
      </c>
    </row>
    <row r="371" spans="2:5" ht="15" customHeight="1">
      <c r="B371" s="54" t="s">
        <v>738</v>
      </c>
      <c r="C371" s="55" t="s">
        <v>739</v>
      </c>
      <c r="D371" s="56">
        <v>23.2</v>
      </c>
      <c r="E371" s="56">
        <v>79.599999999999994</v>
      </c>
    </row>
    <row r="372" spans="2:5" ht="15" customHeight="1">
      <c r="B372" s="54" t="s">
        <v>740</v>
      </c>
      <c r="C372" s="55" t="s">
        <v>741</v>
      </c>
      <c r="D372" s="56">
        <v>33.6</v>
      </c>
      <c r="E372" s="56">
        <v>80.900000000000006</v>
      </c>
    </row>
    <row r="373" spans="2:5" ht="15" customHeight="1">
      <c r="B373" s="54" t="s">
        <v>742</v>
      </c>
      <c r="C373" s="55" t="s">
        <v>743</v>
      </c>
      <c r="D373" s="56">
        <v>24.6</v>
      </c>
      <c r="E373" s="56">
        <v>71.599999999999994</v>
      </c>
    </row>
    <row r="374" spans="2:5" ht="15" customHeight="1">
      <c r="B374" s="54" t="s">
        <v>744</v>
      </c>
      <c r="C374" s="55" t="s">
        <v>745</v>
      </c>
      <c r="D374" s="56">
        <v>30.6</v>
      </c>
      <c r="E374" s="56">
        <v>74.8</v>
      </c>
    </row>
    <row r="375" spans="2:5" ht="15" customHeight="1">
      <c r="B375" s="54" t="s">
        <v>746</v>
      </c>
      <c r="C375" s="55" t="s">
        <v>747</v>
      </c>
      <c r="D375" s="56">
        <v>30.2</v>
      </c>
      <c r="E375" s="56">
        <v>81.099999999999994</v>
      </c>
    </row>
    <row r="376" spans="2:5" ht="15" customHeight="1">
      <c r="B376" s="54" t="s">
        <v>748</v>
      </c>
      <c r="C376" s="55" t="s">
        <v>749</v>
      </c>
      <c r="D376" s="56">
        <v>31.1</v>
      </c>
      <c r="E376" s="56">
        <v>75.3</v>
      </c>
    </row>
    <row r="377" spans="2:5" ht="15" customHeight="1">
      <c r="B377" s="54" t="s">
        <v>750</v>
      </c>
      <c r="C377" s="55" t="s">
        <v>751</v>
      </c>
      <c r="D377" s="56">
        <v>27.5</v>
      </c>
      <c r="E377" s="56">
        <v>76.599999999999994</v>
      </c>
    </row>
    <row r="378" spans="2:5" ht="15" customHeight="1">
      <c r="B378" s="54" t="s">
        <v>752</v>
      </c>
      <c r="C378" s="55" t="s">
        <v>753</v>
      </c>
      <c r="D378" s="56">
        <v>22.9</v>
      </c>
      <c r="E378" s="56">
        <v>75.8</v>
      </c>
    </row>
    <row r="379" spans="2:5" ht="15" customHeight="1">
      <c r="B379" s="54" t="s">
        <v>754</v>
      </c>
      <c r="C379" s="55" t="s">
        <v>755</v>
      </c>
      <c r="D379" s="56">
        <v>22.2</v>
      </c>
      <c r="E379" s="56">
        <v>74.2</v>
      </c>
    </row>
    <row r="380" spans="2:5" ht="15" customHeight="1">
      <c r="B380" s="54" t="s">
        <v>756</v>
      </c>
      <c r="C380" s="55" t="s">
        <v>757</v>
      </c>
      <c r="D380" s="56">
        <v>22.8</v>
      </c>
      <c r="E380" s="56">
        <v>84.1</v>
      </c>
    </row>
    <row r="381" spans="2:5" ht="15" customHeight="1">
      <c r="B381" s="54" t="s">
        <v>758</v>
      </c>
      <c r="C381" s="55" t="s">
        <v>759</v>
      </c>
      <c r="D381" s="56">
        <v>25.3</v>
      </c>
      <c r="E381" s="56">
        <v>83.6</v>
      </c>
    </row>
    <row r="382" spans="2:5" ht="15" customHeight="1">
      <c r="B382" s="54" t="s">
        <v>760</v>
      </c>
      <c r="C382" s="55" t="s">
        <v>761</v>
      </c>
      <c r="D382" s="56">
        <v>8.4</v>
      </c>
      <c r="E382" s="56">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7</vt:i4>
      </vt:variant>
    </vt:vector>
  </HeadingPairs>
  <TitlesOfParts>
    <vt:vector size="7" baseType="lpstr">
      <vt:lpstr>Intro</vt:lpstr>
      <vt:lpstr>K-means</vt:lpstr>
      <vt:lpstr>PAM</vt:lpstr>
      <vt:lpstr>distances</vt:lpstr>
      <vt:lpstr>Silhouette</vt:lpstr>
      <vt:lpstr>Task1</vt:lpstr>
      <vt:lpstr>Task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Kasia</dc:creator>
  <cp:lastModifiedBy>Jacek Lewkowicz</cp:lastModifiedBy>
  <dcterms:created xsi:type="dcterms:W3CDTF">2014-05-10T12:46:57Z</dcterms:created>
  <dcterms:modified xsi:type="dcterms:W3CDTF">2020-10-17T10:30:10Z</dcterms:modified>
</cp:coreProperties>
</file>