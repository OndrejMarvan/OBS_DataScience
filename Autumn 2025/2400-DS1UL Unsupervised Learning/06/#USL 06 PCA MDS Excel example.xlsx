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84" windowWidth="19968" windowHeight="9192"/>
  </bookViews>
  <sheets>
    <sheet name="MDS" sheetId="7" r:id="rId1"/>
    <sheet name="MDS example" sheetId="8" r:id="rId2"/>
    <sheet name="PCA" sheetId="11" r:id="rId3"/>
    <sheet name="road data" sheetId="9" r:id="rId4"/>
    <sheet name="full road data" sheetId="12" r:id="rId5"/>
  </sheets>
  <definedNames>
    <definedName name="solver_adj" localSheetId="1" hidden="1">'MDS example'!$Q$32:$R$41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'MDS example'!$T$70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45621"/>
</workbook>
</file>

<file path=xl/calcChain.xml><?xml version="1.0" encoding="utf-8"?>
<calcChain xmlns="http://schemas.openxmlformats.org/spreadsheetml/2006/main">
  <c r="Q55" i="8" l="1"/>
  <c r="Q56" i="8"/>
  <c r="Q57" i="8"/>
  <c r="Q58" i="8"/>
  <c r="Q59" i="8"/>
  <c r="Q60" i="8"/>
  <c r="Q61" i="8"/>
  <c r="Q62" i="8"/>
  <c r="Q63" i="8"/>
  <c r="A3" i="9" l="1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2" i="9"/>
  <c r="C23" i="11" l="1"/>
  <c r="B23" i="11"/>
  <c r="B24" i="11"/>
  <c r="C24" i="11"/>
  <c r="BZ30" i="11"/>
  <c r="BZ31" i="11"/>
  <c r="BZ32" i="11"/>
  <c r="BZ33" i="11"/>
  <c r="BZ34" i="11"/>
  <c r="BZ35" i="11"/>
  <c r="BZ36" i="11"/>
  <c r="BZ37" i="11"/>
  <c r="BZ38" i="11"/>
  <c r="BZ39" i="11"/>
  <c r="BZ41" i="11"/>
  <c r="BZ42" i="11"/>
  <c r="BZ43" i="11"/>
  <c r="BZ44" i="11"/>
  <c r="BZ45" i="11"/>
  <c r="BZ46" i="11"/>
  <c r="BZ47" i="11"/>
  <c r="BZ48" i="11"/>
  <c r="BZ49" i="11"/>
  <c r="BZ50" i="11"/>
  <c r="BZ51" i="11"/>
  <c r="BZ52" i="11"/>
  <c r="BZ53" i="11"/>
  <c r="BZ54" i="11"/>
  <c r="BZ55" i="11"/>
  <c r="BZ56" i="11"/>
  <c r="BZ57" i="11"/>
  <c r="BZ58" i="11"/>
  <c r="BZ59" i="11"/>
  <c r="BZ60" i="11"/>
  <c r="BZ61" i="11"/>
  <c r="BZ62" i="11"/>
  <c r="BZ63" i="11"/>
  <c r="BZ64" i="11"/>
  <c r="BZ65" i="11"/>
  <c r="BZ66" i="11"/>
  <c r="BZ67" i="11"/>
  <c r="BZ68" i="11"/>
  <c r="BZ69" i="11"/>
  <c r="BZ70" i="11"/>
  <c r="BZ71" i="11"/>
  <c r="BZ72" i="11"/>
  <c r="BZ73" i="11"/>
  <c r="BZ74" i="11"/>
  <c r="BZ75" i="11"/>
  <c r="BZ76" i="11"/>
  <c r="BZ77" i="11"/>
  <c r="BZ78" i="11"/>
  <c r="BZ79" i="11"/>
  <c r="BZ80" i="11"/>
  <c r="BZ81" i="11"/>
  <c r="BZ82" i="11"/>
  <c r="BZ83" i="11"/>
  <c r="BZ84" i="11"/>
  <c r="BZ85" i="11"/>
  <c r="BZ86" i="11"/>
  <c r="BZ87" i="11"/>
  <c r="BZ88" i="11"/>
  <c r="BZ89" i="11"/>
  <c r="BZ90" i="11"/>
  <c r="BZ91" i="11"/>
  <c r="BZ92" i="11"/>
  <c r="BZ93" i="11"/>
  <c r="BZ94" i="11"/>
  <c r="BZ95" i="11"/>
  <c r="BZ96" i="11"/>
  <c r="BZ97" i="11"/>
  <c r="BZ98" i="11"/>
  <c r="BZ100" i="11"/>
  <c r="BZ101" i="11"/>
  <c r="BZ102" i="11"/>
  <c r="BZ103" i="11"/>
  <c r="BZ104" i="11"/>
  <c r="BZ105" i="11"/>
  <c r="BZ106" i="11"/>
  <c r="BZ107" i="11"/>
  <c r="BZ108" i="11"/>
  <c r="BZ109" i="11"/>
  <c r="BZ110" i="11"/>
  <c r="BZ111" i="11"/>
  <c r="BZ112" i="11"/>
  <c r="BZ113" i="11"/>
  <c r="BZ114" i="11"/>
  <c r="BZ115" i="11"/>
  <c r="BZ116" i="11"/>
  <c r="BZ117" i="11"/>
  <c r="BZ118" i="11"/>
  <c r="BZ119" i="11"/>
  <c r="BZ120" i="11"/>
  <c r="BZ121" i="11"/>
  <c r="BZ123" i="11"/>
  <c r="BZ124" i="11"/>
  <c r="BZ125" i="11"/>
  <c r="BZ126" i="11"/>
  <c r="BZ127" i="11"/>
  <c r="BZ128" i="11"/>
  <c r="BZ129" i="11"/>
  <c r="BZ130" i="11"/>
  <c r="BZ131" i="11"/>
  <c r="BZ132" i="11"/>
  <c r="BZ133" i="11"/>
  <c r="BZ134" i="11"/>
  <c r="BZ135" i="11"/>
  <c r="BZ136" i="11"/>
  <c r="BZ137" i="11"/>
  <c r="BZ138" i="11"/>
  <c r="BZ139" i="11"/>
  <c r="BZ140" i="11"/>
  <c r="BZ141" i="11"/>
  <c r="BZ142" i="11"/>
  <c r="BZ143" i="11"/>
  <c r="BZ144" i="11"/>
  <c r="BZ145" i="11"/>
  <c r="BZ146" i="11"/>
  <c r="BZ148" i="11"/>
  <c r="BZ149" i="11"/>
  <c r="BZ151" i="11"/>
  <c r="BZ152" i="11"/>
  <c r="BZ153" i="11"/>
  <c r="BZ154" i="11"/>
  <c r="BZ155" i="11"/>
  <c r="BZ156" i="11"/>
  <c r="BZ157" i="11"/>
  <c r="BZ158" i="11"/>
  <c r="BZ159" i="11"/>
  <c r="BZ160" i="11"/>
  <c r="BZ161" i="11"/>
  <c r="BZ162" i="11"/>
  <c r="BZ163" i="11"/>
  <c r="BZ164" i="11"/>
  <c r="BZ165" i="11"/>
  <c r="BZ166" i="11"/>
  <c r="BZ167" i="11"/>
  <c r="BZ168" i="11"/>
  <c r="BZ169" i="11"/>
  <c r="BZ170" i="11"/>
  <c r="BZ171" i="11"/>
  <c r="BZ172" i="11"/>
  <c r="BZ173" i="11"/>
  <c r="BZ174" i="11"/>
  <c r="BZ175" i="11"/>
  <c r="BZ176" i="11"/>
  <c r="BZ177" i="11"/>
  <c r="BZ178" i="11"/>
  <c r="BZ180" i="11"/>
  <c r="BZ181" i="11"/>
  <c r="BZ182" i="11"/>
  <c r="BZ183" i="11"/>
  <c r="BZ184" i="11"/>
  <c r="BZ185" i="11"/>
  <c r="BZ186" i="11"/>
  <c r="BZ188" i="11"/>
  <c r="BZ189" i="11"/>
  <c r="BZ190" i="11"/>
  <c r="BZ191" i="11"/>
  <c r="BZ192" i="11"/>
  <c r="BZ193" i="11"/>
  <c r="BZ194" i="11"/>
  <c r="BZ195" i="11"/>
  <c r="BZ196" i="11"/>
  <c r="BZ197" i="11"/>
  <c r="BZ198" i="11"/>
  <c r="BZ199" i="11"/>
  <c r="BZ200" i="11"/>
  <c r="BZ201" i="11"/>
  <c r="BZ202" i="11"/>
  <c r="BZ203" i="11"/>
  <c r="BZ204" i="11"/>
  <c r="BZ205" i="11"/>
  <c r="BZ206" i="11"/>
  <c r="BZ207" i="11"/>
  <c r="BZ208" i="11"/>
  <c r="BZ209" i="11"/>
  <c r="BZ210" i="11"/>
  <c r="BZ211" i="11"/>
  <c r="BZ212" i="11"/>
  <c r="BZ213" i="11"/>
  <c r="BZ214" i="11"/>
  <c r="BZ215" i="11"/>
  <c r="BZ216" i="11"/>
  <c r="BZ217" i="11"/>
  <c r="BZ218" i="11"/>
  <c r="BZ219" i="11"/>
  <c r="BZ220" i="11"/>
  <c r="BZ221" i="11"/>
  <c r="BZ222" i="11"/>
  <c r="BZ223" i="11"/>
  <c r="BZ224" i="11"/>
  <c r="BZ225" i="11"/>
  <c r="BZ227" i="11"/>
  <c r="BZ228" i="11"/>
  <c r="BZ229" i="11"/>
  <c r="BZ230" i="11"/>
  <c r="BZ231" i="11"/>
  <c r="BZ232" i="11"/>
  <c r="BZ233" i="11"/>
  <c r="BZ234" i="11"/>
  <c r="BZ235" i="11"/>
  <c r="BZ236" i="11"/>
  <c r="BZ237" i="11"/>
  <c r="BZ238" i="11"/>
  <c r="BZ239" i="11"/>
  <c r="BZ241" i="11"/>
  <c r="BZ242" i="11"/>
  <c r="BZ243" i="11"/>
  <c r="BZ244" i="11"/>
  <c r="BZ245" i="11"/>
  <c r="BZ246" i="11"/>
  <c r="BZ247" i="11"/>
  <c r="BZ248" i="11"/>
  <c r="BZ249" i="11"/>
  <c r="BZ250" i="11"/>
  <c r="BZ251" i="11"/>
  <c r="BZ252" i="11"/>
  <c r="BZ254" i="11"/>
  <c r="BZ255" i="11"/>
  <c r="BZ256" i="11"/>
  <c r="BZ257" i="11"/>
  <c r="BZ258" i="11"/>
  <c r="BZ259" i="11"/>
  <c r="BZ260" i="11"/>
  <c r="BZ261" i="11"/>
  <c r="BZ262" i="11"/>
  <c r="BZ263" i="11"/>
  <c r="BZ264" i="11"/>
  <c r="BZ265" i="11"/>
  <c r="BZ266" i="11"/>
  <c r="BZ267" i="11"/>
  <c r="BZ268" i="11"/>
  <c r="BZ269" i="11"/>
  <c r="BZ270" i="11"/>
  <c r="BZ271" i="11"/>
  <c r="BZ272" i="11"/>
  <c r="BZ273" i="11"/>
  <c r="BZ274" i="11"/>
  <c r="BZ275" i="11"/>
  <c r="BZ277" i="11"/>
  <c r="BZ278" i="11"/>
  <c r="BZ279" i="11"/>
  <c r="BZ280" i="11"/>
  <c r="BZ281" i="11"/>
  <c r="BZ282" i="11"/>
  <c r="BZ283" i="11"/>
  <c r="BZ284" i="11"/>
  <c r="BZ285" i="11"/>
  <c r="BZ286" i="11"/>
  <c r="BZ287" i="11"/>
  <c r="BZ288" i="11"/>
  <c r="BZ289" i="11"/>
  <c r="BZ290" i="11"/>
  <c r="BZ291" i="11"/>
  <c r="BZ292" i="11"/>
  <c r="BZ293" i="11"/>
  <c r="BZ294" i="11"/>
  <c r="BZ295" i="11"/>
  <c r="BZ296" i="11"/>
  <c r="BZ297" i="11"/>
  <c r="BZ298" i="11"/>
  <c r="BZ299" i="11"/>
  <c r="BZ300" i="11"/>
  <c r="BZ301" i="11"/>
  <c r="BZ302" i="11"/>
  <c r="BZ303" i="11"/>
  <c r="BZ304" i="11"/>
  <c r="BZ305" i="11"/>
  <c r="BZ306" i="11"/>
  <c r="BZ307" i="11"/>
  <c r="BZ308" i="11"/>
  <c r="BZ309" i="11"/>
  <c r="BZ310" i="11"/>
  <c r="BZ311" i="11"/>
  <c r="BZ312" i="11"/>
  <c r="BZ313" i="11"/>
  <c r="BZ314" i="11"/>
  <c r="BZ316" i="11"/>
  <c r="BZ317" i="11"/>
  <c r="BZ318" i="11"/>
  <c r="BZ319" i="11"/>
  <c r="BZ320" i="11"/>
  <c r="BZ321" i="11"/>
  <c r="BZ322" i="11"/>
  <c r="BZ323" i="11"/>
  <c r="BZ324" i="11"/>
  <c r="BZ325" i="11"/>
  <c r="BZ326" i="11"/>
  <c r="BZ327" i="11"/>
  <c r="BZ329" i="11"/>
  <c r="BZ330" i="11"/>
  <c r="BZ331" i="11"/>
  <c r="BZ333" i="11"/>
  <c r="BZ334" i="11"/>
  <c r="BZ335" i="11"/>
  <c r="BZ336" i="11"/>
  <c r="BZ337" i="11"/>
  <c r="BZ338" i="11"/>
  <c r="BZ339" i="11"/>
  <c r="BZ340" i="11"/>
  <c r="BZ341" i="11"/>
  <c r="BZ342" i="11"/>
  <c r="BZ343" i="11"/>
  <c r="BZ344" i="11"/>
  <c r="BZ345" i="11"/>
  <c r="BZ346" i="11"/>
  <c r="BZ347" i="11"/>
  <c r="BZ348" i="11"/>
  <c r="BZ349" i="11"/>
  <c r="BZ350" i="11"/>
  <c r="BZ351" i="11"/>
  <c r="BZ352" i="11"/>
  <c r="BZ353" i="11"/>
  <c r="BZ354" i="11"/>
  <c r="BZ355" i="11"/>
  <c r="BZ356" i="11"/>
  <c r="BZ358" i="11"/>
  <c r="BZ359" i="11"/>
  <c r="BZ360" i="11"/>
  <c r="BZ361" i="11"/>
  <c r="BZ362" i="11"/>
  <c r="BZ363" i="11"/>
  <c r="BZ364" i="11"/>
  <c r="BZ365" i="11"/>
  <c r="BZ366" i="11"/>
  <c r="BZ367" i="11"/>
  <c r="BZ368" i="11"/>
  <c r="BZ369" i="11"/>
  <c r="BZ370" i="11"/>
  <c r="BZ371" i="11"/>
  <c r="BZ372" i="11"/>
  <c r="BZ373" i="11"/>
  <c r="BZ374" i="11"/>
  <c r="BZ375" i="11"/>
  <c r="BZ376" i="11"/>
  <c r="BZ377" i="11"/>
  <c r="BZ378" i="11"/>
  <c r="BZ379" i="11"/>
  <c r="BZ380" i="11"/>
  <c r="BZ381" i="11"/>
  <c r="BZ382" i="11"/>
  <c r="BZ383" i="11"/>
  <c r="BZ384" i="11"/>
  <c r="BZ385" i="11"/>
  <c r="BZ386" i="11"/>
  <c r="BZ387" i="11"/>
  <c r="BZ388" i="11"/>
  <c r="BZ389" i="11"/>
  <c r="BZ390" i="11"/>
  <c r="BZ391" i="11"/>
  <c r="BZ392" i="11"/>
  <c r="BZ393" i="11"/>
  <c r="BZ394" i="11"/>
  <c r="BZ395" i="11"/>
  <c r="BZ396" i="11"/>
  <c r="BZ398" i="11"/>
  <c r="BZ399" i="11"/>
  <c r="BZ400" i="11"/>
  <c r="BZ401" i="11"/>
  <c r="BZ402" i="11"/>
  <c r="BZ403" i="11"/>
  <c r="BZ404" i="11"/>
  <c r="BZ405" i="11"/>
  <c r="BZ406" i="11"/>
  <c r="BZ407" i="11"/>
  <c r="BZ408" i="11"/>
  <c r="BZ29" i="11"/>
  <c r="BH69" i="11" l="1"/>
  <c r="BH71" i="11"/>
  <c r="BH73" i="11"/>
  <c r="BH75" i="11"/>
  <c r="BH77" i="11"/>
  <c r="BH79" i="11"/>
  <c r="BH81" i="11"/>
  <c r="BH68" i="11"/>
  <c r="BG84" i="11"/>
  <c r="BH70" i="11" s="1"/>
  <c r="BI68" i="11" l="1"/>
  <c r="BI69" i="11" s="1"/>
  <c r="BI70" i="11" s="1"/>
  <c r="BI71" i="11" s="1"/>
  <c r="BH82" i="11"/>
  <c r="BH80" i="11"/>
  <c r="BH78" i="11"/>
  <c r="BH76" i="11"/>
  <c r="BH74" i="11"/>
  <c r="BH72" i="11"/>
  <c r="BH84" i="11" s="1"/>
  <c r="BI72" i="11" l="1"/>
  <c r="BI73" i="11" s="1"/>
  <c r="BI74" i="11" s="1"/>
  <c r="BI75" i="11" s="1"/>
  <c r="BI76" i="11" s="1"/>
  <c r="BI77" i="11" s="1"/>
  <c r="BI78" i="11" s="1"/>
  <c r="BI79" i="11" s="1"/>
  <c r="BI80" i="11" s="1"/>
  <c r="BI81" i="11" s="1"/>
  <c r="BI82" i="11" s="1"/>
  <c r="E23" i="11"/>
  <c r="Y321" i="11" s="1"/>
  <c r="F23" i="11"/>
  <c r="G23" i="11"/>
  <c r="AA319" i="11" s="1"/>
  <c r="H23" i="11"/>
  <c r="I23" i="11"/>
  <c r="AC321" i="11" s="1"/>
  <c r="J23" i="11"/>
  <c r="K23" i="11"/>
  <c r="AE319" i="11" s="1"/>
  <c r="L23" i="11"/>
  <c r="M23" i="11"/>
  <c r="AG321" i="11" s="1"/>
  <c r="N23" i="11"/>
  <c r="O23" i="11"/>
  <c r="AI319" i="11" s="1"/>
  <c r="P23" i="11"/>
  <c r="Q23" i="11"/>
  <c r="AK321" i="11" s="1"/>
  <c r="R23" i="11"/>
  <c r="E24" i="11"/>
  <c r="F24" i="11"/>
  <c r="Z387" i="11" s="1"/>
  <c r="G24" i="11"/>
  <c r="H24" i="11"/>
  <c r="AB391" i="11" s="1"/>
  <c r="I24" i="11"/>
  <c r="J24" i="11"/>
  <c r="AD399" i="11" s="1"/>
  <c r="K24" i="11"/>
  <c r="L24" i="11"/>
  <c r="AF405" i="11" s="1"/>
  <c r="M24" i="11"/>
  <c r="N24" i="11"/>
  <c r="O24" i="11"/>
  <c r="P24" i="11"/>
  <c r="Q24" i="11"/>
  <c r="R24" i="11"/>
  <c r="D24" i="11"/>
  <c r="D23" i="11"/>
  <c r="X28" i="11" l="1"/>
  <c r="X30" i="11"/>
  <c r="X32" i="11"/>
  <c r="X34" i="11"/>
  <c r="X36" i="11"/>
  <c r="X38" i="11"/>
  <c r="X40" i="11"/>
  <c r="X42" i="11"/>
  <c r="X44" i="11"/>
  <c r="X46" i="11"/>
  <c r="X48" i="11"/>
  <c r="X50" i="11"/>
  <c r="X27" i="11"/>
  <c r="X29" i="11"/>
  <c r="X31" i="11"/>
  <c r="X33" i="11"/>
  <c r="X35" i="11"/>
  <c r="X37" i="11"/>
  <c r="X39" i="11"/>
  <c r="X41" i="11"/>
  <c r="X43" i="11"/>
  <c r="X45" i="11"/>
  <c r="X47" i="11"/>
  <c r="X49" i="11"/>
  <c r="X52" i="11"/>
  <c r="X54" i="11"/>
  <c r="X56" i="11"/>
  <c r="X58" i="11"/>
  <c r="X60" i="11"/>
  <c r="X62" i="11"/>
  <c r="X64" i="11"/>
  <c r="X66" i="11"/>
  <c r="X68" i="11"/>
  <c r="X70" i="11"/>
  <c r="X72" i="11"/>
  <c r="X74" i="11"/>
  <c r="X76" i="11"/>
  <c r="X78" i="11"/>
  <c r="X80" i="11"/>
  <c r="X82" i="11"/>
  <c r="X84" i="11"/>
  <c r="X86" i="11"/>
  <c r="X88" i="11"/>
  <c r="X90" i="11"/>
  <c r="X92" i="11"/>
  <c r="X94" i="11"/>
  <c r="X51" i="11"/>
  <c r="X53" i="11"/>
  <c r="X55" i="11"/>
  <c r="X57" i="11"/>
  <c r="X59" i="11"/>
  <c r="X61" i="11"/>
  <c r="X63" i="11"/>
  <c r="X65" i="11"/>
  <c r="X67" i="11"/>
  <c r="X69" i="11"/>
  <c r="X71" i="11"/>
  <c r="X73" i="11"/>
  <c r="X75" i="11"/>
  <c r="X77" i="11"/>
  <c r="X79" i="11"/>
  <c r="X81" i="11"/>
  <c r="X83" i="11"/>
  <c r="X85" i="11"/>
  <c r="X87" i="11"/>
  <c r="X89" i="11"/>
  <c r="X91" i="11"/>
  <c r="X95" i="11"/>
  <c r="X96" i="11"/>
  <c r="X98" i="11"/>
  <c r="X100" i="11"/>
  <c r="X102" i="11"/>
  <c r="X104" i="11"/>
  <c r="X106" i="11"/>
  <c r="X108" i="11"/>
  <c r="X110" i="11"/>
  <c r="X112" i="11"/>
  <c r="X114" i="11"/>
  <c r="X116" i="11"/>
  <c r="X118" i="11"/>
  <c r="X120" i="11"/>
  <c r="X122" i="11"/>
  <c r="X124" i="11"/>
  <c r="X126" i="11"/>
  <c r="X128" i="11"/>
  <c r="X130" i="11"/>
  <c r="X132" i="11"/>
  <c r="X134" i="11"/>
  <c r="X136" i="11"/>
  <c r="X138" i="11"/>
  <c r="X140" i="11"/>
  <c r="X93" i="11"/>
  <c r="X97" i="11"/>
  <c r="X99" i="11"/>
  <c r="X101" i="11"/>
  <c r="X103" i="11"/>
  <c r="X105" i="11"/>
  <c r="X107" i="11"/>
  <c r="X109" i="11"/>
  <c r="X111" i="11"/>
  <c r="X113" i="11"/>
  <c r="X115" i="11"/>
  <c r="X117" i="11"/>
  <c r="X119" i="11"/>
  <c r="X121" i="11"/>
  <c r="X123" i="11"/>
  <c r="X125" i="11"/>
  <c r="X127" i="11"/>
  <c r="X129" i="11"/>
  <c r="X131" i="11"/>
  <c r="X133" i="11"/>
  <c r="X135" i="11"/>
  <c r="X137" i="11"/>
  <c r="X139" i="11"/>
  <c r="X142" i="11"/>
  <c r="X144" i="11"/>
  <c r="X146" i="11"/>
  <c r="X148" i="11"/>
  <c r="X150" i="11"/>
  <c r="X152" i="11"/>
  <c r="X154" i="11"/>
  <c r="X156" i="11"/>
  <c r="X158" i="11"/>
  <c r="X160" i="11"/>
  <c r="X162" i="11"/>
  <c r="X164" i="11"/>
  <c r="X166" i="11"/>
  <c r="X168" i="11"/>
  <c r="X170" i="11"/>
  <c r="X172" i="11"/>
  <c r="X174" i="11"/>
  <c r="X176" i="11"/>
  <c r="X178" i="11"/>
  <c r="X180" i="11"/>
  <c r="X182" i="11"/>
  <c r="X184" i="11"/>
  <c r="X186" i="11"/>
  <c r="X188" i="11"/>
  <c r="X190" i="11"/>
  <c r="X192" i="11"/>
  <c r="X194" i="11"/>
  <c r="X196" i="11"/>
  <c r="X198" i="11"/>
  <c r="X200" i="11"/>
  <c r="X202" i="11"/>
  <c r="X204" i="11"/>
  <c r="X206" i="11"/>
  <c r="X208" i="11"/>
  <c r="X210" i="11"/>
  <c r="X212" i="11"/>
  <c r="X214" i="11"/>
  <c r="X216" i="11"/>
  <c r="X218" i="11"/>
  <c r="X220" i="11"/>
  <c r="X222" i="11"/>
  <c r="X224" i="11"/>
  <c r="X226" i="11"/>
  <c r="X228" i="11"/>
  <c r="X230" i="11"/>
  <c r="X141" i="11"/>
  <c r="X143" i="11"/>
  <c r="X145" i="11"/>
  <c r="X147" i="11"/>
  <c r="X149" i="11"/>
  <c r="X151" i="11"/>
  <c r="X153" i="11"/>
  <c r="X155" i="11"/>
  <c r="X157" i="11"/>
  <c r="X159" i="11"/>
  <c r="X161" i="11"/>
  <c r="X163" i="11"/>
  <c r="X165" i="11"/>
  <c r="X167" i="11"/>
  <c r="X169" i="11"/>
  <c r="X171" i="11"/>
  <c r="X173" i="11"/>
  <c r="X175" i="11"/>
  <c r="X177" i="11"/>
  <c r="X179" i="11"/>
  <c r="X181" i="11"/>
  <c r="X183" i="11"/>
  <c r="X185" i="11"/>
  <c r="X187" i="11"/>
  <c r="X189" i="11"/>
  <c r="X191" i="11"/>
  <c r="X193" i="11"/>
  <c r="X195" i="11"/>
  <c r="X197" i="11"/>
  <c r="X199" i="11"/>
  <c r="X201" i="11"/>
  <c r="X203" i="11"/>
  <c r="X205" i="11"/>
  <c r="X207" i="11"/>
  <c r="X209" i="11"/>
  <c r="X211" i="11"/>
  <c r="X213" i="11"/>
  <c r="X215" i="11"/>
  <c r="X217" i="11"/>
  <c r="X219" i="11"/>
  <c r="X221" i="11"/>
  <c r="X223" i="11"/>
  <c r="X225" i="11"/>
  <c r="X229" i="11"/>
  <c r="X231" i="11"/>
  <c r="X233" i="11"/>
  <c r="X235" i="11"/>
  <c r="X237" i="11"/>
  <c r="X239" i="11"/>
  <c r="X241" i="11"/>
  <c r="X243" i="11"/>
  <c r="X245" i="11"/>
  <c r="X247" i="11"/>
  <c r="X249" i="11"/>
  <c r="X251" i="11"/>
  <c r="X253" i="11"/>
  <c r="X255" i="11"/>
  <c r="X257" i="11"/>
  <c r="X259" i="11"/>
  <c r="X261" i="11"/>
  <c r="X263" i="11"/>
  <c r="X265" i="11"/>
  <c r="X267" i="11"/>
  <c r="X269" i="11"/>
  <c r="X271" i="11"/>
  <c r="X273" i="11"/>
  <c r="X275" i="11"/>
  <c r="X277" i="11"/>
  <c r="X279" i="11"/>
  <c r="X281" i="11"/>
  <c r="X283" i="11"/>
  <c r="X285" i="11"/>
  <c r="X287" i="11"/>
  <c r="X289" i="11"/>
  <c r="X291" i="11"/>
  <c r="X293" i="11"/>
  <c r="X295" i="11"/>
  <c r="X297" i="11"/>
  <c r="X299" i="11"/>
  <c r="X301" i="11"/>
  <c r="X303" i="11"/>
  <c r="X305" i="11"/>
  <c r="X307" i="11"/>
  <c r="X309" i="11"/>
  <c r="X311" i="11"/>
  <c r="X313" i="11"/>
  <c r="X315" i="11"/>
  <c r="X317" i="11"/>
  <c r="X319" i="11"/>
  <c r="X321" i="11"/>
  <c r="X323" i="11"/>
  <c r="X227" i="11"/>
  <c r="X232" i="11"/>
  <c r="X234" i="11"/>
  <c r="X236" i="11"/>
  <c r="X238" i="11"/>
  <c r="X240" i="11"/>
  <c r="X242" i="11"/>
  <c r="X244" i="11"/>
  <c r="X246" i="11"/>
  <c r="X248" i="11"/>
  <c r="X250" i="11"/>
  <c r="X252" i="11"/>
  <c r="X254" i="11"/>
  <c r="X256" i="11"/>
  <c r="X258" i="11"/>
  <c r="X260" i="11"/>
  <c r="X262" i="11"/>
  <c r="X264" i="11"/>
  <c r="X266" i="11"/>
  <c r="X268" i="11"/>
  <c r="X270" i="11"/>
  <c r="X272" i="11"/>
  <c r="X274" i="11"/>
  <c r="X276" i="11"/>
  <c r="X278" i="11"/>
  <c r="X280" i="11"/>
  <c r="X282" i="11"/>
  <c r="X284" i="11"/>
  <c r="X286" i="11"/>
  <c r="X288" i="11"/>
  <c r="X290" i="11"/>
  <c r="X292" i="11"/>
  <c r="X294" i="11"/>
  <c r="X296" i="11"/>
  <c r="X298" i="11"/>
  <c r="X300" i="11"/>
  <c r="X302" i="11"/>
  <c r="X304" i="11"/>
  <c r="X306" i="11"/>
  <c r="X308" i="11"/>
  <c r="X310" i="11"/>
  <c r="X312" i="11"/>
  <c r="X314" i="11"/>
  <c r="X316" i="11"/>
  <c r="X318" i="11"/>
  <c r="AL28" i="11"/>
  <c r="AL30" i="11"/>
  <c r="AL32" i="11"/>
  <c r="AL34" i="11"/>
  <c r="AL36" i="11"/>
  <c r="AL38" i="11"/>
  <c r="AL40" i="11"/>
  <c r="AL42" i="11"/>
  <c r="AL44" i="11"/>
  <c r="AL46" i="11"/>
  <c r="AL48" i="11"/>
  <c r="AL27" i="11"/>
  <c r="AL29" i="11"/>
  <c r="AL31" i="11"/>
  <c r="AL33" i="11"/>
  <c r="AL35" i="11"/>
  <c r="AL37" i="11"/>
  <c r="AL39" i="11"/>
  <c r="AL41" i="11"/>
  <c r="AL43" i="11"/>
  <c r="AL45" i="11"/>
  <c r="AL47" i="11"/>
  <c r="AL50" i="11"/>
  <c r="AL52" i="11"/>
  <c r="AL54" i="11"/>
  <c r="AL56" i="11"/>
  <c r="AL58" i="11"/>
  <c r="AL60" i="11"/>
  <c r="AL62" i="11"/>
  <c r="AL64" i="11"/>
  <c r="AL66" i="11"/>
  <c r="AL68" i="11"/>
  <c r="AL70" i="11"/>
  <c r="AL72" i="11"/>
  <c r="AL74" i="11"/>
  <c r="AL76" i="11"/>
  <c r="AL78" i="11"/>
  <c r="AL80" i="11"/>
  <c r="AL82" i="11"/>
  <c r="AL84" i="11"/>
  <c r="AL86" i="11"/>
  <c r="AL88" i="11"/>
  <c r="AL90" i="11"/>
  <c r="AL92" i="11"/>
  <c r="AL94" i="11"/>
  <c r="AL49" i="11"/>
  <c r="AL51" i="11"/>
  <c r="AL53" i="11"/>
  <c r="AL55" i="11"/>
  <c r="AL57" i="11"/>
  <c r="AL59" i="11"/>
  <c r="AL61" i="11"/>
  <c r="AL63" i="11"/>
  <c r="AL65" i="11"/>
  <c r="AL67" i="11"/>
  <c r="AL69" i="11"/>
  <c r="AL71" i="11"/>
  <c r="AL73" i="11"/>
  <c r="AL75" i="11"/>
  <c r="AL77" i="11"/>
  <c r="AL79" i="11"/>
  <c r="AL81" i="11"/>
  <c r="AL83" i="11"/>
  <c r="AL85" i="11"/>
  <c r="AL87" i="11"/>
  <c r="AL89" i="11"/>
  <c r="AL93" i="11"/>
  <c r="AL96" i="11"/>
  <c r="AL98" i="11"/>
  <c r="AL100" i="11"/>
  <c r="AL102" i="11"/>
  <c r="AL104" i="11"/>
  <c r="AL106" i="11"/>
  <c r="AL108" i="11"/>
  <c r="AL110" i="11"/>
  <c r="AL112" i="11"/>
  <c r="AL114" i="11"/>
  <c r="AL116" i="11"/>
  <c r="AL118" i="11"/>
  <c r="AL120" i="11"/>
  <c r="AL122" i="11"/>
  <c r="AL124" i="11"/>
  <c r="AL126" i="11"/>
  <c r="AL128" i="11"/>
  <c r="AL130" i="11"/>
  <c r="AL132" i="11"/>
  <c r="AL134" i="11"/>
  <c r="AL136" i="11"/>
  <c r="AL138" i="11"/>
  <c r="AL140" i="11"/>
  <c r="AL91" i="11"/>
  <c r="AL95" i="11"/>
  <c r="AL97" i="11"/>
  <c r="AL99" i="11"/>
  <c r="AL101" i="11"/>
  <c r="AL103" i="11"/>
  <c r="AL105" i="11"/>
  <c r="AL107" i="11"/>
  <c r="AL109" i="11"/>
  <c r="AL111" i="11"/>
  <c r="AL113" i="11"/>
  <c r="AL115" i="11"/>
  <c r="AL117" i="11"/>
  <c r="AL119" i="11"/>
  <c r="AL121" i="11"/>
  <c r="AL123" i="11"/>
  <c r="AL125" i="11"/>
  <c r="AL127" i="11"/>
  <c r="AL129" i="11"/>
  <c r="AL131" i="11"/>
  <c r="AL133" i="11"/>
  <c r="AL135" i="11"/>
  <c r="AL137" i="11"/>
  <c r="AL142" i="11"/>
  <c r="AL144" i="11"/>
  <c r="AL146" i="11"/>
  <c r="AL148" i="11"/>
  <c r="AL150" i="11"/>
  <c r="AL152" i="11"/>
  <c r="AL154" i="11"/>
  <c r="AL156" i="11"/>
  <c r="AL158" i="11"/>
  <c r="AL160" i="11"/>
  <c r="AL162" i="11"/>
  <c r="AL164" i="11"/>
  <c r="AL166" i="11"/>
  <c r="AL168" i="11"/>
  <c r="AL170" i="11"/>
  <c r="AL172" i="11"/>
  <c r="AL174" i="11"/>
  <c r="AL176" i="11"/>
  <c r="AL178" i="11"/>
  <c r="AL180" i="11"/>
  <c r="AL182" i="11"/>
  <c r="AL184" i="11"/>
  <c r="AL186" i="11"/>
  <c r="AL188" i="11"/>
  <c r="AL190" i="11"/>
  <c r="AL192" i="11"/>
  <c r="AL194" i="11"/>
  <c r="AL196" i="11"/>
  <c r="AL198" i="11"/>
  <c r="AL200" i="11"/>
  <c r="AL202" i="11"/>
  <c r="AL204" i="11"/>
  <c r="AL206" i="11"/>
  <c r="AL208" i="11"/>
  <c r="AL210" i="11"/>
  <c r="AL212" i="11"/>
  <c r="AL214" i="11"/>
  <c r="AL216" i="11"/>
  <c r="AL218" i="11"/>
  <c r="AL220" i="11"/>
  <c r="AL222" i="11"/>
  <c r="AL224" i="11"/>
  <c r="AL226" i="11"/>
  <c r="AL228" i="11"/>
  <c r="AL139" i="11"/>
  <c r="AL141" i="11"/>
  <c r="AL143" i="11"/>
  <c r="AL145" i="11"/>
  <c r="AL147" i="11"/>
  <c r="AL149" i="11"/>
  <c r="AL151" i="11"/>
  <c r="AL153" i="11"/>
  <c r="AL155" i="11"/>
  <c r="AL157" i="11"/>
  <c r="AL159" i="11"/>
  <c r="AL161" i="11"/>
  <c r="AL163" i="11"/>
  <c r="AL165" i="11"/>
  <c r="AL167" i="11"/>
  <c r="AL169" i="11"/>
  <c r="AL171" i="11"/>
  <c r="AL173" i="11"/>
  <c r="AL175" i="11"/>
  <c r="AL177" i="11"/>
  <c r="AL179" i="11"/>
  <c r="AL181" i="11"/>
  <c r="AL183" i="11"/>
  <c r="AL185" i="11"/>
  <c r="AL187" i="11"/>
  <c r="AL189" i="11"/>
  <c r="AL191" i="11"/>
  <c r="AL193" i="11"/>
  <c r="AL195" i="11"/>
  <c r="AL197" i="11"/>
  <c r="AL199" i="11"/>
  <c r="AL201" i="11"/>
  <c r="AL203" i="11"/>
  <c r="AL205" i="11"/>
  <c r="AL207" i="11"/>
  <c r="AL209" i="11"/>
  <c r="AL211" i="11"/>
  <c r="AL213" i="11"/>
  <c r="AL215" i="11"/>
  <c r="AL217" i="11"/>
  <c r="AL219" i="11"/>
  <c r="AL221" i="11"/>
  <c r="AL223" i="11"/>
  <c r="AL227" i="11"/>
  <c r="AL231" i="11"/>
  <c r="AL233" i="11"/>
  <c r="AL235" i="11"/>
  <c r="AL237" i="11"/>
  <c r="AL239" i="11"/>
  <c r="AL241" i="11"/>
  <c r="AL243" i="11"/>
  <c r="AL245" i="11"/>
  <c r="AL247" i="11"/>
  <c r="AL249" i="11"/>
  <c r="AL251" i="11"/>
  <c r="AL253" i="11"/>
  <c r="AL255" i="11"/>
  <c r="AL257" i="11"/>
  <c r="AL259" i="11"/>
  <c r="AL261" i="11"/>
  <c r="AL263" i="11"/>
  <c r="AL265" i="11"/>
  <c r="AL267" i="11"/>
  <c r="AL269" i="11"/>
  <c r="AL271" i="11"/>
  <c r="AL273" i="11"/>
  <c r="AL275" i="11"/>
  <c r="AL277" i="11"/>
  <c r="AL279" i="11"/>
  <c r="AL281" i="11"/>
  <c r="AL283" i="11"/>
  <c r="AL285" i="11"/>
  <c r="AL287" i="11"/>
  <c r="AL289" i="11"/>
  <c r="AL291" i="11"/>
  <c r="AL293" i="11"/>
  <c r="AL295" i="11"/>
  <c r="AL297" i="11"/>
  <c r="AL299" i="11"/>
  <c r="AL301" i="11"/>
  <c r="AL303" i="11"/>
  <c r="AL305" i="11"/>
  <c r="AL307" i="11"/>
  <c r="AL309" i="11"/>
  <c r="AL311" i="11"/>
  <c r="AL313" i="11"/>
  <c r="AL315" i="11"/>
  <c r="AL317" i="11"/>
  <c r="AL319" i="11"/>
  <c r="AL321" i="11"/>
  <c r="AL225" i="11"/>
  <c r="AL229" i="11"/>
  <c r="AL230" i="11"/>
  <c r="AL232" i="11"/>
  <c r="AL234" i="11"/>
  <c r="AL236" i="11"/>
  <c r="AL238" i="11"/>
  <c r="AL240" i="11"/>
  <c r="AL242" i="11"/>
  <c r="AL244" i="11"/>
  <c r="AL246" i="11"/>
  <c r="AL248" i="11"/>
  <c r="AL250" i="11"/>
  <c r="AL252" i="11"/>
  <c r="AL254" i="11"/>
  <c r="AL256" i="11"/>
  <c r="AL258" i="11"/>
  <c r="AL260" i="11"/>
  <c r="AL262" i="11"/>
  <c r="AL264" i="11"/>
  <c r="AL266" i="11"/>
  <c r="AL268" i="11"/>
  <c r="AL270" i="11"/>
  <c r="AL272" i="11"/>
  <c r="AL274" i="11"/>
  <c r="AL276" i="11"/>
  <c r="AL278" i="11"/>
  <c r="AL280" i="11"/>
  <c r="AL282" i="11"/>
  <c r="AL284" i="11"/>
  <c r="AL286" i="11"/>
  <c r="AL288" i="11"/>
  <c r="AL290" i="11"/>
  <c r="AL292" i="11"/>
  <c r="AL294" i="11"/>
  <c r="AL296" i="11"/>
  <c r="AL298" i="11"/>
  <c r="AL300" i="11"/>
  <c r="AL302" i="11"/>
  <c r="AL304" i="11"/>
  <c r="AL306" i="11"/>
  <c r="AL308" i="11"/>
  <c r="AL310" i="11"/>
  <c r="AL312" i="11"/>
  <c r="AL314" i="11"/>
  <c r="AL316" i="11"/>
  <c r="AJ28" i="11"/>
  <c r="AJ30" i="11"/>
  <c r="AJ32" i="11"/>
  <c r="AJ34" i="11"/>
  <c r="AJ36" i="11"/>
  <c r="AJ38" i="11"/>
  <c r="AJ40" i="11"/>
  <c r="AJ42" i="11"/>
  <c r="AJ44" i="11"/>
  <c r="AJ46" i="11"/>
  <c r="AJ48" i="11"/>
  <c r="AJ27" i="11"/>
  <c r="AJ29" i="11"/>
  <c r="AJ31" i="11"/>
  <c r="AJ33" i="11"/>
  <c r="AJ35" i="11"/>
  <c r="AJ37" i="11"/>
  <c r="AJ39" i="11"/>
  <c r="AJ41" i="11"/>
  <c r="AJ43" i="11"/>
  <c r="AJ45" i="11"/>
  <c r="AJ47" i="11"/>
  <c r="AJ49" i="11"/>
  <c r="AJ50" i="11"/>
  <c r="AJ52" i="11"/>
  <c r="AJ54" i="11"/>
  <c r="AJ56" i="11"/>
  <c r="AJ58" i="11"/>
  <c r="AJ60" i="11"/>
  <c r="AJ62" i="11"/>
  <c r="AJ64" i="11"/>
  <c r="AJ66" i="11"/>
  <c r="AJ68" i="11"/>
  <c r="AJ70" i="11"/>
  <c r="AJ72" i="11"/>
  <c r="AJ74" i="11"/>
  <c r="AJ76" i="11"/>
  <c r="AJ78" i="11"/>
  <c r="AJ80" i="11"/>
  <c r="AJ82" i="11"/>
  <c r="AJ84" i="11"/>
  <c r="AJ86" i="11"/>
  <c r="AJ88" i="11"/>
  <c r="AJ90" i="11"/>
  <c r="AJ92" i="11"/>
  <c r="AJ94" i="11"/>
  <c r="AJ51" i="11"/>
  <c r="AJ53" i="11"/>
  <c r="AJ55" i="11"/>
  <c r="AJ57" i="11"/>
  <c r="AJ59" i="11"/>
  <c r="AJ61" i="11"/>
  <c r="AJ63" i="11"/>
  <c r="AJ65" i="11"/>
  <c r="AJ67" i="11"/>
  <c r="AJ69" i="11"/>
  <c r="AJ71" i="11"/>
  <c r="AJ73" i="11"/>
  <c r="AJ75" i="11"/>
  <c r="AJ77" i="11"/>
  <c r="AJ79" i="11"/>
  <c r="AJ81" i="11"/>
  <c r="AJ83" i="11"/>
  <c r="AJ85" i="11"/>
  <c r="AJ87" i="11"/>
  <c r="AJ91" i="11"/>
  <c r="AJ96" i="11"/>
  <c r="AJ98" i="11"/>
  <c r="AJ100" i="11"/>
  <c r="AJ102" i="11"/>
  <c r="AJ104" i="11"/>
  <c r="AJ106" i="11"/>
  <c r="AJ108" i="11"/>
  <c r="AJ110" i="11"/>
  <c r="AJ112" i="11"/>
  <c r="AJ114" i="11"/>
  <c r="AJ116" i="11"/>
  <c r="AJ118" i="11"/>
  <c r="AJ120" i="11"/>
  <c r="AJ122" i="11"/>
  <c r="AJ124" i="11"/>
  <c r="AJ126" i="11"/>
  <c r="AJ128" i="11"/>
  <c r="AJ130" i="11"/>
  <c r="AJ132" i="11"/>
  <c r="AJ134" i="11"/>
  <c r="AJ136" i="11"/>
  <c r="AJ138" i="11"/>
  <c r="AJ140" i="11"/>
  <c r="AJ89" i="11"/>
  <c r="AJ93" i="11"/>
  <c r="AJ95" i="11"/>
  <c r="AJ97" i="11"/>
  <c r="AJ99" i="11"/>
  <c r="AJ101" i="11"/>
  <c r="AJ103" i="11"/>
  <c r="AJ105" i="11"/>
  <c r="AJ107" i="11"/>
  <c r="AJ109" i="11"/>
  <c r="AJ111" i="11"/>
  <c r="AJ113" i="11"/>
  <c r="AJ115" i="11"/>
  <c r="AJ117" i="11"/>
  <c r="AJ119" i="11"/>
  <c r="AJ121" i="11"/>
  <c r="AJ123" i="11"/>
  <c r="AJ125" i="11"/>
  <c r="AJ127" i="11"/>
  <c r="AJ129" i="11"/>
  <c r="AJ131" i="11"/>
  <c r="AJ133" i="11"/>
  <c r="AJ135" i="11"/>
  <c r="AJ137" i="11"/>
  <c r="AJ139" i="11"/>
  <c r="AJ142" i="11"/>
  <c r="AJ144" i="11"/>
  <c r="AJ146" i="11"/>
  <c r="AJ148" i="11"/>
  <c r="AJ150" i="11"/>
  <c r="AJ152" i="11"/>
  <c r="AJ154" i="11"/>
  <c r="AJ156" i="11"/>
  <c r="AJ158" i="11"/>
  <c r="AJ160" i="11"/>
  <c r="AJ162" i="11"/>
  <c r="AJ164" i="11"/>
  <c r="AJ166" i="11"/>
  <c r="AJ168" i="11"/>
  <c r="AJ170" i="11"/>
  <c r="AJ172" i="11"/>
  <c r="AJ174" i="11"/>
  <c r="AJ176" i="11"/>
  <c r="AJ178" i="11"/>
  <c r="AJ180" i="11"/>
  <c r="AJ182" i="11"/>
  <c r="AJ184" i="11"/>
  <c r="AJ186" i="11"/>
  <c r="AJ188" i="11"/>
  <c r="AJ190" i="11"/>
  <c r="AJ192" i="11"/>
  <c r="AJ194" i="11"/>
  <c r="AJ196" i="11"/>
  <c r="AJ198" i="11"/>
  <c r="AJ200" i="11"/>
  <c r="AJ202" i="11"/>
  <c r="AJ204" i="11"/>
  <c r="AJ206" i="11"/>
  <c r="AJ208" i="11"/>
  <c r="AJ210" i="11"/>
  <c r="AJ212" i="11"/>
  <c r="AJ214" i="11"/>
  <c r="AJ216" i="11"/>
  <c r="AJ218" i="11"/>
  <c r="AJ220" i="11"/>
  <c r="AJ222" i="11"/>
  <c r="AJ224" i="11"/>
  <c r="AJ226" i="11"/>
  <c r="AJ228" i="11"/>
  <c r="AJ141" i="11"/>
  <c r="AJ143" i="11"/>
  <c r="AJ145" i="11"/>
  <c r="AJ147" i="11"/>
  <c r="AJ149" i="11"/>
  <c r="AJ151" i="11"/>
  <c r="AJ153" i="11"/>
  <c r="AJ155" i="11"/>
  <c r="AJ157" i="11"/>
  <c r="AJ159" i="11"/>
  <c r="AJ161" i="11"/>
  <c r="AJ163" i="11"/>
  <c r="AJ165" i="11"/>
  <c r="AJ167" i="11"/>
  <c r="AJ169" i="11"/>
  <c r="AJ171" i="11"/>
  <c r="AJ173" i="11"/>
  <c r="AJ175" i="11"/>
  <c r="AJ177" i="11"/>
  <c r="AJ179" i="11"/>
  <c r="AJ181" i="11"/>
  <c r="AJ183" i="11"/>
  <c r="AJ185" i="11"/>
  <c r="AJ187" i="11"/>
  <c r="AJ189" i="11"/>
  <c r="AJ191" i="11"/>
  <c r="AJ193" i="11"/>
  <c r="AJ195" i="11"/>
  <c r="AJ197" i="11"/>
  <c r="AJ199" i="11"/>
  <c r="AJ201" i="11"/>
  <c r="AJ203" i="11"/>
  <c r="AJ205" i="11"/>
  <c r="AJ207" i="11"/>
  <c r="AJ209" i="11"/>
  <c r="AJ211" i="11"/>
  <c r="AJ213" i="11"/>
  <c r="AJ215" i="11"/>
  <c r="AJ217" i="11"/>
  <c r="AJ219" i="11"/>
  <c r="AJ221" i="11"/>
  <c r="AJ223" i="11"/>
  <c r="AJ225" i="11"/>
  <c r="AJ229" i="11"/>
  <c r="AJ231" i="11"/>
  <c r="AJ233" i="11"/>
  <c r="AJ235" i="11"/>
  <c r="AJ237" i="11"/>
  <c r="AJ239" i="11"/>
  <c r="AJ241" i="11"/>
  <c r="AJ243" i="11"/>
  <c r="AJ245" i="11"/>
  <c r="AJ247" i="11"/>
  <c r="AJ249" i="11"/>
  <c r="AJ251" i="11"/>
  <c r="AJ253" i="11"/>
  <c r="AJ255" i="11"/>
  <c r="AJ257" i="11"/>
  <c r="AJ259" i="11"/>
  <c r="AJ261" i="11"/>
  <c r="AJ263" i="11"/>
  <c r="AJ265" i="11"/>
  <c r="AJ267" i="11"/>
  <c r="AJ269" i="11"/>
  <c r="AJ271" i="11"/>
  <c r="AJ273" i="11"/>
  <c r="AJ275" i="11"/>
  <c r="AJ277" i="11"/>
  <c r="AJ279" i="11"/>
  <c r="AJ281" i="11"/>
  <c r="AJ283" i="11"/>
  <c r="AJ285" i="11"/>
  <c r="AJ287" i="11"/>
  <c r="AJ289" i="11"/>
  <c r="AJ291" i="11"/>
  <c r="AJ293" i="11"/>
  <c r="AJ295" i="11"/>
  <c r="AJ297" i="11"/>
  <c r="AJ299" i="11"/>
  <c r="AJ301" i="11"/>
  <c r="AJ303" i="11"/>
  <c r="AJ305" i="11"/>
  <c r="AJ307" i="11"/>
  <c r="AJ309" i="11"/>
  <c r="AJ311" i="11"/>
  <c r="AJ313" i="11"/>
  <c r="AJ315" i="11"/>
  <c r="AJ317" i="11"/>
  <c r="AJ319" i="11"/>
  <c r="AJ321" i="11"/>
  <c r="AJ227" i="11"/>
  <c r="AJ230" i="11"/>
  <c r="AJ232" i="11"/>
  <c r="AJ234" i="11"/>
  <c r="AJ236" i="11"/>
  <c r="AJ238" i="11"/>
  <c r="AJ240" i="11"/>
  <c r="AJ242" i="11"/>
  <c r="AJ244" i="11"/>
  <c r="AJ246" i="11"/>
  <c r="AJ248" i="11"/>
  <c r="AJ250" i="11"/>
  <c r="AJ252" i="11"/>
  <c r="AJ254" i="11"/>
  <c r="AJ256" i="11"/>
  <c r="AJ258" i="11"/>
  <c r="AJ260" i="11"/>
  <c r="AJ262" i="11"/>
  <c r="AJ264" i="11"/>
  <c r="AJ266" i="11"/>
  <c r="AJ268" i="11"/>
  <c r="AJ270" i="11"/>
  <c r="AJ272" i="11"/>
  <c r="AJ274" i="11"/>
  <c r="AJ276" i="11"/>
  <c r="AJ278" i="11"/>
  <c r="AJ280" i="11"/>
  <c r="AJ282" i="11"/>
  <c r="AJ284" i="11"/>
  <c r="AJ286" i="11"/>
  <c r="AJ288" i="11"/>
  <c r="AJ290" i="11"/>
  <c r="AJ292" i="11"/>
  <c r="AJ294" i="11"/>
  <c r="AJ296" i="11"/>
  <c r="AJ298" i="11"/>
  <c r="AJ300" i="11"/>
  <c r="AJ302" i="11"/>
  <c r="AJ304" i="11"/>
  <c r="AJ306" i="11"/>
  <c r="AJ308" i="11"/>
  <c r="AJ310" i="11"/>
  <c r="AJ312" i="11"/>
  <c r="AJ314" i="11"/>
  <c r="AJ316" i="11"/>
  <c r="AJ318" i="11"/>
  <c r="AH28" i="11"/>
  <c r="AH30" i="11"/>
  <c r="AH32" i="11"/>
  <c r="AH34" i="11"/>
  <c r="AH36" i="11"/>
  <c r="AH38" i="11"/>
  <c r="AH40" i="11"/>
  <c r="AH42" i="11"/>
  <c r="AH44" i="11"/>
  <c r="AH46" i="11"/>
  <c r="AH48" i="11"/>
  <c r="AH27" i="11"/>
  <c r="AH29" i="11"/>
  <c r="AH31" i="11"/>
  <c r="AH33" i="11"/>
  <c r="AH35" i="11"/>
  <c r="AH37" i="11"/>
  <c r="AH39" i="11"/>
  <c r="AH41" i="11"/>
  <c r="AH43" i="11"/>
  <c r="AH45" i="11"/>
  <c r="AH47" i="11"/>
  <c r="AH50" i="11"/>
  <c r="AH52" i="11"/>
  <c r="AH54" i="11"/>
  <c r="AH56" i="11"/>
  <c r="AH58" i="11"/>
  <c r="AH60" i="11"/>
  <c r="AH62" i="11"/>
  <c r="AH64" i="11"/>
  <c r="AH66" i="11"/>
  <c r="AH68" i="11"/>
  <c r="AH70" i="11"/>
  <c r="AH72" i="11"/>
  <c r="AH74" i="11"/>
  <c r="AH76" i="11"/>
  <c r="AH78" i="11"/>
  <c r="AH80" i="11"/>
  <c r="AH82" i="11"/>
  <c r="AH84" i="11"/>
  <c r="AH86" i="11"/>
  <c r="AH88" i="11"/>
  <c r="AH90" i="11"/>
  <c r="AH92" i="11"/>
  <c r="AH94" i="11"/>
  <c r="AH49" i="11"/>
  <c r="AH51" i="11"/>
  <c r="AH53" i="11"/>
  <c r="AH55" i="11"/>
  <c r="AH57" i="11"/>
  <c r="AH59" i="11"/>
  <c r="AH61" i="11"/>
  <c r="AH63" i="11"/>
  <c r="AH65" i="11"/>
  <c r="AH67" i="11"/>
  <c r="AH69" i="11"/>
  <c r="AH71" i="11"/>
  <c r="AH73" i="11"/>
  <c r="AH75" i="11"/>
  <c r="AH77" i="11"/>
  <c r="AH79" i="11"/>
  <c r="AH81" i="11"/>
  <c r="AH83" i="11"/>
  <c r="AH85" i="11"/>
  <c r="AH87" i="11"/>
  <c r="AH89" i="11"/>
  <c r="AH93" i="11"/>
  <c r="AH96" i="11"/>
  <c r="AH98" i="11"/>
  <c r="AH100" i="11"/>
  <c r="AH102" i="11"/>
  <c r="AH104" i="11"/>
  <c r="AH106" i="11"/>
  <c r="AH108" i="11"/>
  <c r="AH110" i="11"/>
  <c r="AH112" i="11"/>
  <c r="AH114" i="11"/>
  <c r="AH116" i="11"/>
  <c r="AH118" i="11"/>
  <c r="AH120" i="11"/>
  <c r="AH122" i="11"/>
  <c r="AH124" i="11"/>
  <c r="AH126" i="11"/>
  <c r="AH128" i="11"/>
  <c r="AH130" i="11"/>
  <c r="AH132" i="11"/>
  <c r="AH134" i="11"/>
  <c r="AH136" i="11"/>
  <c r="AH138" i="11"/>
  <c r="AH140" i="11"/>
  <c r="AH91" i="11"/>
  <c r="AH95" i="11"/>
  <c r="AH97" i="11"/>
  <c r="AH99" i="11"/>
  <c r="AH101" i="11"/>
  <c r="AH103" i="11"/>
  <c r="AH105" i="11"/>
  <c r="AH107" i="11"/>
  <c r="AH109" i="11"/>
  <c r="AH111" i="11"/>
  <c r="AH113" i="11"/>
  <c r="AH115" i="11"/>
  <c r="AH117" i="11"/>
  <c r="AH119" i="11"/>
  <c r="AH121" i="11"/>
  <c r="AH123" i="11"/>
  <c r="AH125" i="11"/>
  <c r="AH127" i="11"/>
  <c r="AH129" i="11"/>
  <c r="AH131" i="11"/>
  <c r="AH133" i="11"/>
  <c r="AH135" i="11"/>
  <c r="AH137" i="11"/>
  <c r="AH142" i="11"/>
  <c r="AH144" i="11"/>
  <c r="AH146" i="11"/>
  <c r="AH148" i="11"/>
  <c r="AH150" i="11"/>
  <c r="AH152" i="11"/>
  <c r="AH154" i="11"/>
  <c r="AH156" i="11"/>
  <c r="AH158" i="11"/>
  <c r="AH160" i="11"/>
  <c r="AH162" i="11"/>
  <c r="AH164" i="11"/>
  <c r="AH166" i="11"/>
  <c r="AH168" i="11"/>
  <c r="AH170" i="11"/>
  <c r="AH172" i="11"/>
  <c r="AH174" i="11"/>
  <c r="AH176" i="11"/>
  <c r="AH178" i="11"/>
  <c r="AH180" i="11"/>
  <c r="AH182" i="11"/>
  <c r="AH184" i="11"/>
  <c r="AH186" i="11"/>
  <c r="AH188" i="11"/>
  <c r="AH190" i="11"/>
  <c r="AH192" i="11"/>
  <c r="AH194" i="11"/>
  <c r="AH196" i="11"/>
  <c r="AH198" i="11"/>
  <c r="AH200" i="11"/>
  <c r="AH202" i="11"/>
  <c r="AH204" i="11"/>
  <c r="AH206" i="11"/>
  <c r="AH208" i="11"/>
  <c r="AH210" i="11"/>
  <c r="AH212" i="11"/>
  <c r="AH214" i="11"/>
  <c r="AH216" i="11"/>
  <c r="AH218" i="11"/>
  <c r="AH220" i="11"/>
  <c r="AH222" i="11"/>
  <c r="AH224" i="11"/>
  <c r="AH226" i="11"/>
  <c r="AH228" i="11"/>
  <c r="AH139" i="11"/>
  <c r="AH141" i="11"/>
  <c r="AH143" i="11"/>
  <c r="AH145" i="11"/>
  <c r="AH147" i="11"/>
  <c r="AH149" i="11"/>
  <c r="AH151" i="11"/>
  <c r="AH153" i="11"/>
  <c r="AH155" i="11"/>
  <c r="AH157" i="11"/>
  <c r="AH159" i="11"/>
  <c r="AH161" i="11"/>
  <c r="AH163" i="11"/>
  <c r="AH165" i="11"/>
  <c r="AH167" i="11"/>
  <c r="AH169" i="11"/>
  <c r="AH171" i="11"/>
  <c r="AH173" i="11"/>
  <c r="AH175" i="11"/>
  <c r="AH177" i="11"/>
  <c r="AH179" i="11"/>
  <c r="AH181" i="11"/>
  <c r="AH183" i="11"/>
  <c r="AH185" i="11"/>
  <c r="AH187" i="11"/>
  <c r="AH189" i="11"/>
  <c r="AH191" i="11"/>
  <c r="AH193" i="11"/>
  <c r="AH195" i="11"/>
  <c r="AH197" i="11"/>
  <c r="AH199" i="11"/>
  <c r="AH201" i="11"/>
  <c r="AH203" i="11"/>
  <c r="AH205" i="11"/>
  <c r="AH207" i="11"/>
  <c r="AH209" i="11"/>
  <c r="AH211" i="11"/>
  <c r="AH213" i="11"/>
  <c r="AH215" i="11"/>
  <c r="AH217" i="11"/>
  <c r="AH219" i="11"/>
  <c r="AH221" i="11"/>
  <c r="AH223" i="11"/>
  <c r="AH227" i="11"/>
  <c r="AH231" i="11"/>
  <c r="AH233" i="11"/>
  <c r="AH235" i="11"/>
  <c r="AH237" i="11"/>
  <c r="AH239" i="11"/>
  <c r="AH241" i="11"/>
  <c r="AH243" i="11"/>
  <c r="AH245" i="11"/>
  <c r="AH247" i="11"/>
  <c r="AH249" i="11"/>
  <c r="AH251" i="11"/>
  <c r="AH253" i="11"/>
  <c r="AH255" i="11"/>
  <c r="AH257" i="11"/>
  <c r="AH259" i="11"/>
  <c r="AH261" i="11"/>
  <c r="AH263" i="11"/>
  <c r="AH265" i="11"/>
  <c r="AH267" i="11"/>
  <c r="AH269" i="11"/>
  <c r="AH271" i="11"/>
  <c r="AH273" i="11"/>
  <c r="AH275" i="11"/>
  <c r="AH277" i="11"/>
  <c r="AH279" i="11"/>
  <c r="AH281" i="11"/>
  <c r="AH283" i="11"/>
  <c r="AH285" i="11"/>
  <c r="AH287" i="11"/>
  <c r="AH289" i="11"/>
  <c r="AH291" i="11"/>
  <c r="AH293" i="11"/>
  <c r="AH295" i="11"/>
  <c r="AH297" i="11"/>
  <c r="AH299" i="11"/>
  <c r="AH301" i="11"/>
  <c r="AH303" i="11"/>
  <c r="AH305" i="11"/>
  <c r="AH307" i="11"/>
  <c r="AH309" i="11"/>
  <c r="AH311" i="11"/>
  <c r="AH313" i="11"/>
  <c r="AH315" i="11"/>
  <c r="AH317" i="11"/>
  <c r="AH319" i="11"/>
  <c r="AH321" i="11"/>
  <c r="AH225" i="11"/>
  <c r="AH229" i="11"/>
  <c r="AH230" i="11"/>
  <c r="AH232" i="11"/>
  <c r="AH234" i="11"/>
  <c r="AH236" i="11"/>
  <c r="AH238" i="11"/>
  <c r="AH240" i="11"/>
  <c r="AH242" i="11"/>
  <c r="AH244" i="11"/>
  <c r="AH246" i="11"/>
  <c r="AH248" i="11"/>
  <c r="AH250" i="11"/>
  <c r="AH252" i="11"/>
  <c r="AH254" i="11"/>
  <c r="AH256" i="11"/>
  <c r="AH258" i="11"/>
  <c r="AH260" i="11"/>
  <c r="AH262" i="11"/>
  <c r="AH264" i="11"/>
  <c r="AH266" i="11"/>
  <c r="AH268" i="11"/>
  <c r="AH270" i="11"/>
  <c r="AH272" i="11"/>
  <c r="AH274" i="11"/>
  <c r="AH276" i="11"/>
  <c r="AH278" i="11"/>
  <c r="AH280" i="11"/>
  <c r="AH282" i="11"/>
  <c r="AH284" i="11"/>
  <c r="AH286" i="11"/>
  <c r="AH288" i="11"/>
  <c r="AH290" i="11"/>
  <c r="AH292" i="11"/>
  <c r="AH294" i="11"/>
  <c r="AH296" i="11"/>
  <c r="AH298" i="11"/>
  <c r="AH300" i="11"/>
  <c r="AH302" i="11"/>
  <c r="AH304" i="11"/>
  <c r="AH306" i="11"/>
  <c r="AH308" i="11"/>
  <c r="AH310" i="11"/>
  <c r="AH312" i="11"/>
  <c r="AH314" i="11"/>
  <c r="AH316" i="11"/>
  <c r="AH318" i="11"/>
  <c r="AF28" i="11"/>
  <c r="AF30" i="11"/>
  <c r="AF32" i="11"/>
  <c r="AF34" i="11"/>
  <c r="AF36" i="11"/>
  <c r="AF38" i="11"/>
  <c r="AF40" i="11"/>
  <c r="AF42" i="11"/>
  <c r="AF44" i="11"/>
  <c r="AF46" i="11"/>
  <c r="AF48" i="11"/>
  <c r="AF27" i="11"/>
  <c r="AF29" i="11"/>
  <c r="AF31" i="11"/>
  <c r="AF33" i="11"/>
  <c r="AF35" i="11"/>
  <c r="AF37" i="11"/>
  <c r="AF39" i="11"/>
  <c r="AF41" i="11"/>
  <c r="AF43" i="11"/>
  <c r="AF45" i="11"/>
  <c r="AF47" i="11"/>
  <c r="AF49" i="11"/>
  <c r="AF50" i="11"/>
  <c r="AF52" i="11"/>
  <c r="AF54" i="11"/>
  <c r="AF56" i="11"/>
  <c r="AF58" i="11"/>
  <c r="AF60" i="11"/>
  <c r="AF62" i="11"/>
  <c r="AF64" i="11"/>
  <c r="AF66" i="11"/>
  <c r="AF68" i="11"/>
  <c r="AF70" i="11"/>
  <c r="AF72" i="11"/>
  <c r="AF74" i="11"/>
  <c r="AF76" i="11"/>
  <c r="AF78" i="11"/>
  <c r="AF80" i="11"/>
  <c r="AF82" i="11"/>
  <c r="AF84" i="11"/>
  <c r="AF86" i="11"/>
  <c r="AF88" i="11"/>
  <c r="AF90" i="11"/>
  <c r="AF92" i="11"/>
  <c r="AF94" i="11"/>
  <c r="AF51" i="11"/>
  <c r="AF53" i="11"/>
  <c r="AF55" i="11"/>
  <c r="AF57" i="11"/>
  <c r="AF59" i="11"/>
  <c r="AF61" i="11"/>
  <c r="AF63" i="11"/>
  <c r="AF65" i="11"/>
  <c r="AF67" i="11"/>
  <c r="AF69" i="11"/>
  <c r="AF71" i="11"/>
  <c r="AF73" i="11"/>
  <c r="AF75" i="11"/>
  <c r="AF77" i="11"/>
  <c r="AF79" i="11"/>
  <c r="AF81" i="11"/>
  <c r="AF83" i="11"/>
  <c r="AF85" i="11"/>
  <c r="AF87" i="11"/>
  <c r="AF89" i="11"/>
  <c r="AF91" i="11"/>
  <c r="AF96" i="11"/>
  <c r="AF98" i="11"/>
  <c r="AF100" i="11"/>
  <c r="AF102" i="11"/>
  <c r="AF104" i="11"/>
  <c r="AF106" i="11"/>
  <c r="AF108" i="11"/>
  <c r="AF110" i="11"/>
  <c r="AF112" i="11"/>
  <c r="AF114" i="11"/>
  <c r="AF116" i="11"/>
  <c r="AF118" i="11"/>
  <c r="AF120" i="11"/>
  <c r="AF122" i="11"/>
  <c r="AF124" i="11"/>
  <c r="AF126" i="11"/>
  <c r="AF128" i="11"/>
  <c r="AF130" i="11"/>
  <c r="AF132" i="11"/>
  <c r="AF134" i="11"/>
  <c r="AF136" i="11"/>
  <c r="AF138" i="11"/>
  <c r="AF140" i="11"/>
  <c r="AF93" i="11"/>
  <c r="AF95" i="11"/>
  <c r="AF97" i="11"/>
  <c r="AF99" i="11"/>
  <c r="AF101" i="11"/>
  <c r="AF103" i="11"/>
  <c r="AF105" i="11"/>
  <c r="AF107" i="11"/>
  <c r="AF109" i="11"/>
  <c r="AF111" i="11"/>
  <c r="AF113" i="11"/>
  <c r="AF115" i="11"/>
  <c r="AF117" i="11"/>
  <c r="AF119" i="11"/>
  <c r="AF121" i="11"/>
  <c r="AF123" i="11"/>
  <c r="AF125" i="11"/>
  <c r="AF127" i="11"/>
  <c r="AF129" i="11"/>
  <c r="AF131" i="11"/>
  <c r="AF133" i="11"/>
  <c r="AF135" i="11"/>
  <c r="AF137" i="11"/>
  <c r="AF139" i="11"/>
  <c r="AF142" i="11"/>
  <c r="AF144" i="11"/>
  <c r="AF146" i="11"/>
  <c r="AF148" i="11"/>
  <c r="AF150" i="11"/>
  <c r="AF152" i="11"/>
  <c r="AF154" i="11"/>
  <c r="AF156" i="11"/>
  <c r="AF158" i="11"/>
  <c r="AF160" i="11"/>
  <c r="AF162" i="11"/>
  <c r="AF164" i="11"/>
  <c r="AF166" i="11"/>
  <c r="AF168" i="11"/>
  <c r="AF170" i="11"/>
  <c r="AF172" i="11"/>
  <c r="AF174" i="11"/>
  <c r="AF176" i="11"/>
  <c r="AF178" i="11"/>
  <c r="AF180" i="11"/>
  <c r="AF182" i="11"/>
  <c r="AF184" i="11"/>
  <c r="AF186" i="11"/>
  <c r="AF188" i="11"/>
  <c r="AF190" i="11"/>
  <c r="AF192" i="11"/>
  <c r="AF194" i="11"/>
  <c r="AF196" i="11"/>
  <c r="AF198" i="11"/>
  <c r="AF200" i="11"/>
  <c r="AF202" i="11"/>
  <c r="AF204" i="11"/>
  <c r="AF206" i="11"/>
  <c r="AF208" i="11"/>
  <c r="AF210" i="11"/>
  <c r="AF212" i="11"/>
  <c r="AF214" i="11"/>
  <c r="AF216" i="11"/>
  <c r="AF218" i="11"/>
  <c r="AF220" i="11"/>
  <c r="AF222" i="11"/>
  <c r="AF224" i="11"/>
  <c r="AF226" i="11"/>
  <c r="AF228" i="11"/>
  <c r="AF230" i="11"/>
  <c r="AF141" i="11"/>
  <c r="AF143" i="11"/>
  <c r="AF145" i="11"/>
  <c r="AF147" i="11"/>
  <c r="AF149" i="11"/>
  <c r="AF151" i="11"/>
  <c r="AF153" i="11"/>
  <c r="AF155" i="11"/>
  <c r="AF157" i="11"/>
  <c r="AF159" i="11"/>
  <c r="AF161" i="11"/>
  <c r="AF163" i="11"/>
  <c r="AF165" i="11"/>
  <c r="AF167" i="11"/>
  <c r="AF169" i="11"/>
  <c r="AF171" i="11"/>
  <c r="AF173" i="11"/>
  <c r="AF175" i="11"/>
  <c r="AF177" i="11"/>
  <c r="AF179" i="11"/>
  <c r="AF181" i="11"/>
  <c r="AF183" i="11"/>
  <c r="AF185" i="11"/>
  <c r="AF187" i="11"/>
  <c r="AF189" i="11"/>
  <c r="AF191" i="11"/>
  <c r="AF193" i="11"/>
  <c r="AF195" i="11"/>
  <c r="AF197" i="11"/>
  <c r="AF199" i="11"/>
  <c r="AF201" i="11"/>
  <c r="AF203" i="11"/>
  <c r="AF205" i="11"/>
  <c r="AF207" i="11"/>
  <c r="AF209" i="11"/>
  <c r="AF211" i="11"/>
  <c r="AF213" i="11"/>
  <c r="AF215" i="11"/>
  <c r="AF217" i="11"/>
  <c r="AF219" i="11"/>
  <c r="AF221" i="11"/>
  <c r="AF223" i="11"/>
  <c r="AF225" i="11"/>
  <c r="AF229" i="11"/>
  <c r="AF231" i="11"/>
  <c r="AF233" i="11"/>
  <c r="AF235" i="11"/>
  <c r="AF237" i="11"/>
  <c r="AF239" i="11"/>
  <c r="AF241" i="11"/>
  <c r="AF243" i="11"/>
  <c r="AF245" i="11"/>
  <c r="AF247" i="11"/>
  <c r="AF249" i="11"/>
  <c r="AF251" i="11"/>
  <c r="AF253" i="11"/>
  <c r="AF255" i="11"/>
  <c r="AF257" i="11"/>
  <c r="AF259" i="11"/>
  <c r="AF261" i="11"/>
  <c r="AF263" i="11"/>
  <c r="AF265" i="11"/>
  <c r="AF267" i="11"/>
  <c r="AF269" i="11"/>
  <c r="AF271" i="11"/>
  <c r="AF273" i="11"/>
  <c r="AF275" i="11"/>
  <c r="AF277" i="11"/>
  <c r="AF279" i="11"/>
  <c r="AF281" i="11"/>
  <c r="AF283" i="11"/>
  <c r="AF285" i="11"/>
  <c r="AF287" i="11"/>
  <c r="AF289" i="11"/>
  <c r="AF291" i="11"/>
  <c r="AF293" i="11"/>
  <c r="AF295" i="11"/>
  <c r="AF297" i="11"/>
  <c r="AF299" i="11"/>
  <c r="AF301" i="11"/>
  <c r="AF303" i="11"/>
  <c r="AF305" i="11"/>
  <c r="AF307" i="11"/>
  <c r="AF309" i="11"/>
  <c r="AF311" i="11"/>
  <c r="AF313" i="11"/>
  <c r="AF315" i="11"/>
  <c r="AF317" i="11"/>
  <c r="AF319" i="11"/>
  <c r="AF321" i="11"/>
  <c r="AF227" i="11"/>
  <c r="AF232" i="11"/>
  <c r="AF234" i="11"/>
  <c r="AF236" i="11"/>
  <c r="AF238" i="11"/>
  <c r="AF240" i="11"/>
  <c r="AF242" i="11"/>
  <c r="AF244" i="11"/>
  <c r="AF246" i="11"/>
  <c r="AF248" i="11"/>
  <c r="AF250" i="11"/>
  <c r="AF252" i="11"/>
  <c r="AF254" i="11"/>
  <c r="AF256" i="11"/>
  <c r="AF258" i="11"/>
  <c r="AF260" i="11"/>
  <c r="AF262" i="11"/>
  <c r="AF264" i="11"/>
  <c r="AF266" i="11"/>
  <c r="AF268" i="11"/>
  <c r="AF270" i="11"/>
  <c r="AF272" i="11"/>
  <c r="AF274" i="11"/>
  <c r="AF276" i="11"/>
  <c r="AF278" i="11"/>
  <c r="AF280" i="11"/>
  <c r="AF282" i="11"/>
  <c r="AF284" i="11"/>
  <c r="AF286" i="11"/>
  <c r="AF288" i="11"/>
  <c r="AF290" i="11"/>
  <c r="AF292" i="11"/>
  <c r="AF294" i="11"/>
  <c r="AF296" i="11"/>
  <c r="AF298" i="11"/>
  <c r="AF300" i="11"/>
  <c r="AF302" i="11"/>
  <c r="AF304" i="11"/>
  <c r="AF306" i="11"/>
  <c r="AF308" i="11"/>
  <c r="AF310" i="11"/>
  <c r="AF312" i="11"/>
  <c r="AF314" i="11"/>
  <c r="AF316" i="11"/>
  <c r="AF318" i="11"/>
  <c r="AD28" i="11"/>
  <c r="AD30" i="11"/>
  <c r="AD32" i="11"/>
  <c r="AD34" i="11"/>
  <c r="AD36" i="11"/>
  <c r="AD38" i="11"/>
  <c r="AD40" i="11"/>
  <c r="AD42" i="11"/>
  <c r="AD44" i="11"/>
  <c r="AD46" i="11"/>
  <c r="AD48" i="11"/>
  <c r="AD27" i="11"/>
  <c r="AD29" i="11"/>
  <c r="AD31" i="11"/>
  <c r="AD33" i="11"/>
  <c r="AD35" i="11"/>
  <c r="AD37" i="11"/>
  <c r="AD39" i="11"/>
  <c r="AD41" i="11"/>
  <c r="AD43" i="11"/>
  <c r="AD45" i="11"/>
  <c r="AD47" i="11"/>
  <c r="AD49" i="11"/>
  <c r="AD50" i="11"/>
  <c r="AD52" i="11"/>
  <c r="AD54" i="11"/>
  <c r="AD56" i="11"/>
  <c r="AD58" i="11"/>
  <c r="AD60" i="11"/>
  <c r="AD62" i="11"/>
  <c r="AD64" i="11"/>
  <c r="AD66" i="11"/>
  <c r="AD68" i="11"/>
  <c r="AD70" i="11"/>
  <c r="AD72" i="11"/>
  <c r="AD74" i="11"/>
  <c r="AD76" i="11"/>
  <c r="AD78" i="11"/>
  <c r="AD80" i="11"/>
  <c r="AD82" i="11"/>
  <c r="AD84" i="11"/>
  <c r="AD86" i="11"/>
  <c r="AD88" i="11"/>
  <c r="AD90" i="11"/>
  <c r="AD92" i="11"/>
  <c r="AD94" i="11"/>
  <c r="AD51" i="11"/>
  <c r="AD53" i="11"/>
  <c r="AD55" i="11"/>
  <c r="AD57" i="11"/>
  <c r="AD59" i="11"/>
  <c r="AD61" i="11"/>
  <c r="AD63" i="11"/>
  <c r="AD65" i="11"/>
  <c r="AD67" i="11"/>
  <c r="AD69" i="11"/>
  <c r="AD71" i="11"/>
  <c r="AD73" i="11"/>
  <c r="AD75" i="11"/>
  <c r="AD77" i="11"/>
  <c r="AD79" i="11"/>
  <c r="AD81" i="11"/>
  <c r="AD83" i="11"/>
  <c r="AD85" i="11"/>
  <c r="AD87" i="11"/>
  <c r="AD89" i="11"/>
  <c r="AD93" i="11"/>
  <c r="AD96" i="11"/>
  <c r="AD98" i="11"/>
  <c r="AD100" i="11"/>
  <c r="AD102" i="11"/>
  <c r="AD104" i="11"/>
  <c r="AD106" i="11"/>
  <c r="AD108" i="11"/>
  <c r="AD110" i="11"/>
  <c r="AD112" i="11"/>
  <c r="AD114" i="11"/>
  <c r="AD116" i="11"/>
  <c r="AD118" i="11"/>
  <c r="AD120" i="11"/>
  <c r="AD122" i="11"/>
  <c r="AD124" i="11"/>
  <c r="AD126" i="11"/>
  <c r="AD128" i="11"/>
  <c r="AD130" i="11"/>
  <c r="AD132" i="11"/>
  <c r="AD134" i="11"/>
  <c r="AD136" i="11"/>
  <c r="AD138" i="11"/>
  <c r="AD140" i="11"/>
  <c r="AD91" i="11"/>
  <c r="AD95" i="11"/>
  <c r="AD97" i="11"/>
  <c r="AD99" i="11"/>
  <c r="AD101" i="11"/>
  <c r="AD103" i="11"/>
  <c r="AD105" i="11"/>
  <c r="AD107" i="11"/>
  <c r="AD109" i="11"/>
  <c r="AD111" i="11"/>
  <c r="AD113" i="11"/>
  <c r="AD115" i="11"/>
  <c r="AD117" i="11"/>
  <c r="AD119" i="11"/>
  <c r="AD121" i="11"/>
  <c r="AD123" i="11"/>
  <c r="AD125" i="11"/>
  <c r="AD127" i="11"/>
  <c r="AD129" i="11"/>
  <c r="AD131" i="11"/>
  <c r="AD133" i="11"/>
  <c r="AD135" i="11"/>
  <c r="AD137" i="11"/>
  <c r="AD142" i="11"/>
  <c r="AD144" i="11"/>
  <c r="AD146" i="11"/>
  <c r="AD148" i="11"/>
  <c r="AD150" i="11"/>
  <c r="AD152" i="11"/>
  <c r="AD154" i="11"/>
  <c r="AD156" i="11"/>
  <c r="AD158" i="11"/>
  <c r="AD160" i="11"/>
  <c r="AD162" i="11"/>
  <c r="AD164" i="11"/>
  <c r="AD166" i="11"/>
  <c r="AD168" i="11"/>
  <c r="AD170" i="11"/>
  <c r="AD172" i="11"/>
  <c r="AD174" i="11"/>
  <c r="AD176" i="11"/>
  <c r="AD178" i="11"/>
  <c r="AD180" i="11"/>
  <c r="AD182" i="11"/>
  <c r="AD184" i="11"/>
  <c r="AD186" i="11"/>
  <c r="AD188" i="11"/>
  <c r="AD190" i="11"/>
  <c r="AD192" i="11"/>
  <c r="AD194" i="11"/>
  <c r="AD196" i="11"/>
  <c r="AD198" i="11"/>
  <c r="AD200" i="11"/>
  <c r="AD202" i="11"/>
  <c r="AD204" i="11"/>
  <c r="AD206" i="11"/>
  <c r="AD208" i="11"/>
  <c r="AD210" i="11"/>
  <c r="AD212" i="11"/>
  <c r="AD214" i="11"/>
  <c r="AD216" i="11"/>
  <c r="AD218" i="11"/>
  <c r="AD220" i="11"/>
  <c r="AD222" i="11"/>
  <c r="AD224" i="11"/>
  <c r="AD226" i="11"/>
  <c r="AD228" i="11"/>
  <c r="AD230" i="11"/>
  <c r="AD139" i="11"/>
  <c r="AD141" i="11"/>
  <c r="AD143" i="11"/>
  <c r="AD145" i="11"/>
  <c r="AD147" i="11"/>
  <c r="AD149" i="11"/>
  <c r="AD151" i="11"/>
  <c r="AD153" i="11"/>
  <c r="AD155" i="11"/>
  <c r="AD157" i="11"/>
  <c r="AD159" i="11"/>
  <c r="AD161" i="11"/>
  <c r="AD163" i="11"/>
  <c r="AD165" i="11"/>
  <c r="AD167" i="11"/>
  <c r="AD169" i="11"/>
  <c r="AD171" i="11"/>
  <c r="AD173" i="11"/>
  <c r="AD175" i="11"/>
  <c r="AD177" i="11"/>
  <c r="AD179" i="11"/>
  <c r="AD181" i="11"/>
  <c r="AD183" i="11"/>
  <c r="AD185" i="11"/>
  <c r="AD187" i="11"/>
  <c r="AD189" i="11"/>
  <c r="AD191" i="11"/>
  <c r="AD193" i="11"/>
  <c r="AD195" i="11"/>
  <c r="AD197" i="11"/>
  <c r="AD199" i="11"/>
  <c r="AD201" i="11"/>
  <c r="AD203" i="11"/>
  <c r="AD205" i="11"/>
  <c r="AD207" i="11"/>
  <c r="AD209" i="11"/>
  <c r="AD211" i="11"/>
  <c r="AD213" i="11"/>
  <c r="AD215" i="11"/>
  <c r="AD217" i="11"/>
  <c r="AD219" i="11"/>
  <c r="AD221" i="11"/>
  <c r="AD223" i="11"/>
  <c r="AD227" i="11"/>
  <c r="AD231" i="11"/>
  <c r="AD233" i="11"/>
  <c r="AD235" i="11"/>
  <c r="AD237" i="11"/>
  <c r="AD239" i="11"/>
  <c r="AD241" i="11"/>
  <c r="AD243" i="11"/>
  <c r="AD245" i="11"/>
  <c r="AD247" i="11"/>
  <c r="AD249" i="11"/>
  <c r="AD251" i="11"/>
  <c r="AD253" i="11"/>
  <c r="AD255" i="11"/>
  <c r="AD257" i="11"/>
  <c r="AD259" i="11"/>
  <c r="AD261" i="11"/>
  <c r="AD263" i="11"/>
  <c r="AD265" i="11"/>
  <c r="AD267" i="11"/>
  <c r="AD269" i="11"/>
  <c r="AD271" i="11"/>
  <c r="AD273" i="11"/>
  <c r="AD275" i="11"/>
  <c r="AD277" i="11"/>
  <c r="AD279" i="11"/>
  <c r="AD281" i="11"/>
  <c r="AD283" i="11"/>
  <c r="AD285" i="11"/>
  <c r="AD287" i="11"/>
  <c r="AD289" i="11"/>
  <c r="AD291" i="11"/>
  <c r="AD293" i="11"/>
  <c r="AD295" i="11"/>
  <c r="AD297" i="11"/>
  <c r="AD299" i="11"/>
  <c r="AD301" i="11"/>
  <c r="AD303" i="11"/>
  <c r="AD305" i="11"/>
  <c r="AD307" i="11"/>
  <c r="AD309" i="11"/>
  <c r="AD311" i="11"/>
  <c r="AD313" i="11"/>
  <c r="AD315" i="11"/>
  <c r="AD317" i="11"/>
  <c r="AD319" i="11"/>
  <c r="AD321" i="11"/>
  <c r="AD323" i="11"/>
  <c r="AD225" i="11"/>
  <c r="AD229" i="11"/>
  <c r="AD232" i="11"/>
  <c r="AD234" i="11"/>
  <c r="AD236" i="11"/>
  <c r="AD238" i="11"/>
  <c r="AD240" i="11"/>
  <c r="AD242" i="11"/>
  <c r="AD244" i="11"/>
  <c r="AD246" i="11"/>
  <c r="AD248" i="11"/>
  <c r="AD250" i="11"/>
  <c r="AD252" i="11"/>
  <c r="AD254" i="11"/>
  <c r="AD256" i="11"/>
  <c r="AD258" i="11"/>
  <c r="AD260" i="11"/>
  <c r="AD262" i="11"/>
  <c r="AD264" i="11"/>
  <c r="AD266" i="11"/>
  <c r="AD268" i="11"/>
  <c r="AD270" i="11"/>
  <c r="AD272" i="11"/>
  <c r="AD274" i="11"/>
  <c r="AD276" i="11"/>
  <c r="AD278" i="11"/>
  <c r="AD280" i="11"/>
  <c r="AD282" i="11"/>
  <c r="AD284" i="11"/>
  <c r="AD286" i="11"/>
  <c r="AD288" i="11"/>
  <c r="AD290" i="11"/>
  <c r="AD292" i="11"/>
  <c r="AD294" i="11"/>
  <c r="AD296" i="11"/>
  <c r="AD298" i="11"/>
  <c r="AD300" i="11"/>
  <c r="AD302" i="11"/>
  <c r="AD304" i="11"/>
  <c r="AD306" i="11"/>
  <c r="AD308" i="11"/>
  <c r="AD310" i="11"/>
  <c r="AD312" i="11"/>
  <c r="AD314" i="11"/>
  <c r="AD316" i="11"/>
  <c r="AD318" i="11"/>
  <c r="AB28" i="11"/>
  <c r="AB30" i="11"/>
  <c r="AB32" i="11"/>
  <c r="AB34" i="11"/>
  <c r="AB36" i="11"/>
  <c r="AB38" i="11"/>
  <c r="AB40" i="11"/>
  <c r="AB42" i="11"/>
  <c r="AB44" i="11"/>
  <c r="AB46" i="11"/>
  <c r="AB48" i="11"/>
  <c r="AB27" i="11"/>
  <c r="AB29" i="11"/>
  <c r="AB31" i="11"/>
  <c r="AB33" i="11"/>
  <c r="AB35" i="11"/>
  <c r="AB37" i="11"/>
  <c r="AB39" i="11"/>
  <c r="AB41" i="11"/>
  <c r="AB43" i="11"/>
  <c r="AB45" i="11"/>
  <c r="AB47" i="11"/>
  <c r="AB49" i="11"/>
  <c r="AB50" i="11"/>
  <c r="AB52" i="11"/>
  <c r="AB54" i="11"/>
  <c r="AB56" i="11"/>
  <c r="AB58" i="11"/>
  <c r="AB60" i="11"/>
  <c r="AB62" i="11"/>
  <c r="AB64" i="11"/>
  <c r="AB66" i="11"/>
  <c r="AB68" i="11"/>
  <c r="AB70" i="11"/>
  <c r="AB72" i="11"/>
  <c r="AB74" i="11"/>
  <c r="AB76" i="11"/>
  <c r="AB78" i="11"/>
  <c r="AB80" i="11"/>
  <c r="AB82" i="11"/>
  <c r="AB84" i="11"/>
  <c r="AB86" i="11"/>
  <c r="AB88" i="11"/>
  <c r="AB90" i="11"/>
  <c r="AB92" i="11"/>
  <c r="AB94" i="11"/>
  <c r="AB51" i="11"/>
  <c r="AB53" i="11"/>
  <c r="AB55" i="11"/>
  <c r="AB57" i="11"/>
  <c r="AB59" i="11"/>
  <c r="AB61" i="11"/>
  <c r="AB63" i="11"/>
  <c r="AB65" i="11"/>
  <c r="AB67" i="11"/>
  <c r="AB69" i="11"/>
  <c r="AB71" i="11"/>
  <c r="AB73" i="11"/>
  <c r="AB75" i="11"/>
  <c r="AB77" i="11"/>
  <c r="AB79" i="11"/>
  <c r="AB81" i="11"/>
  <c r="AB83" i="11"/>
  <c r="AB85" i="11"/>
  <c r="AB87" i="11"/>
  <c r="AB89" i="11"/>
  <c r="AB91" i="11"/>
  <c r="AB95" i="11"/>
  <c r="AB96" i="11"/>
  <c r="AB98" i="11"/>
  <c r="AB100" i="11"/>
  <c r="AB102" i="11"/>
  <c r="AB104" i="11"/>
  <c r="AB106" i="11"/>
  <c r="AB108" i="11"/>
  <c r="AB110" i="11"/>
  <c r="AB112" i="11"/>
  <c r="AB114" i="11"/>
  <c r="AB116" i="11"/>
  <c r="AB118" i="11"/>
  <c r="AB120" i="11"/>
  <c r="AB122" i="11"/>
  <c r="AB124" i="11"/>
  <c r="AB126" i="11"/>
  <c r="AB128" i="11"/>
  <c r="AB130" i="11"/>
  <c r="AB132" i="11"/>
  <c r="AB134" i="11"/>
  <c r="AB136" i="11"/>
  <c r="AB138" i="11"/>
  <c r="AB140" i="11"/>
  <c r="AB93" i="11"/>
  <c r="AB97" i="11"/>
  <c r="AB99" i="11"/>
  <c r="AB101" i="11"/>
  <c r="AB103" i="11"/>
  <c r="AB105" i="11"/>
  <c r="AB107" i="11"/>
  <c r="AB109" i="11"/>
  <c r="AB111" i="11"/>
  <c r="AB113" i="11"/>
  <c r="AB115" i="11"/>
  <c r="AB117" i="11"/>
  <c r="AB119" i="11"/>
  <c r="AB121" i="11"/>
  <c r="AB123" i="11"/>
  <c r="AB125" i="11"/>
  <c r="AB127" i="11"/>
  <c r="AB129" i="11"/>
  <c r="AB131" i="11"/>
  <c r="AB133" i="11"/>
  <c r="AB135" i="11"/>
  <c r="AB137" i="11"/>
  <c r="AB139" i="11"/>
  <c r="AB142" i="11"/>
  <c r="AB144" i="11"/>
  <c r="AB146" i="11"/>
  <c r="AB148" i="11"/>
  <c r="AB150" i="11"/>
  <c r="AB152" i="11"/>
  <c r="AB154" i="11"/>
  <c r="AB156" i="11"/>
  <c r="AB158" i="11"/>
  <c r="AB160" i="11"/>
  <c r="AB162" i="11"/>
  <c r="AB164" i="11"/>
  <c r="AB166" i="11"/>
  <c r="AB168" i="11"/>
  <c r="AB170" i="11"/>
  <c r="AB172" i="11"/>
  <c r="AB174" i="11"/>
  <c r="AB176" i="11"/>
  <c r="AB178" i="11"/>
  <c r="AB180" i="11"/>
  <c r="AB182" i="11"/>
  <c r="AB184" i="11"/>
  <c r="AB186" i="11"/>
  <c r="AB188" i="11"/>
  <c r="AB190" i="11"/>
  <c r="AB192" i="11"/>
  <c r="AB194" i="11"/>
  <c r="AB196" i="11"/>
  <c r="AB198" i="11"/>
  <c r="AB200" i="11"/>
  <c r="AB202" i="11"/>
  <c r="AB204" i="11"/>
  <c r="AB206" i="11"/>
  <c r="AB208" i="11"/>
  <c r="AB210" i="11"/>
  <c r="AB212" i="11"/>
  <c r="AB214" i="11"/>
  <c r="AB216" i="11"/>
  <c r="AB218" i="11"/>
  <c r="AB220" i="11"/>
  <c r="AB222" i="11"/>
  <c r="AB224" i="11"/>
  <c r="AB226" i="11"/>
  <c r="AB228" i="11"/>
  <c r="AB230" i="11"/>
  <c r="AB141" i="11"/>
  <c r="AB143" i="11"/>
  <c r="AB145" i="11"/>
  <c r="AB147" i="11"/>
  <c r="AB149" i="11"/>
  <c r="AB151" i="11"/>
  <c r="AB153" i="11"/>
  <c r="AB155" i="11"/>
  <c r="AB157" i="11"/>
  <c r="AB159" i="11"/>
  <c r="AB161" i="11"/>
  <c r="AB163" i="11"/>
  <c r="AB165" i="11"/>
  <c r="AB167" i="11"/>
  <c r="AB169" i="11"/>
  <c r="AB171" i="11"/>
  <c r="AB173" i="11"/>
  <c r="AB175" i="11"/>
  <c r="AB177" i="11"/>
  <c r="AB179" i="11"/>
  <c r="AB181" i="11"/>
  <c r="AB183" i="11"/>
  <c r="AB185" i="11"/>
  <c r="AB187" i="11"/>
  <c r="AB189" i="11"/>
  <c r="AB191" i="11"/>
  <c r="AB193" i="11"/>
  <c r="AB195" i="11"/>
  <c r="AB197" i="11"/>
  <c r="AB199" i="11"/>
  <c r="AB201" i="11"/>
  <c r="AB203" i="11"/>
  <c r="AB205" i="11"/>
  <c r="AB207" i="11"/>
  <c r="AB209" i="11"/>
  <c r="AB211" i="11"/>
  <c r="AB213" i="11"/>
  <c r="AB215" i="11"/>
  <c r="AB217" i="11"/>
  <c r="AB219" i="11"/>
  <c r="AB221" i="11"/>
  <c r="AB223" i="11"/>
  <c r="AB225" i="11"/>
  <c r="AB229" i="11"/>
  <c r="AB231" i="11"/>
  <c r="AB233" i="11"/>
  <c r="AB235" i="11"/>
  <c r="AB237" i="11"/>
  <c r="AB239" i="11"/>
  <c r="AB241" i="11"/>
  <c r="AB243" i="11"/>
  <c r="AB245" i="11"/>
  <c r="AB247" i="11"/>
  <c r="AB249" i="11"/>
  <c r="AB251" i="11"/>
  <c r="AB253" i="11"/>
  <c r="AB255" i="11"/>
  <c r="AB257" i="11"/>
  <c r="AB259" i="11"/>
  <c r="AB261" i="11"/>
  <c r="AB263" i="11"/>
  <c r="AB265" i="11"/>
  <c r="AB267" i="11"/>
  <c r="AB269" i="11"/>
  <c r="AB271" i="11"/>
  <c r="AB273" i="11"/>
  <c r="AB275" i="11"/>
  <c r="AB277" i="11"/>
  <c r="AB279" i="11"/>
  <c r="AB281" i="11"/>
  <c r="AB283" i="11"/>
  <c r="AB285" i="11"/>
  <c r="AB287" i="11"/>
  <c r="AB289" i="11"/>
  <c r="AB291" i="11"/>
  <c r="AB293" i="11"/>
  <c r="AB295" i="11"/>
  <c r="AB297" i="11"/>
  <c r="AB299" i="11"/>
  <c r="AB301" i="11"/>
  <c r="AB303" i="11"/>
  <c r="AB305" i="11"/>
  <c r="AB307" i="11"/>
  <c r="AB309" i="11"/>
  <c r="AB311" i="11"/>
  <c r="AB313" i="11"/>
  <c r="AB315" i="11"/>
  <c r="AB317" i="11"/>
  <c r="AB319" i="11"/>
  <c r="AB321" i="11"/>
  <c r="AB323" i="11"/>
  <c r="AB227" i="11"/>
  <c r="AB232" i="11"/>
  <c r="AB234" i="11"/>
  <c r="AB236" i="11"/>
  <c r="AB238" i="11"/>
  <c r="AB240" i="11"/>
  <c r="AB242" i="11"/>
  <c r="AB244" i="11"/>
  <c r="AB246" i="11"/>
  <c r="AB248" i="11"/>
  <c r="AB250" i="11"/>
  <c r="AB252" i="11"/>
  <c r="AB254" i="11"/>
  <c r="AB256" i="11"/>
  <c r="AB258" i="11"/>
  <c r="AB260" i="11"/>
  <c r="AB262" i="11"/>
  <c r="AB264" i="11"/>
  <c r="AB266" i="11"/>
  <c r="AB268" i="11"/>
  <c r="AB270" i="11"/>
  <c r="AB272" i="11"/>
  <c r="AB274" i="11"/>
  <c r="AB276" i="11"/>
  <c r="AB278" i="11"/>
  <c r="AB280" i="11"/>
  <c r="AB282" i="11"/>
  <c r="AB284" i="11"/>
  <c r="AB286" i="11"/>
  <c r="AB288" i="11"/>
  <c r="AB290" i="11"/>
  <c r="AB292" i="11"/>
  <c r="AB294" i="11"/>
  <c r="AB296" i="11"/>
  <c r="AB298" i="11"/>
  <c r="AB300" i="11"/>
  <c r="AB302" i="11"/>
  <c r="AB304" i="11"/>
  <c r="AB306" i="11"/>
  <c r="AB308" i="11"/>
  <c r="AB310" i="11"/>
  <c r="AB312" i="11"/>
  <c r="AB314" i="11"/>
  <c r="AB316" i="11"/>
  <c r="AB318" i="11"/>
  <c r="Z28" i="11"/>
  <c r="Z30" i="11"/>
  <c r="Z32" i="11"/>
  <c r="Z34" i="11"/>
  <c r="Z36" i="11"/>
  <c r="Z38" i="11"/>
  <c r="Z40" i="11"/>
  <c r="Z42" i="11"/>
  <c r="Z44" i="11"/>
  <c r="Z46" i="11"/>
  <c r="Z48" i="11"/>
  <c r="Z50" i="11"/>
  <c r="Z27" i="11"/>
  <c r="Z29" i="11"/>
  <c r="Z31" i="11"/>
  <c r="Z33" i="11"/>
  <c r="Z35" i="11"/>
  <c r="Z37" i="11"/>
  <c r="Z39" i="11"/>
  <c r="Z41" i="11"/>
  <c r="Z43" i="11"/>
  <c r="Z45" i="11"/>
  <c r="Z47" i="11"/>
  <c r="Z49" i="11"/>
  <c r="Z52" i="11"/>
  <c r="Z54" i="11"/>
  <c r="Z56" i="11"/>
  <c r="Z58" i="11"/>
  <c r="Z60" i="11"/>
  <c r="Z62" i="11"/>
  <c r="Z64" i="11"/>
  <c r="Z66" i="11"/>
  <c r="Z68" i="11"/>
  <c r="Z70" i="11"/>
  <c r="Z72" i="11"/>
  <c r="Z74" i="11"/>
  <c r="Z76" i="11"/>
  <c r="Z78" i="11"/>
  <c r="Z80" i="11"/>
  <c r="Z82" i="11"/>
  <c r="Z84" i="11"/>
  <c r="Z86" i="11"/>
  <c r="Z88" i="11"/>
  <c r="Z90" i="11"/>
  <c r="Z92" i="11"/>
  <c r="Z94" i="11"/>
  <c r="Z51" i="11"/>
  <c r="Z53" i="11"/>
  <c r="Z55" i="11"/>
  <c r="Z57" i="11"/>
  <c r="Z59" i="11"/>
  <c r="Z61" i="11"/>
  <c r="Z63" i="11"/>
  <c r="Z65" i="11"/>
  <c r="Z67" i="11"/>
  <c r="Z69" i="11"/>
  <c r="Z71" i="11"/>
  <c r="Z73" i="11"/>
  <c r="Z75" i="11"/>
  <c r="Z77" i="11"/>
  <c r="Z79" i="11"/>
  <c r="Z81" i="11"/>
  <c r="Z83" i="11"/>
  <c r="Z85" i="11"/>
  <c r="Z87" i="11"/>
  <c r="Z89" i="11"/>
  <c r="Z93" i="11"/>
  <c r="Z96" i="11"/>
  <c r="Z98" i="11"/>
  <c r="Z100" i="11"/>
  <c r="Z102" i="11"/>
  <c r="Z104" i="11"/>
  <c r="Z106" i="11"/>
  <c r="Z108" i="11"/>
  <c r="Z110" i="11"/>
  <c r="Z112" i="11"/>
  <c r="Z114" i="11"/>
  <c r="Z116" i="11"/>
  <c r="Z118" i="11"/>
  <c r="Z120" i="11"/>
  <c r="Z122" i="11"/>
  <c r="Z124" i="11"/>
  <c r="Z126" i="11"/>
  <c r="Z128" i="11"/>
  <c r="Z130" i="11"/>
  <c r="Z132" i="11"/>
  <c r="Z134" i="11"/>
  <c r="Z136" i="11"/>
  <c r="Z138" i="11"/>
  <c r="Z140" i="11"/>
  <c r="Z91" i="11"/>
  <c r="Z95" i="11"/>
  <c r="Z97" i="11"/>
  <c r="Z99" i="11"/>
  <c r="Z101" i="11"/>
  <c r="Z103" i="11"/>
  <c r="Z105" i="11"/>
  <c r="Z107" i="11"/>
  <c r="Z109" i="11"/>
  <c r="Z111" i="11"/>
  <c r="Z113" i="11"/>
  <c r="Z115" i="11"/>
  <c r="Z117" i="11"/>
  <c r="Z119" i="11"/>
  <c r="Z121" i="11"/>
  <c r="Z123" i="11"/>
  <c r="Z125" i="11"/>
  <c r="Z127" i="11"/>
  <c r="Z129" i="11"/>
  <c r="Z131" i="11"/>
  <c r="Z133" i="11"/>
  <c r="Z135" i="11"/>
  <c r="Z137" i="11"/>
  <c r="Z141" i="11"/>
  <c r="Z142" i="11"/>
  <c r="Z144" i="11"/>
  <c r="Z146" i="11"/>
  <c r="Z148" i="11"/>
  <c r="Z150" i="11"/>
  <c r="Z152" i="11"/>
  <c r="Z154" i="11"/>
  <c r="Z156" i="11"/>
  <c r="Z158" i="11"/>
  <c r="Z160" i="11"/>
  <c r="Z162" i="11"/>
  <c r="Z164" i="11"/>
  <c r="Z166" i="11"/>
  <c r="Z168" i="11"/>
  <c r="Z170" i="11"/>
  <c r="Z172" i="11"/>
  <c r="Z174" i="11"/>
  <c r="Z176" i="11"/>
  <c r="Z178" i="11"/>
  <c r="Z180" i="11"/>
  <c r="Z182" i="11"/>
  <c r="Z184" i="11"/>
  <c r="Z186" i="11"/>
  <c r="Z188" i="11"/>
  <c r="Z190" i="11"/>
  <c r="Z192" i="11"/>
  <c r="Z194" i="11"/>
  <c r="Z196" i="11"/>
  <c r="Z198" i="11"/>
  <c r="Z200" i="11"/>
  <c r="Z202" i="11"/>
  <c r="Z204" i="11"/>
  <c r="Z206" i="11"/>
  <c r="Z208" i="11"/>
  <c r="Z210" i="11"/>
  <c r="Z212" i="11"/>
  <c r="Z214" i="11"/>
  <c r="Z216" i="11"/>
  <c r="Z218" i="11"/>
  <c r="Z220" i="11"/>
  <c r="Z222" i="11"/>
  <c r="Z224" i="11"/>
  <c r="Z226" i="11"/>
  <c r="Z228" i="11"/>
  <c r="Z230" i="11"/>
  <c r="Z139" i="11"/>
  <c r="Z143" i="11"/>
  <c r="Z145" i="11"/>
  <c r="Z147" i="11"/>
  <c r="Z149" i="11"/>
  <c r="Z151" i="11"/>
  <c r="Z153" i="11"/>
  <c r="Z155" i="11"/>
  <c r="Z157" i="11"/>
  <c r="Z159" i="11"/>
  <c r="Z161" i="11"/>
  <c r="Z163" i="11"/>
  <c r="Z165" i="11"/>
  <c r="Z167" i="11"/>
  <c r="Z169" i="11"/>
  <c r="Z171" i="11"/>
  <c r="Z173" i="11"/>
  <c r="Z175" i="11"/>
  <c r="Z177" i="11"/>
  <c r="Z179" i="11"/>
  <c r="Z181" i="11"/>
  <c r="Z183" i="11"/>
  <c r="Z185" i="11"/>
  <c r="Z187" i="11"/>
  <c r="Z189" i="11"/>
  <c r="Z191" i="11"/>
  <c r="Z193" i="11"/>
  <c r="Z195" i="11"/>
  <c r="Z197" i="11"/>
  <c r="Z199" i="11"/>
  <c r="Z201" i="11"/>
  <c r="Z203" i="11"/>
  <c r="Z205" i="11"/>
  <c r="Z207" i="11"/>
  <c r="Z209" i="11"/>
  <c r="Z211" i="11"/>
  <c r="Z213" i="11"/>
  <c r="Z215" i="11"/>
  <c r="Z217" i="11"/>
  <c r="Z219" i="11"/>
  <c r="Z221" i="11"/>
  <c r="Z223" i="11"/>
  <c r="Z225" i="11"/>
  <c r="Z227" i="11"/>
  <c r="Z231" i="11"/>
  <c r="Z233" i="11"/>
  <c r="Z235" i="11"/>
  <c r="Z237" i="11"/>
  <c r="Z239" i="11"/>
  <c r="Z241" i="11"/>
  <c r="Z243" i="11"/>
  <c r="Z245" i="11"/>
  <c r="Z247" i="11"/>
  <c r="Z249" i="11"/>
  <c r="Z251" i="11"/>
  <c r="Z253" i="11"/>
  <c r="Z255" i="11"/>
  <c r="Z257" i="11"/>
  <c r="Z259" i="11"/>
  <c r="Z261" i="11"/>
  <c r="Z263" i="11"/>
  <c r="Z265" i="11"/>
  <c r="Z267" i="11"/>
  <c r="Z269" i="11"/>
  <c r="Z271" i="11"/>
  <c r="Z273" i="11"/>
  <c r="Z275" i="11"/>
  <c r="Z277" i="11"/>
  <c r="Z279" i="11"/>
  <c r="Z281" i="11"/>
  <c r="Z283" i="11"/>
  <c r="Z285" i="11"/>
  <c r="Z287" i="11"/>
  <c r="Z289" i="11"/>
  <c r="Z291" i="11"/>
  <c r="Z293" i="11"/>
  <c r="Z295" i="11"/>
  <c r="Z297" i="11"/>
  <c r="Z299" i="11"/>
  <c r="Z301" i="11"/>
  <c r="Z303" i="11"/>
  <c r="Z305" i="11"/>
  <c r="Z307" i="11"/>
  <c r="Z309" i="11"/>
  <c r="Z311" i="11"/>
  <c r="Z313" i="11"/>
  <c r="Z315" i="11"/>
  <c r="Z317" i="11"/>
  <c r="Z319" i="11"/>
  <c r="Z321" i="11"/>
  <c r="Z323" i="11"/>
  <c r="Z229" i="11"/>
  <c r="Z232" i="11"/>
  <c r="Z234" i="11"/>
  <c r="Z236" i="11"/>
  <c r="Z238" i="11"/>
  <c r="Z240" i="11"/>
  <c r="Z242" i="11"/>
  <c r="Z244" i="11"/>
  <c r="Z246" i="11"/>
  <c r="Z248" i="11"/>
  <c r="Z250" i="11"/>
  <c r="Z252" i="11"/>
  <c r="Z254" i="11"/>
  <c r="Z256" i="11"/>
  <c r="Z258" i="11"/>
  <c r="Z260" i="11"/>
  <c r="Z262" i="11"/>
  <c r="Z264" i="11"/>
  <c r="Z266" i="11"/>
  <c r="Z268" i="11"/>
  <c r="Z270" i="11"/>
  <c r="Z272" i="11"/>
  <c r="Z274" i="11"/>
  <c r="Z276" i="11"/>
  <c r="Z278" i="11"/>
  <c r="Z280" i="11"/>
  <c r="Z282" i="11"/>
  <c r="Z284" i="11"/>
  <c r="Z286" i="11"/>
  <c r="Z288" i="11"/>
  <c r="Z290" i="11"/>
  <c r="Z292" i="11"/>
  <c r="Z294" i="11"/>
  <c r="Z296" i="11"/>
  <c r="Z298" i="11"/>
  <c r="Z300" i="11"/>
  <c r="Z302" i="11"/>
  <c r="Z304" i="11"/>
  <c r="Z306" i="11"/>
  <c r="Z308" i="11"/>
  <c r="Z310" i="11"/>
  <c r="Z312" i="11"/>
  <c r="Z314" i="11"/>
  <c r="Z316" i="11"/>
  <c r="Z318" i="11"/>
  <c r="X26" i="11"/>
  <c r="AD26" i="11"/>
  <c r="AB26" i="11"/>
  <c r="Z26" i="11"/>
  <c r="AL26" i="11"/>
  <c r="AJ26" i="11"/>
  <c r="AH26" i="11"/>
  <c r="AF26" i="11"/>
  <c r="AK405" i="11"/>
  <c r="AI405" i="11"/>
  <c r="AG405" i="11"/>
  <c r="AE405" i="11"/>
  <c r="AC405" i="11"/>
  <c r="AA405" i="11"/>
  <c r="Y405" i="11"/>
  <c r="AL404" i="11"/>
  <c r="AJ404" i="11"/>
  <c r="AH404" i="11"/>
  <c r="AF404" i="11"/>
  <c r="AD404" i="11"/>
  <c r="AB404" i="11"/>
  <c r="Z404" i="11"/>
  <c r="X404" i="11"/>
  <c r="AK403" i="11"/>
  <c r="AI403" i="11"/>
  <c r="AG403" i="11"/>
  <c r="AE403" i="11"/>
  <c r="AC403" i="11"/>
  <c r="AA403" i="11"/>
  <c r="Y403" i="11"/>
  <c r="AL402" i="11"/>
  <c r="AJ402" i="11"/>
  <c r="AH402" i="11"/>
  <c r="AF402" i="11"/>
  <c r="AD402" i="11"/>
  <c r="AB402" i="11"/>
  <c r="Z402" i="11"/>
  <c r="X402" i="11"/>
  <c r="AK401" i="11"/>
  <c r="AI401" i="11"/>
  <c r="AG401" i="11"/>
  <c r="AE401" i="11"/>
  <c r="AC401" i="11"/>
  <c r="AA401" i="11"/>
  <c r="Y401" i="11"/>
  <c r="AL400" i="11"/>
  <c r="AJ400" i="11"/>
  <c r="AH400" i="11"/>
  <c r="AF400" i="11"/>
  <c r="AD400" i="11"/>
  <c r="AB400" i="11"/>
  <c r="Z400" i="11"/>
  <c r="X400" i="11"/>
  <c r="AK399" i="11"/>
  <c r="AI399" i="11"/>
  <c r="AG399" i="11"/>
  <c r="AE399" i="11"/>
  <c r="AC399" i="11"/>
  <c r="AA399" i="11"/>
  <c r="Y399" i="11"/>
  <c r="AL398" i="11"/>
  <c r="AJ398" i="11"/>
  <c r="AH398" i="11"/>
  <c r="AF398" i="11"/>
  <c r="AD398" i="11"/>
  <c r="AB398" i="11"/>
  <c r="Z398" i="11"/>
  <c r="X398" i="11"/>
  <c r="AK397" i="11"/>
  <c r="AI397" i="11"/>
  <c r="AG397" i="11"/>
  <c r="AE397" i="11"/>
  <c r="AC397" i="11"/>
  <c r="AA397" i="11"/>
  <c r="Y397" i="11"/>
  <c r="AL396" i="11"/>
  <c r="AJ396" i="11"/>
  <c r="AH396" i="11"/>
  <c r="AF396" i="11"/>
  <c r="AD396" i="11"/>
  <c r="AB396" i="11"/>
  <c r="Z396" i="11"/>
  <c r="X396" i="11"/>
  <c r="AK395" i="11"/>
  <c r="AI395" i="11"/>
  <c r="AG395" i="11"/>
  <c r="AE395" i="11"/>
  <c r="AC395" i="11"/>
  <c r="AA395" i="11"/>
  <c r="Y395" i="11"/>
  <c r="AL394" i="11"/>
  <c r="AJ394" i="11"/>
  <c r="AH394" i="11"/>
  <c r="AF394" i="11"/>
  <c r="AD394" i="11"/>
  <c r="AB394" i="11"/>
  <c r="Z394" i="11"/>
  <c r="X394" i="11"/>
  <c r="AK393" i="11"/>
  <c r="AI393" i="11"/>
  <c r="AG393" i="11"/>
  <c r="AE393" i="11"/>
  <c r="AC393" i="11"/>
  <c r="AA393" i="11"/>
  <c r="Y393" i="11"/>
  <c r="AL392" i="11"/>
  <c r="AJ392" i="11"/>
  <c r="AH392" i="11"/>
  <c r="AF392" i="11"/>
  <c r="AD392" i="11"/>
  <c r="AB392" i="11"/>
  <c r="Z392" i="11"/>
  <c r="X392" i="11"/>
  <c r="AK391" i="11"/>
  <c r="AI391" i="11"/>
  <c r="AG391" i="11"/>
  <c r="AE391" i="11"/>
  <c r="AC391" i="11"/>
  <c r="AA391" i="11"/>
  <c r="Y391" i="11"/>
  <c r="AL390" i="11"/>
  <c r="AJ390" i="11"/>
  <c r="AH390" i="11"/>
  <c r="AF390" i="11"/>
  <c r="AD390" i="11"/>
  <c r="AB390" i="11"/>
  <c r="Z390" i="11"/>
  <c r="X390" i="11"/>
  <c r="AK389" i="11"/>
  <c r="AI389" i="11"/>
  <c r="AG389" i="11"/>
  <c r="AE389" i="11"/>
  <c r="AC389" i="11"/>
  <c r="AA389" i="11"/>
  <c r="Y389" i="11"/>
  <c r="AL388" i="11"/>
  <c r="AJ388" i="11"/>
  <c r="AH388" i="11"/>
  <c r="AF388" i="11"/>
  <c r="AD388" i="11"/>
  <c r="AB388" i="11"/>
  <c r="Z388" i="11"/>
  <c r="X388" i="11"/>
  <c r="AK387" i="11"/>
  <c r="AI387" i="11"/>
  <c r="AG387" i="11"/>
  <c r="AE387" i="11"/>
  <c r="AC387" i="11"/>
  <c r="AA387" i="11"/>
  <c r="Y387" i="11"/>
  <c r="AL386" i="11"/>
  <c r="AJ386" i="11"/>
  <c r="AH386" i="11"/>
  <c r="AF386" i="11"/>
  <c r="AD386" i="11"/>
  <c r="AB386" i="11"/>
  <c r="Z386" i="11"/>
  <c r="X386" i="11"/>
  <c r="AK385" i="11"/>
  <c r="AI385" i="11"/>
  <c r="AG385" i="11"/>
  <c r="AE385" i="11"/>
  <c r="AC385" i="11"/>
  <c r="AA385" i="11"/>
  <c r="Y385" i="11"/>
  <c r="AL384" i="11"/>
  <c r="AJ384" i="11"/>
  <c r="AH384" i="11"/>
  <c r="AF384" i="11"/>
  <c r="AD384" i="11"/>
  <c r="AB384" i="11"/>
  <c r="Z384" i="11"/>
  <c r="X384" i="11"/>
  <c r="AK383" i="11"/>
  <c r="AI383" i="11"/>
  <c r="AG383" i="11"/>
  <c r="AE383" i="11"/>
  <c r="AC383" i="11"/>
  <c r="AA383" i="11"/>
  <c r="Y383" i="11"/>
  <c r="AL382" i="11"/>
  <c r="AJ382" i="11"/>
  <c r="AH382" i="11"/>
  <c r="AF382" i="11"/>
  <c r="AD382" i="11"/>
  <c r="AB382" i="11"/>
  <c r="Z382" i="11"/>
  <c r="X382" i="11"/>
  <c r="AK381" i="11"/>
  <c r="AI381" i="11"/>
  <c r="AG381" i="11"/>
  <c r="AE381" i="11"/>
  <c r="AC381" i="11"/>
  <c r="AA381" i="11"/>
  <c r="Y381" i="11"/>
  <c r="AL380" i="11"/>
  <c r="AJ380" i="11"/>
  <c r="AH380" i="11"/>
  <c r="AF380" i="11"/>
  <c r="AD380" i="11"/>
  <c r="AB380" i="11"/>
  <c r="Z380" i="11"/>
  <c r="X380" i="11"/>
  <c r="AK379" i="11"/>
  <c r="AI379" i="11"/>
  <c r="AG379" i="11"/>
  <c r="AE379" i="11"/>
  <c r="AC379" i="11"/>
  <c r="AA379" i="11"/>
  <c r="Y379" i="11"/>
  <c r="AL378" i="11"/>
  <c r="AJ378" i="11"/>
  <c r="AH378" i="11"/>
  <c r="AF378" i="11"/>
  <c r="AD378" i="11"/>
  <c r="AB378" i="11"/>
  <c r="Z378" i="11"/>
  <c r="X378" i="11"/>
  <c r="AK377" i="11"/>
  <c r="AI377" i="11"/>
  <c r="AG377" i="11"/>
  <c r="AE377" i="11"/>
  <c r="AC377" i="11"/>
  <c r="AA377" i="11"/>
  <c r="Y377" i="11"/>
  <c r="AL376" i="11"/>
  <c r="AJ376" i="11"/>
  <c r="AH376" i="11"/>
  <c r="AF376" i="11"/>
  <c r="AD376" i="11"/>
  <c r="AB376" i="11"/>
  <c r="Z376" i="11"/>
  <c r="X376" i="11"/>
  <c r="AK375" i="11"/>
  <c r="AI375" i="11"/>
  <c r="AG375" i="11"/>
  <c r="AE375" i="11"/>
  <c r="AC375" i="11"/>
  <c r="AA375" i="11"/>
  <c r="Y375" i="11"/>
  <c r="AL374" i="11"/>
  <c r="AJ374" i="11"/>
  <c r="AH374" i="11"/>
  <c r="AF374" i="11"/>
  <c r="AD374" i="11"/>
  <c r="AB374" i="11"/>
  <c r="Z374" i="11"/>
  <c r="X374" i="11"/>
  <c r="AK373" i="11"/>
  <c r="AI373" i="11"/>
  <c r="AG373" i="11"/>
  <c r="AE373" i="11"/>
  <c r="AC373" i="11"/>
  <c r="AA373" i="11"/>
  <c r="Y373" i="11"/>
  <c r="AL372" i="11"/>
  <c r="AJ372" i="11"/>
  <c r="AH372" i="11"/>
  <c r="AF372" i="11"/>
  <c r="AD372" i="11"/>
  <c r="AB372" i="11"/>
  <c r="Z372" i="11"/>
  <c r="X372" i="11"/>
  <c r="AK371" i="11"/>
  <c r="AI371" i="11"/>
  <c r="AG371" i="11"/>
  <c r="AE371" i="11"/>
  <c r="AC371" i="11"/>
  <c r="AA371" i="11"/>
  <c r="Y371" i="11"/>
  <c r="AL370" i="11"/>
  <c r="AJ370" i="11"/>
  <c r="AH370" i="11"/>
  <c r="AF370" i="11"/>
  <c r="AD370" i="11"/>
  <c r="AB370" i="11"/>
  <c r="Z370" i="11"/>
  <c r="X370" i="11"/>
  <c r="AK369" i="11"/>
  <c r="AI369" i="11"/>
  <c r="AG369" i="11"/>
  <c r="AE369" i="11"/>
  <c r="AC369" i="11"/>
  <c r="AA369" i="11"/>
  <c r="Y369" i="11"/>
  <c r="AL368" i="11"/>
  <c r="AJ368" i="11"/>
  <c r="AH368" i="11"/>
  <c r="AF368" i="11"/>
  <c r="AD368" i="11"/>
  <c r="AB368" i="11"/>
  <c r="Z368" i="11"/>
  <c r="X368" i="11"/>
  <c r="AK367" i="11"/>
  <c r="AI367" i="11"/>
  <c r="AG367" i="11"/>
  <c r="AE367" i="11"/>
  <c r="AC367" i="11"/>
  <c r="AA367" i="11"/>
  <c r="Y367" i="11"/>
  <c r="AL366" i="11"/>
  <c r="AJ366" i="11"/>
  <c r="AH366" i="11"/>
  <c r="AF366" i="11"/>
  <c r="AD366" i="11"/>
  <c r="AB366" i="11"/>
  <c r="Z366" i="11"/>
  <c r="X366" i="11"/>
  <c r="AK365" i="11"/>
  <c r="AI365" i="11"/>
  <c r="AG365" i="11"/>
  <c r="AE365" i="11"/>
  <c r="AC365" i="11"/>
  <c r="AA365" i="11"/>
  <c r="Y365" i="11"/>
  <c r="AL364" i="11"/>
  <c r="AJ364" i="11"/>
  <c r="AH364" i="11"/>
  <c r="AF364" i="11"/>
  <c r="AD364" i="11"/>
  <c r="AB364" i="11"/>
  <c r="Z364" i="11"/>
  <c r="X364" i="11"/>
  <c r="AK363" i="11"/>
  <c r="AI363" i="11"/>
  <c r="AG363" i="11"/>
  <c r="AE363" i="11"/>
  <c r="AC363" i="11"/>
  <c r="AA363" i="11"/>
  <c r="Y363" i="11"/>
  <c r="AL362" i="11"/>
  <c r="AJ362" i="11"/>
  <c r="AH362" i="11"/>
  <c r="AF362" i="11"/>
  <c r="AD362" i="11"/>
  <c r="AB362" i="11"/>
  <c r="Z362" i="11"/>
  <c r="X362" i="11"/>
  <c r="AK361" i="11"/>
  <c r="AI361" i="11"/>
  <c r="AG361" i="11"/>
  <c r="AE361" i="11"/>
  <c r="AC361" i="11"/>
  <c r="AA361" i="11"/>
  <c r="Y361" i="11"/>
  <c r="AL360" i="11"/>
  <c r="AJ360" i="11"/>
  <c r="AH360" i="11"/>
  <c r="AF360" i="11"/>
  <c r="AD360" i="11"/>
  <c r="AB360" i="11"/>
  <c r="Z360" i="11"/>
  <c r="X360" i="11"/>
  <c r="AK359" i="11"/>
  <c r="AI359" i="11"/>
  <c r="AG359" i="11"/>
  <c r="AE359" i="11"/>
  <c r="AC359" i="11"/>
  <c r="AA359" i="11"/>
  <c r="Y359" i="11"/>
  <c r="AL358" i="11"/>
  <c r="AJ358" i="11"/>
  <c r="AH358" i="11"/>
  <c r="AF358" i="11"/>
  <c r="AD358" i="11"/>
  <c r="AB358" i="11"/>
  <c r="Z358" i="11"/>
  <c r="X358" i="11"/>
  <c r="AK357" i="11"/>
  <c r="AI357" i="11"/>
  <c r="AG357" i="11"/>
  <c r="AE357" i="11"/>
  <c r="AC357" i="11"/>
  <c r="AA357" i="11"/>
  <c r="Y357" i="11"/>
  <c r="AL356" i="11"/>
  <c r="AJ356" i="11"/>
  <c r="AH356" i="11"/>
  <c r="AF356" i="11"/>
  <c r="AD356" i="11"/>
  <c r="AB356" i="11"/>
  <c r="Z356" i="11"/>
  <c r="X356" i="11"/>
  <c r="AK355" i="11"/>
  <c r="AI355" i="11"/>
  <c r="AG355" i="11"/>
  <c r="AE355" i="11"/>
  <c r="AC355" i="11"/>
  <c r="AA355" i="11"/>
  <c r="Y355" i="11"/>
  <c r="AL354" i="11"/>
  <c r="AJ354" i="11"/>
  <c r="AH354" i="11"/>
  <c r="AF354" i="11"/>
  <c r="AD354" i="11"/>
  <c r="AB354" i="11"/>
  <c r="Z354" i="11"/>
  <c r="X354" i="11"/>
  <c r="AK353" i="11"/>
  <c r="AI353" i="11"/>
  <c r="AG353" i="11"/>
  <c r="AE353" i="11"/>
  <c r="AC353" i="11"/>
  <c r="AA353" i="11"/>
  <c r="Y353" i="11"/>
  <c r="AL352" i="11"/>
  <c r="AJ352" i="11"/>
  <c r="AH352" i="11"/>
  <c r="AF352" i="11"/>
  <c r="AD352" i="11"/>
  <c r="AB352" i="11"/>
  <c r="Z352" i="11"/>
  <c r="X352" i="11"/>
  <c r="AK351" i="11"/>
  <c r="AI351" i="11"/>
  <c r="AG351" i="11"/>
  <c r="AE351" i="11"/>
  <c r="AC351" i="11"/>
  <c r="AA351" i="11"/>
  <c r="Y351" i="11"/>
  <c r="AL350" i="11"/>
  <c r="AJ350" i="11"/>
  <c r="AH350" i="11"/>
  <c r="AF350" i="11"/>
  <c r="AD350" i="11"/>
  <c r="AB350" i="11"/>
  <c r="Z350" i="11"/>
  <c r="X350" i="11"/>
  <c r="AK349" i="11"/>
  <c r="AI349" i="11"/>
  <c r="AG349" i="11"/>
  <c r="AE349" i="11"/>
  <c r="AC349" i="11"/>
  <c r="AA349" i="11"/>
  <c r="Y349" i="11"/>
  <c r="AL348" i="11"/>
  <c r="AJ348" i="11"/>
  <c r="AH348" i="11"/>
  <c r="AF348" i="11"/>
  <c r="AD348" i="11"/>
  <c r="AB348" i="11"/>
  <c r="Z348" i="11"/>
  <c r="X348" i="11"/>
  <c r="AK347" i="11"/>
  <c r="AI347" i="11"/>
  <c r="AG347" i="11"/>
  <c r="AE347" i="11"/>
  <c r="AC347" i="11"/>
  <c r="AA347" i="11"/>
  <c r="Y347" i="11"/>
  <c r="AL346" i="11"/>
  <c r="AJ346" i="11"/>
  <c r="AH346" i="11"/>
  <c r="AF346" i="11"/>
  <c r="AD346" i="11"/>
  <c r="AB346" i="11"/>
  <c r="Z346" i="11"/>
  <c r="X346" i="11"/>
  <c r="AK345" i="11"/>
  <c r="AI345" i="11"/>
  <c r="AG345" i="11"/>
  <c r="AE345" i="11"/>
  <c r="AC345" i="11"/>
  <c r="AA345" i="11"/>
  <c r="Y345" i="11"/>
  <c r="AL344" i="11"/>
  <c r="AJ344" i="11"/>
  <c r="AH344" i="11"/>
  <c r="AF344" i="11"/>
  <c r="AD344" i="11"/>
  <c r="AB344" i="11"/>
  <c r="Z344" i="11"/>
  <c r="X344" i="11"/>
  <c r="AK343" i="11"/>
  <c r="AI343" i="11"/>
  <c r="AG343" i="11"/>
  <c r="AE343" i="11"/>
  <c r="AC343" i="11"/>
  <c r="AA343" i="11"/>
  <c r="Y343" i="11"/>
  <c r="AL342" i="11"/>
  <c r="AJ342" i="11"/>
  <c r="AH342" i="11"/>
  <c r="AF342" i="11"/>
  <c r="AD342" i="11"/>
  <c r="AB342" i="11"/>
  <c r="Z342" i="11"/>
  <c r="X342" i="11"/>
  <c r="AK341" i="11"/>
  <c r="AI341" i="11"/>
  <c r="AG341" i="11"/>
  <c r="AE341" i="11"/>
  <c r="AC341" i="11"/>
  <c r="AA341" i="11"/>
  <c r="Y341" i="11"/>
  <c r="AL340" i="11"/>
  <c r="AJ340" i="11"/>
  <c r="AH340" i="11"/>
  <c r="AF340" i="11"/>
  <c r="AD340" i="11"/>
  <c r="AB340" i="11"/>
  <c r="Z340" i="11"/>
  <c r="X340" i="11"/>
  <c r="AK339" i="11"/>
  <c r="AI339" i="11"/>
  <c r="AG339" i="11"/>
  <c r="AE339" i="11"/>
  <c r="AC339" i="11"/>
  <c r="AA339" i="11"/>
  <c r="Y339" i="11"/>
  <c r="AL338" i="11"/>
  <c r="AJ338" i="11"/>
  <c r="AH338" i="11"/>
  <c r="AF338" i="11"/>
  <c r="AD338" i="11"/>
  <c r="AB338" i="11"/>
  <c r="Z338" i="11"/>
  <c r="X338" i="11"/>
  <c r="AK337" i="11"/>
  <c r="AI337" i="11"/>
  <c r="AG337" i="11"/>
  <c r="AE337" i="11"/>
  <c r="AC337" i="11"/>
  <c r="AA337" i="11"/>
  <c r="Y337" i="11"/>
  <c r="AL336" i="11"/>
  <c r="AJ336" i="11"/>
  <c r="AH336" i="11"/>
  <c r="AF336" i="11"/>
  <c r="AD336" i="11"/>
  <c r="AB336" i="11"/>
  <c r="Z336" i="11"/>
  <c r="X336" i="11"/>
  <c r="AK335" i="11"/>
  <c r="AI335" i="11"/>
  <c r="AG335" i="11"/>
  <c r="AE335" i="11"/>
  <c r="AC335" i="11"/>
  <c r="AA335" i="11"/>
  <c r="Y335" i="11"/>
  <c r="AL334" i="11"/>
  <c r="AJ334" i="11"/>
  <c r="AH334" i="11"/>
  <c r="AF334" i="11"/>
  <c r="AD334" i="11"/>
  <c r="AB334" i="11"/>
  <c r="Z334" i="11"/>
  <c r="X334" i="11"/>
  <c r="AK333" i="11"/>
  <c r="AI333" i="11"/>
  <c r="AG333" i="11"/>
  <c r="AE333" i="11"/>
  <c r="AC333" i="11"/>
  <c r="AA333" i="11"/>
  <c r="Y333" i="11"/>
  <c r="AL332" i="11"/>
  <c r="AJ332" i="11"/>
  <c r="AH332" i="11"/>
  <c r="AF332" i="11"/>
  <c r="AD332" i="11"/>
  <c r="AB332" i="11"/>
  <c r="Z332" i="11"/>
  <c r="X332" i="11"/>
  <c r="AK331" i="11"/>
  <c r="AI331" i="11"/>
  <c r="AG331" i="11"/>
  <c r="AE331" i="11"/>
  <c r="AC331" i="11"/>
  <c r="AA331" i="11"/>
  <c r="Y331" i="11"/>
  <c r="AL330" i="11"/>
  <c r="AJ330" i="11"/>
  <c r="AH330" i="11"/>
  <c r="AF330" i="11"/>
  <c r="AD330" i="11"/>
  <c r="AB330" i="11"/>
  <c r="Z330" i="11"/>
  <c r="X330" i="11"/>
  <c r="AK329" i="11"/>
  <c r="AI329" i="11"/>
  <c r="AG329" i="11"/>
  <c r="AE329" i="11"/>
  <c r="AC329" i="11"/>
  <c r="AA329" i="11"/>
  <c r="Y329" i="11"/>
  <c r="AL328" i="11"/>
  <c r="AJ328" i="11"/>
  <c r="AH328" i="11"/>
  <c r="AF328" i="11"/>
  <c r="AD328" i="11"/>
  <c r="AB328" i="11"/>
  <c r="Z328" i="11"/>
  <c r="X328" i="11"/>
  <c r="AK327" i="11"/>
  <c r="AI327" i="11"/>
  <c r="AG327" i="11"/>
  <c r="AE327" i="11"/>
  <c r="AC327" i="11"/>
  <c r="AA327" i="11"/>
  <c r="Y327" i="11"/>
  <c r="AL326" i="11"/>
  <c r="AJ326" i="11"/>
  <c r="AH326" i="11"/>
  <c r="AF326" i="11"/>
  <c r="AD326" i="11"/>
  <c r="AB326" i="11"/>
  <c r="Z326" i="11"/>
  <c r="X326" i="11"/>
  <c r="AK325" i="11"/>
  <c r="AI325" i="11"/>
  <c r="AG325" i="11"/>
  <c r="AE325" i="11"/>
  <c r="AC325" i="11"/>
  <c r="AA325" i="11"/>
  <c r="Y325" i="11"/>
  <c r="AL324" i="11"/>
  <c r="AJ324" i="11"/>
  <c r="AH324" i="11"/>
  <c r="AF324" i="11"/>
  <c r="AD324" i="11"/>
  <c r="AB324" i="11"/>
  <c r="Z324" i="11"/>
  <c r="X324" i="11"/>
  <c r="AK323" i="11"/>
  <c r="AI323" i="11"/>
  <c r="AG323" i="11"/>
  <c r="AE323" i="11"/>
  <c r="AA323" i="11"/>
  <c r="AL322" i="11"/>
  <c r="AH322" i="11"/>
  <c r="AD322" i="11"/>
  <c r="Z322" i="11"/>
  <c r="AJ320" i="11"/>
  <c r="AF320" i="11"/>
  <c r="AB320" i="11"/>
  <c r="X320" i="11"/>
  <c r="AL318" i="11"/>
  <c r="AK27" i="11"/>
  <c r="AK29" i="11"/>
  <c r="AK31" i="11"/>
  <c r="AK33" i="11"/>
  <c r="AK35" i="11"/>
  <c r="AK37" i="11"/>
  <c r="AK39" i="11"/>
  <c r="AK41" i="11"/>
  <c r="AK43" i="11"/>
  <c r="AK45" i="11"/>
  <c r="AK47" i="11"/>
  <c r="AK49" i="11"/>
  <c r="AK28" i="11"/>
  <c r="AK30" i="11"/>
  <c r="AK32" i="11"/>
  <c r="AK34" i="11"/>
  <c r="AK36" i="11"/>
  <c r="AK38" i="11"/>
  <c r="AK40" i="11"/>
  <c r="AK42" i="11"/>
  <c r="AK44" i="11"/>
  <c r="AK46" i="11"/>
  <c r="AK48" i="11"/>
  <c r="AK51" i="11"/>
  <c r="AK53" i="11"/>
  <c r="AK55" i="11"/>
  <c r="AK57" i="11"/>
  <c r="AK59" i="11"/>
  <c r="AK61" i="11"/>
  <c r="AK63" i="11"/>
  <c r="AK65" i="11"/>
  <c r="AK67" i="11"/>
  <c r="AK69" i="11"/>
  <c r="AK71" i="11"/>
  <c r="AK73" i="11"/>
  <c r="AK75" i="11"/>
  <c r="AK77" i="11"/>
  <c r="AK79" i="11"/>
  <c r="AK81" i="11"/>
  <c r="AK83" i="11"/>
  <c r="AK85" i="11"/>
  <c r="AK87" i="11"/>
  <c r="AK89" i="11"/>
  <c r="AK91" i="11"/>
  <c r="AK93" i="11"/>
  <c r="AK50" i="11"/>
  <c r="AK52" i="11"/>
  <c r="AK54" i="11"/>
  <c r="AK56" i="11"/>
  <c r="AK58" i="11"/>
  <c r="AK60" i="11"/>
  <c r="AK62" i="11"/>
  <c r="AK64" i="11"/>
  <c r="AK66" i="11"/>
  <c r="AK68" i="11"/>
  <c r="AK70" i="11"/>
  <c r="AK72" i="11"/>
  <c r="AK74" i="11"/>
  <c r="AK76" i="11"/>
  <c r="AK78" i="11"/>
  <c r="AK80" i="11"/>
  <c r="AK82" i="11"/>
  <c r="AK84" i="11"/>
  <c r="AK86" i="11"/>
  <c r="AK88" i="11"/>
  <c r="AK92" i="11"/>
  <c r="AK95" i="11"/>
  <c r="AK97" i="11"/>
  <c r="AK99" i="11"/>
  <c r="AK101" i="11"/>
  <c r="AK103" i="11"/>
  <c r="AK105" i="11"/>
  <c r="AK107" i="11"/>
  <c r="AK109" i="11"/>
  <c r="AK111" i="11"/>
  <c r="AK113" i="11"/>
  <c r="AK115" i="11"/>
  <c r="AK117" i="11"/>
  <c r="AK119" i="11"/>
  <c r="AK121" i="11"/>
  <c r="AK123" i="11"/>
  <c r="AK125" i="11"/>
  <c r="AK127" i="11"/>
  <c r="AK129" i="11"/>
  <c r="AK131" i="11"/>
  <c r="AK133" i="11"/>
  <c r="AK135" i="11"/>
  <c r="AK137" i="11"/>
  <c r="AK139" i="11"/>
  <c r="AK90" i="11"/>
  <c r="AK94" i="11"/>
  <c r="AK96" i="11"/>
  <c r="AK98" i="11"/>
  <c r="AK100" i="11"/>
  <c r="AK102" i="11"/>
  <c r="AK104" i="11"/>
  <c r="AK106" i="11"/>
  <c r="AK108" i="11"/>
  <c r="AK110" i="11"/>
  <c r="AK112" i="11"/>
  <c r="AK114" i="11"/>
  <c r="AK116" i="11"/>
  <c r="AK118" i="11"/>
  <c r="AK120" i="11"/>
  <c r="AK122" i="11"/>
  <c r="AK124" i="11"/>
  <c r="AK126" i="11"/>
  <c r="AK128" i="11"/>
  <c r="AK130" i="11"/>
  <c r="AK132" i="11"/>
  <c r="AK134" i="11"/>
  <c r="AK136" i="11"/>
  <c r="AK140" i="11"/>
  <c r="AK141" i="11"/>
  <c r="AK143" i="11"/>
  <c r="AK145" i="11"/>
  <c r="AK147" i="11"/>
  <c r="AK149" i="11"/>
  <c r="AK151" i="11"/>
  <c r="AK153" i="11"/>
  <c r="AK155" i="11"/>
  <c r="AK157" i="11"/>
  <c r="AK159" i="11"/>
  <c r="AK161" i="11"/>
  <c r="AK163" i="11"/>
  <c r="AK165" i="11"/>
  <c r="AK167" i="11"/>
  <c r="AK169" i="11"/>
  <c r="AK171" i="11"/>
  <c r="AK173" i="11"/>
  <c r="AK175" i="11"/>
  <c r="AK177" i="11"/>
  <c r="AK179" i="11"/>
  <c r="AK181" i="11"/>
  <c r="AK183" i="11"/>
  <c r="AK185" i="11"/>
  <c r="AK187" i="11"/>
  <c r="AK189" i="11"/>
  <c r="AK191" i="11"/>
  <c r="AK193" i="11"/>
  <c r="AK195" i="11"/>
  <c r="AK197" i="11"/>
  <c r="AK199" i="11"/>
  <c r="AK201" i="11"/>
  <c r="AK203" i="11"/>
  <c r="AK205" i="11"/>
  <c r="AK207" i="11"/>
  <c r="AK209" i="11"/>
  <c r="AK211" i="11"/>
  <c r="AK213" i="11"/>
  <c r="AK215" i="11"/>
  <c r="AK217" i="11"/>
  <c r="AK219" i="11"/>
  <c r="AK221" i="11"/>
  <c r="AK223" i="11"/>
  <c r="AK225" i="11"/>
  <c r="AK227" i="11"/>
  <c r="AK229" i="11"/>
  <c r="AK138" i="11"/>
  <c r="AK142" i="11"/>
  <c r="AK144" i="11"/>
  <c r="AK146" i="11"/>
  <c r="AK148" i="11"/>
  <c r="AK150" i="11"/>
  <c r="AK152" i="11"/>
  <c r="AK154" i="11"/>
  <c r="AK156" i="11"/>
  <c r="AK158" i="11"/>
  <c r="AK160" i="11"/>
  <c r="AK162" i="11"/>
  <c r="AK164" i="11"/>
  <c r="AK166" i="11"/>
  <c r="AK168" i="11"/>
  <c r="AK170" i="11"/>
  <c r="AK172" i="11"/>
  <c r="AK174" i="11"/>
  <c r="AK176" i="11"/>
  <c r="AK178" i="11"/>
  <c r="AK180" i="11"/>
  <c r="AK182" i="11"/>
  <c r="AK184" i="11"/>
  <c r="AK186" i="11"/>
  <c r="AK188" i="11"/>
  <c r="AK190" i="11"/>
  <c r="AK192" i="11"/>
  <c r="AK194" i="11"/>
  <c r="AK196" i="11"/>
  <c r="AK198" i="11"/>
  <c r="AK200" i="11"/>
  <c r="AK202" i="11"/>
  <c r="AK204" i="11"/>
  <c r="AK206" i="11"/>
  <c r="AK208" i="11"/>
  <c r="AK210" i="11"/>
  <c r="AK212" i="11"/>
  <c r="AK214" i="11"/>
  <c r="AK216" i="11"/>
  <c r="AK218" i="11"/>
  <c r="AK220" i="11"/>
  <c r="AK222" i="11"/>
  <c r="AK224" i="11"/>
  <c r="AK226" i="11"/>
  <c r="AK230" i="11"/>
  <c r="AK232" i="11"/>
  <c r="AK234" i="11"/>
  <c r="AK236" i="11"/>
  <c r="AK238" i="11"/>
  <c r="AK240" i="11"/>
  <c r="AK242" i="11"/>
  <c r="AK244" i="11"/>
  <c r="AK246" i="11"/>
  <c r="AK248" i="11"/>
  <c r="AK250" i="11"/>
  <c r="AK252" i="11"/>
  <c r="AK254" i="11"/>
  <c r="AK256" i="11"/>
  <c r="AK258" i="11"/>
  <c r="AK260" i="11"/>
  <c r="AK262" i="11"/>
  <c r="AK264" i="11"/>
  <c r="AK266" i="11"/>
  <c r="AK268" i="11"/>
  <c r="AK270" i="11"/>
  <c r="AK272" i="11"/>
  <c r="AK274" i="11"/>
  <c r="AK276" i="11"/>
  <c r="AK278" i="11"/>
  <c r="AK280" i="11"/>
  <c r="AK282" i="11"/>
  <c r="AK284" i="11"/>
  <c r="AK286" i="11"/>
  <c r="AK288" i="11"/>
  <c r="AK290" i="11"/>
  <c r="AK292" i="11"/>
  <c r="AK294" i="11"/>
  <c r="AK296" i="11"/>
  <c r="AK298" i="11"/>
  <c r="AK300" i="11"/>
  <c r="AK302" i="11"/>
  <c r="AK304" i="11"/>
  <c r="AK306" i="11"/>
  <c r="AK308" i="11"/>
  <c r="AK310" i="11"/>
  <c r="AK312" i="11"/>
  <c r="AK314" i="11"/>
  <c r="AK316" i="11"/>
  <c r="AK318" i="11"/>
  <c r="AK320" i="11"/>
  <c r="AK322" i="11"/>
  <c r="AK228" i="11"/>
  <c r="AK231" i="11"/>
  <c r="AK233" i="11"/>
  <c r="AK235" i="11"/>
  <c r="AK237" i="11"/>
  <c r="AK239" i="11"/>
  <c r="AK241" i="11"/>
  <c r="AK243" i="11"/>
  <c r="AK245" i="11"/>
  <c r="AK247" i="11"/>
  <c r="AK249" i="11"/>
  <c r="AK251" i="11"/>
  <c r="AK253" i="11"/>
  <c r="AK255" i="11"/>
  <c r="AK257" i="11"/>
  <c r="AK259" i="11"/>
  <c r="AK261" i="11"/>
  <c r="AK263" i="11"/>
  <c r="AK265" i="11"/>
  <c r="AK267" i="11"/>
  <c r="AK269" i="11"/>
  <c r="AK271" i="11"/>
  <c r="AK273" i="11"/>
  <c r="AK275" i="11"/>
  <c r="AK277" i="11"/>
  <c r="AK279" i="11"/>
  <c r="AK281" i="11"/>
  <c r="AK283" i="11"/>
  <c r="AK285" i="11"/>
  <c r="AK287" i="11"/>
  <c r="AK289" i="11"/>
  <c r="AK291" i="11"/>
  <c r="AK293" i="11"/>
  <c r="AK295" i="11"/>
  <c r="AK297" i="11"/>
  <c r="AK299" i="11"/>
  <c r="AK301" i="11"/>
  <c r="AK303" i="11"/>
  <c r="AK305" i="11"/>
  <c r="AK307" i="11"/>
  <c r="AK309" i="11"/>
  <c r="AK311" i="11"/>
  <c r="AK313" i="11"/>
  <c r="AK315" i="11"/>
  <c r="AK317" i="11"/>
  <c r="AI27" i="11"/>
  <c r="AI29" i="11"/>
  <c r="AI31" i="11"/>
  <c r="AI33" i="11"/>
  <c r="AI35" i="11"/>
  <c r="AI37" i="11"/>
  <c r="AI39" i="11"/>
  <c r="AI41" i="11"/>
  <c r="AI43" i="11"/>
  <c r="AI45" i="11"/>
  <c r="AI47" i="11"/>
  <c r="AI49" i="11"/>
  <c r="AI28" i="11"/>
  <c r="AI30" i="11"/>
  <c r="AI32" i="11"/>
  <c r="AI34" i="11"/>
  <c r="AI36" i="11"/>
  <c r="AI38" i="11"/>
  <c r="AI40" i="11"/>
  <c r="AI42" i="11"/>
  <c r="AI44" i="11"/>
  <c r="AI46" i="11"/>
  <c r="AI48" i="11"/>
  <c r="AI51" i="11"/>
  <c r="AI53" i="11"/>
  <c r="AI55" i="11"/>
  <c r="AI57" i="11"/>
  <c r="AI59" i="11"/>
  <c r="AI61" i="11"/>
  <c r="AI63" i="11"/>
  <c r="AI65" i="11"/>
  <c r="AI67" i="11"/>
  <c r="AI69" i="11"/>
  <c r="AI71" i="11"/>
  <c r="AI73" i="11"/>
  <c r="AI75" i="11"/>
  <c r="AI77" i="11"/>
  <c r="AI79" i="11"/>
  <c r="AI81" i="11"/>
  <c r="AI83" i="11"/>
  <c r="AI85" i="11"/>
  <c r="AI87" i="11"/>
  <c r="AI89" i="11"/>
  <c r="AI91" i="11"/>
  <c r="AI93" i="11"/>
  <c r="AI50" i="11"/>
  <c r="AI52" i="11"/>
  <c r="AI54" i="11"/>
  <c r="AI56" i="11"/>
  <c r="AI58" i="11"/>
  <c r="AI60" i="11"/>
  <c r="AI62" i="11"/>
  <c r="AI64" i="11"/>
  <c r="AI66" i="11"/>
  <c r="AI68" i="11"/>
  <c r="AI70" i="11"/>
  <c r="AI72" i="11"/>
  <c r="AI74" i="11"/>
  <c r="AI76" i="11"/>
  <c r="AI78" i="11"/>
  <c r="AI80" i="11"/>
  <c r="AI82" i="11"/>
  <c r="AI84" i="11"/>
  <c r="AI86" i="11"/>
  <c r="AI88" i="11"/>
  <c r="AI90" i="11"/>
  <c r="AI94" i="11"/>
  <c r="AI95" i="11"/>
  <c r="AI97" i="11"/>
  <c r="AI99" i="11"/>
  <c r="AI101" i="11"/>
  <c r="AI103" i="11"/>
  <c r="AI105" i="11"/>
  <c r="AI107" i="11"/>
  <c r="AI109" i="11"/>
  <c r="AI111" i="11"/>
  <c r="AI113" i="11"/>
  <c r="AI115" i="11"/>
  <c r="AI117" i="11"/>
  <c r="AI119" i="11"/>
  <c r="AI121" i="11"/>
  <c r="AI123" i="11"/>
  <c r="AI125" i="11"/>
  <c r="AI127" i="11"/>
  <c r="AI129" i="11"/>
  <c r="AI131" i="11"/>
  <c r="AI133" i="11"/>
  <c r="AI135" i="11"/>
  <c r="AI137" i="11"/>
  <c r="AI139" i="11"/>
  <c r="AI92" i="11"/>
  <c r="AI96" i="11"/>
  <c r="AI98" i="11"/>
  <c r="AI100" i="11"/>
  <c r="AI102" i="11"/>
  <c r="AI104" i="11"/>
  <c r="AI106" i="11"/>
  <c r="AI108" i="11"/>
  <c r="AI110" i="11"/>
  <c r="AI112" i="11"/>
  <c r="AI114" i="11"/>
  <c r="AI116" i="11"/>
  <c r="AI118" i="11"/>
  <c r="AI120" i="11"/>
  <c r="AI122" i="11"/>
  <c r="AI124" i="11"/>
  <c r="AI126" i="11"/>
  <c r="AI128" i="11"/>
  <c r="AI130" i="11"/>
  <c r="AI132" i="11"/>
  <c r="AI134" i="11"/>
  <c r="AI136" i="11"/>
  <c r="AI138" i="11"/>
  <c r="AI141" i="11"/>
  <c r="AI143" i="11"/>
  <c r="AI145" i="11"/>
  <c r="AI147" i="11"/>
  <c r="AI149" i="11"/>
  <c r="AI151" i="11"/>
  <c r="AI153" i="11"/>
  <c r="AI155" i="11"/>
  <c r="AI157" i="11"/>
  <c r="AI159" i="11"/>
  <c r="AI161" i="11"/>
  <c r="AI163" i="11"/>
  <c r="AI165" i="11"/>
  <c r="AI167" i="11"/>
  <c r="AI169" i="11"/>
  <c r="AI171" i="11"/>
  <c r="AI173" i="11"/>
  <c r="AI175" i="11"/>
  <c r="AI177" i="11"/>
  <c r="AI179" i="11"/>
  <c r="AI181" i="11"/>
  <c r="AI183" i="11"/>
  <c r="AI185" i="11"/>
  <c r="AI187" i="11"/>
  <c r="AI189" i="11"/>
  <c r="AI191" i="11"/>
  <c r="AI193" i="11"/>
  <c r="AI195" i="11"/>
  <c r="AI197" i="11"/>
  <c r="AI199" i="11"/>
  <c r="AI201" i="11"/>
  <c r="AI203" i="11"/>
  <c r="AI205" i="11"/>
  <c r="AI207" i="11"/>
  <c r="AI209" i="11"/>
  <c r="AI211" i="11"/>
  <c r="AI213" i="11"/>
  <c r="AI215" i="11"/>
  <c r="AI217" i="11"/>
  <c r="AI219" i="11"/>
  <c r="AI221" i="11"/>
  <c r="AI223" i="11"/>
  <c r="AI225" i="11"/>
  <c r="AI227" i="11"/>
  <c r="AI229" i="11"/>
  <c r="AI140" i="11"/>
  <c r="AI142" i="11"/>
  <c r="AI144" i="11"/>
  <c r="AI146" i="11"/>
  <c r="AI148" i="11"/>
  <c r="AI150" i="11"/>
  <c r="AI152" i="11"/>
  <c r="AI154" i="11"/>
  <c r="AI156" i="11"/>
  <c r="AI158" i="11"/>
  <c r="AI160" i="11"/>
  <c r="AI162" i="11"/>
  <c r="AI164" i="11"/>
  <c r="AI166" i="11"/>
  <c r="AI168" i="11"/>
  <c r="AI170" i="11"/>
  <c r="AI172" i="11"/>
  <c r="AI174" i="11"/>
  <c r="AI176" i="11"/>
  <c r="AI178" i="11"/>
  <c r="AI180" i="11"/>
  <c r="AI182" i="11"/>
  <c r="AI184" i="11"/>
  <c r="AI186" i="11"/>
  <c r="AI188" i="11"/>
  <c r="AI190" i="11"/>
  <c r="AI192" i="11"/>
  <c r="AI194" i="11"/>
  <c r="AI196" i="11"/>
  <c r="AI198" i="11"/>
  <c r="AI200" i="11"/>
  <c r="AI202" i="11"/>
  <c r="AI204" i="11"/>
  <c r="AI206" i="11"/>
  <c r="AI208" i="11"/>
  <c r="AI210" i="11"/>
  <c r="AI212" i="11"/>
  <c r="AI214" i="11"/>
  <c r="AI216" i="11"/>
  <c r="AI218" i="11"/>
  <c r="AI220" i="11"/>
  <c r="AI222" i="11"/>
  <c r="AI224" i="11"/>
  <c r="AI228" i="11"/>
  <c r="AI230" i="11"/>
  <c r="AI232" i="11"/>
  <c r="AI234" i="11"/>
  <c r="AI236" i="11"/>
  <c r="AI238" i="11"/>
  <c r="AI240" i="11"/>
  <c r="AI242" i="11"/>
  <c r="AI244" i="11"/>
  <c r="AI246" i="11"/>
  <c r="AI248" i="11"/>
  <c r="AI250" i="11"/>
  <c r="AI252" i="11"/>
  <c r="AI254" i="11"/>
  <c r="AI256" i="11"/>
  <c r="AI258" i="11"/>
  <c r="AI260" i="11"/>
  <c r="AI262" i="11"/>
  <c r="AI264" i="11"/>
  <c r="AI266" i="11"/>
  <c r="AI268" i="11"/>
  <c r="AI270" i="11"/>
  <c r="AI272" i="11"/>
  <c r="AI274" i="11"/>
  <c r="AI276" i="11"/>
  <c r="AI278" i="11"/>
  <c r="AI280" i="11"/>
  <c r="AI282" i="11"/>
  <c r="AI284" i="11"/>
  <c r="AI286" i="11"/>
  <c r="AI288" i="11"/>
  <c r="AI290" i="11"/>
  <c r="AI292" i="11"/>
  <c r="AI294" i="11"/>
  <c r="AI296" i="11"/>
  <c r="AI298" i="11"/>
  <c r="AI300" i="11"/>
  <c r="AI302" i="11"/>
  <c r="AI304" i="11"/>
  <c r="AI306" i="11"/>
  <c r="AI308" i="11"/>
  <c r="AI310" i="11"/>
  <c r="AI312" i="11"/>
  <c r="AI314" i="11"/>
  <c r="AI316" i="11"/>
  <c r="AI318" i="11"/>
  <c r="AI320" i="11"/>
  <c r="AI322" i="11"/>
  <c r="AI226" i="11"/>
  <c r="AI231" i="11"/>
  <c r="AI233" i="11"/>
  <c r="AI235" i="11"/>
  <c r="AI237" i="11"/>
  <c r="AI239" i="11"/>
  <c r="AI241" i="11"/>
  <c r="AI243" i="11"/>
  <c r="AI245" i="11"/>
  <c r="AI247" i="11"/>
  <c r="AI249" i="11"/>
  <c r="AI251" i="11"/>
  <c r="AI253" i="11"/>
  <c r="AI255" i="11"/>
  <c r="AI257" i="11"/>
  <c r="AI259" i="11"/>
  <c r="AI261" i="11"/>
  <c r="AI263" i="11"/>
  <c r="AI265" i="11"/>
  <c r="AI267" i="11"/>
  <c r="AI269" i="11"/>
  <c r="AI271" i="11"/>
  <c r="AI273" i="11"/>
  <c r="AI275" i="11"/>
  <c r="AI277" i="11"/>
  <c r="AI279" i="11"/>
  <c r="AI281" i="11"/>
  <c r="AI283" i="11"/>
  <c r="AI285" i="11"/>
  <c r="AI287" i="11"/>
  <c r="AI289" i="11"/>
  <c r="AI291" i="11"/>
  <c r="AI293" i="11"/>
  <c r="AI295" i="11"/>
  <c r="AI297" i="11"/>
  <c r="AI299" i="11"/>
  <c r="AI301" i="11"/>
  <c r="AI303" i="11"/>
  <c r="AI305" i="11"/>
  <c r="AI307" i="11"/>
  <c r="AI309" i="11"/>
  <c r="AI311" i="11"/>
  <c r="AI313" i="11"/>
  <c r="AI315" i="11"/>
  <c r="AI317" i="11"/>
  <c r="AG27" i="11"/>
  <c r="AG29" i="11"/>
  <c r="AG31" i="11"/>
  <c r="AG33" i="11"/>
  <c r="AG35" i="11"/>
  <c r="AG37" i="11"/>
  <c r="AG39" i="11"/>
  <c r="AG41" i="11"/>
  <c r="AG43" i="11"/>
  <c r="AG45" i="11"/>
  <c r="AG47" i="11"/>
  <c r="AG49" i="11"/>
  <c r="AG28" i="11"/>
  <c r="AG30" i="11"/>
  <c r="AG32" i="11"/>
  <c r="AG34" i="11"/>
  <c r="AG36" i="11"/>
  <c r="AG38" i="11"/>
  <c r="AG40" i="11"/>
  <c r="AG42" i="11"/>
  <c r="AG44" i="11"/>
  <c r="AG46" i="11"/>
  <c r="AG48" i="11"/>
  <c r="AG51" i="11"/>
  <c r="AG53" i="11"/>
  <c r="AG55" i="11"/>
  <c r="AG57" i="11"/>
  <c r="AG59" i="11"/>
  <c r="AG61" i="11"/>
  <c r="AG63" i="11"/>
  <c r="AG65" i="11"/>
  <c r="AG67" i="11"/>
  <c r="AG69" i="11"/>
  <c r="AG71" i="11"/>
  <c r="AG73" i="11"/>
  <c r="AG75" i="11"/>
  <c r="AG77" i="11"/>
  <c r="AG79" i="11"/>
  <c r="AG81" i="11"/>
  <c r="AG83" i="11"/>
  <c r="AG85" i="11"/>
  <c r="AG87" i="11"/>
  <c r="AG89" i="11"/>
  <c r="AG91" i="11"/>
  <c r="AG93" i="11"/>
  <c r="AG50" i="11"/>
  <c r="AG52" i="11"/>
  <c r="AG54" i="11"/>
  <c r="AG56" i="11"/>
  <c r="AG58" i="11"/>
  <c r="AG60" i="11"/>
  <c r="AG62" i="11"/>
  <c r="AG64" i="11"/>
  <c r="AG66" i="11"/>
  <c r="AG68" i="11"/>
  <c r="AG70" i="11"/>
  <c r="AG72" i="11"/>
  <c r="AG74" i="11"/>
  <c r="AG76" i="11"/>
  <c r="AG78" i="11"/>
  <c r="AG80" i="11"/>
  <c r="AG82" i="11"/>
  <c r="AG84" i="11"/>
  <c r="AG86" i="11"/>
  <c r="AG88" i="11"/>
  <c r="AG92" i="11"/>
  <c r="AG95" i="11"/>
  <c r="AG97" i="11"/>
  <c r="AG99" i="11"/>
  <c r="AG101" i="11"/>
  <c r="AG103" i="11"/>
  <c r="AG105" i="11"/>
  <c r="AG107" i="11"/>
  <c r="AG109" i="11"/>
  <c r="AG111" i="11"/>
  <c r="AG113" i="11"/>
  <c r="AG115" i="11"/>
  <c r="AG117" i="11"/>
  <c r="AG119" i="11"/>
  <c r="AG121" i="11"/>
  <c r="AG123" i="11"/>
  <c r="AG125" i="11"/>
  <c r="AG127" i="11"/>
  <c r="AG129" i="11"/>
  <c r="AG131" i="11"/>
  <c r="AG133" i="11"/>
  <c r="AG135" i="11"/>
  <c r="AG137" i="11"/>
  <c r="AG139" i="11"/>
  <c r="AG90" i="11"/>
  <c r="AG94" i="11"/>
  <c r="AG96" i="11"/>
  <c r="AG98" i="11"/>
  <c r="AG100" i="11"/>
  <c r="AG102" i="11"/>
  <c r="AG104" i="11"/>
  <c r="AG106" i="11"/>
  <c r="AG108" i="11"/>
  <c r="AG110" i="11"/>
  <c r="AG112" i="11"/>
  <c r="AG114" i="11"/>
  <c r="AG116" i="11"/>
  <c r="AG118" i="11"/>
  <c r="AG120" i="11"/>
  <c r="AG122" i="11"/>
  <c r="AG124" i="11"/>
  <c r="AG126" i="11"/>
  <c r="AG128" i="11"/>
  <c r="AG130" i="11"/>
  <c r="AG132" i="11"/>
  <c r="AG134" i="11"/>
  <c r="AG136" i="11"/>
  <c r="AG140" i="11"/>
  <c r="AG141" i="11"/>
  <c r="AG143" i="11"/>
  <c r="AG145" i="11"/>
  <c r="AG147" i="11"/>
  <c r="AG149" i="11"/>
  <c r="AG151" i="11"/>
  <c r="AG153" i="11"/>
  <c r="AG155" i="11"/>
  <c r="AG157" i="11"/>
  <c r="AG159" i="11"/>
  <c r="AG161" i="11"/>
  <c r="AG163" i="11"/>
  <c r="AG165" i="11"/>
  <c r="AG167" i="11"/>
  <c r="AG169" i="11"/>
  <c r="AG171" i="11"/>
  <c r="AG173" i="11"/>
  <c r="AG175" i="11"/>
  <c r="AG177" i="11"/>
  <c r="AG179" i="11"/>
  <c r="AG181" i="11"/>
  <c r="AG183" i="11"/>
  <c r="AG185" i="11"/>
  <c r="AG187" i="11"/>
  <c r="AG189" i="11"/>
  <c r="AG191" i="11"/>
  <c r="AG193" i="11"/>
  <c r="AG195" i="11"/>
  <c r="AG197" i="11"/>
  <c r="AG199" i="11"/>
  <c r="AG201" i="11"/>
  <c r="AG203" i="11"/>
  <c r="AG205" i="11"/>
  <c r="AG207" i="11"/>
  <c r="AG209" i="11"/>
  <c r="AG211" i="11"/>
  <c r="AG213" i="11"/>
  <c r="AG215" i="11"/>
  <c r="AG217" i="11"/>
  <c r="AG219" i="11"/>
  <c r="AG221" i="11"/>
  <c r="AG223" i="11"/>
  <c r="AG225" i="11"/>
  <c r="AG227" i="11"/>
  <c r="AG229" i="11"/>
  <c r="AG138" i="11"/>
  <c r="AG142" i="11"/>
  <c r="AG144" i="11"/>
  <c r="AG146" i="11"/>
  <c r="AG148" i="11"/>
  <c r="AG150" i="11"/>
  <c r="AG152" i="11"/>
  <c r="AG154" i="11"/>
  <c r="AG156" i="11"/>
  <c r="AG158" i="11"/>
  <c r="AG160" i="11"/>
  <c r="AG162" i="11"/>
  <c r="AG164" i="11"/>
  <c r="AG166" i="11"/>
  <c r="AG168" i="11"/>
  <c r="AG170" i="11"/>
  <c r="AG172" i="11"/>
  <c r="AG174" i="11"/>
  <c r="AG176" i="11"/>
  <c r="AG178" i="11"/>
  <c r="AG180" i="11"/>
  <c r="AG182" i="11"/>
  <c r="AG184" i="11"/>
  <c r="AG186" i="11"/>
  <c r="AG188" i="11"/>
  <c r="AG190" i="11"/>
  <c r="AG192" i="11"/>
  <c r="AG194" i="11"/>
  <c r="AG196" i="11"/>
  <c r="AG198" i="11"/>
  <c r="AG200" i="11"/>
  <c r="AG202" i="11"/>
  <c r="AG204" i="11"/>
  <c r="AG206" i="11"/>
  <c r="AG208" i="11"/>
  <c r="AG210" i="11"/>
  <c r="AG212" i="11"/>
  <c r="AG214" i="11"/>
  <c r="AG216" i="11"/>
  <c r="AG218" i="11"/>
  <c r="AG220" i="11"/>
  <c r="AG222" i="11"/>
  <c r="AG224" i="11"/>
  <c r="AG226" i="11"/>
  <c r="AG230" i="11"/>
  <c r="AG232" i="11"/>
  <c r="AG234" i="11"/>
  <c r="AG236" i="11"/>
  <c r="AG238" i="11"/>
  <c r="AG240" i="11"/>
  <c r="AG242" i="11"/>
  <c r="AG244" i="11"/>
  <c r="AG246" i="11"/>
  <c r="AG248" i="11"/>
  <c r="AG250" i="11"/>
  <c r="AG252" i="11"/>
  <c r="AG254" i="11"/>
  <c r="AG256" i="11"/>
  <c r="AG258" i="11"/>
  <c r="AG260" i="11"/>
  <c r="AG262" i="11"/>
  <c r="AG264" i="11"/>
  <c r="AG266" i="11"/>
  <c r="AG268" i="11"/>
  <c r="AG270" i="11"/>
  <c r="AG272" i="11"/>
  <c r="AG274" i="11"/>
  <c r="AG276" i="11"/>
  <c r="AG278" i="11"/>
  <c r="AG280" i="11"/>
  <c r="AG282" i="11"/>
  <c r="AG284" i="11"/>
  <c r="AG286" i="11"/>
  <c r="AG288" i="11"/>
  <c r="AG290" i="11"/>
  <c r="AG292" i="11"/>
  <c r="AG294" i="11"/>
  <c r="AG296" i="11"/>
  <c r="AG298" i="11"/>
  <c r="AG300" i="11"/>
  <c r="AG302" i="11"/>
  <c r="AG304" i="11"/>
  <c r="AG306" i="11"/>
  <c r="AG308" i="11"/>
  <c r="AG310" i="11"/>
  <c r="AG312" i="11"/>
  <c r="AG314" i="11"/>
  <c r="AG316" i="11"/>
  <c r="AG318" i="11"/>
  <c r="AG320" i="11"/>
  <c r="AG322" i="11"/>
  <c r="AG228" i="11"/>
  <c r="AG231" i="11"/>
  <c r="AG233" i="11"/>
  <c r="AG235" i="11"/>
  <c r="AG237" i="11"/>
  <c r="AG239" i="11"/>
  <c r="AG241" i="11"/>
  <c r="AG243" i="11"/>
  <c r="AG245" i="11"/>
  <c r="AG247" i="11"/>
  <c r="AG249" i="11"/>
  <c r="AG251" i="11"/>
  <c r="AG253" i="11"/>
  <c r="AG255" i="11"/>
  <c r="AG257" i="11"/>
  <c r="AG259" i="11"/>
  <c r="AG261" i="11"/>
  <c r="AG263" i="11"/>
  <c r="AG265" i="11"/>
  <c r="AG267" i="11"/>
  <c r="AG269" i="11"/>
  <c r="AG271" i="11"/>
  <c r="AG273" i="11"/>
  <c r="AG275" i="11"/>
  <c r="AG277" i="11"/>
  <c r="AG279" i="11"/>
  <c r="AG281" i="11"/>
  <c r="AG283" i="11"/>
  <c r="AG285" i="11"/>
  <c r="AG287" i="11"/>
  <c r="AG289" i="11"/>
  <c r="AG291" i="11"/>
  <c r="AG293" i="11"/>
  <c r="AG295" i="11"/>
  <c r="AG297" i="11"/>
  <c r="AG299" i="11"/>
  <c r="AG301" i="11"/>
  <c r="AG303" i="11"/>
  <c r="AG305" i="11"/>
  <c r="AG307" i="11"/>
  <c r="AG309" i="11"/>
  <c r="AG311" i="11"/>
  <c r="AG313" i="11"/>
  <c r="AG315" i="11"/>
  <c r="AG317" i="11"/>
  <c r="AE27" i="11"/>
  <c r="AE29" i="11"/>
  <c r="AE31" i="11"/>
  <c r="AE33" i="11"/>
  <c r="AE35" i="11"/>
  <c r="AE37" i="11"/>
  <c r="AE39" i="11"/>
  <c r="AE41" i="11"/>
  <c r="AE43" i="11"/>
  <c r="AE45" i="11"/>
  <c r="AE47" i="11"/>
  <c r="AE49" i="11"/>
  <c r="AE28" i="11"/>
  <c r="AE30" i="11"/>
  <c r="AE32" i="11"/>
  <c r="AE34" i="11"/>
  <c r="AE36" i="11"/>
  <c r="AE38" i="11"/>
  <c r="AE40" i="11"/>
  <c r="AE42" i="11"/>
  <c r="AE44" i="11"/>
  <c r="AE46" i="11"/>
  <c r="AE48" i="11"/>
  <c r="AE51" i="11"/>
  <c r="AE53" i="11"/>
  <c r="AE55" i="11"/>
  <c r="AE57" i="11"/>
  <c r="AE59" i="11"/>
  <c r="AE61" i="11"/>
  <c r="AE63" i="11"/>
  <c r="AE65" i="11"/>
  <c r="AE67" i="11"/>
  <c r="AE69" i="11"/>
  <c r="AE71" i="11"/>
  <c r="AE73" i="11"/>
  <c r="AE75" i="11"/>
  <c r="AE77" i="11"/>
  <c r="AE79" i="11"/>
  <c r="AE81" i="11"/>
  <c r="AE83" i="11"/>
  <c r="AE85" i="11"/>
  <c r="AE87" i="11"/>
  <c r="AE89" i="11"/>
  <c r="AE91" i="11"/>
  <c r="AE93" i="11"/>
  <c r="AE50" i="11"/>
  <c r="AE52" i="11"/>
  <c r="AE54" i="11"/>
  <c r="AE56" i="11"/>
  <c r="AE58" i="11"/>
  <c r="AE60" i="11"/>
  <c r="AE62" i="11"/>
  <c r="AE64" i="11"/>
  <c r="AE66" i="11"/>
  <c r="AE68" i="11"/>
  <c r="AE70" i="11"/>
  <c r="AE72" i="11"/>
  <c r="AE74" i="11"/>
  <c r="AE76" i="11"/>
  <c r="AE78" i="11"/>
  <c r="AE80" i="11"/>
  <c r="AE82" i="11"/>
  <c r="AE84" i="11"/>
  <c r="AE86" i="11"/>
  <c r="AE88" i="11"/>
  <c r="AE90" i="11"/>
  <c r="AE94" i="11"/>
  <c r="AE95" i="11"/>
  <c r="AE97" i="11"/>
  <c r="AE99" i="11"/>
  <c r="AE101" i="11"/>
  <c r="AE103" i="11"/>
  <c r="AE105" i="11"/>
  <c r="AE107" i="11"/>
  <c r="AE109" i="11"/>
  <c r="AE111" i="11"/>
  <c r="AE113" i="11"/>
  <c r="AE115" i="11"/>
  <c r="AE117" i="11"/>
  <c r="AE119" i="11"/>
  <c r="AE121" i="11"/>
  <c r="AE123" i="11"/>
  <c r="AE125" i="11"/>
  <c r="AE127" i="11"/>
  <c r="AE129" i="11"/>
  <c r="AE131" i="11"/>
  <c r="AE133" i="11"/>
  <c r="AE135" i="11"/>
  <c r="AE137" i="11"/>
  <c r="AE139" i="11"/>
  <c r="AE92" i="11"/>
  <c r="AE96" i="11"/>
  <c r="AE98" i="11"/>
  <c r="AE100" i="11"/>
  <c r="AE102" i="11"/>
  <c r="AE104" i="11"/>
  <c r="AE106" i="11"/>
  <c r="AE108" i="11"/>
  <c r="AE110" i="11"/>
  <c r="AE112" i="11"/>
  <c r="AE114" i="11"/>
  <c r="AE116" i="11"/>
  <c r="AE118" i="11"/>
  <c r="AE120" i="11"/>
  <c r="AE122" i="11"/>
  <c r="AE124" i="11"/>
  <c r="AE126" i="11"/>
  <c r="AE128" i="11"/>
  <c r="AE130" i="11"/>
  <c r="AE132" i="11"/>
  <c r="AE134" i="11"/>
  <c r="AE136" i="11"/>
  <c r="AE138" i="11"/>
  <c r="AE141" i="11"/>
  <c r="AE143" i="11"/>
  <c r="AE145" i="11"/>
  <c r="AE147" i="11"/>
  <c r="AE149" i="11"/>
  <c r="AE151" i="11"/>
  <c r="AE153" i="11"/>
  <c r="AE155" i="11"/>
  <c r="AE157" i="11"/>
  <c r="AE159" i="11"/>
  <c r="AE161" i="11"/>
  <c r="AE163" i="11"/>
  <c r="AE165" i="11"/>
  <c r="AE167" i="11"/>
  <c r="AE169" i="11"/>
  <c r="AE171" i="11"/>
  <c r="AE173" i="11"/>
  <c r="AE175" i="11"/>
  <c r="AE177" i="11"/>
  <c r="AE179" i="11"/>
  <c r="AE181" i="11"/>
  <c r="AE183" i="11"/>
  <c r="AE185" i="11"/>
  <c r="AE187" i="11"/>
  <c r="AE189" i="11"/>
  <c r="AE191" i="11"/>
  <c r="AE193" i="11"/>
  <c r="AE195" i="11"/>
  <c r="AE197" i="11"/>
  <c r="AE199" i="11"/>
  <c r="AE201" i="11"/>
  <c r="AE203" i="11"/>
  <c r="AE205" i="11"/>
  <c r="AE207" i="11"/>
  <c r="AE209" i="11"/>
  <c r="AE211" i="11"/>
  <c r="AE213" i="11"/>
  <c r="AE215" i="11"/>
  <c r="AE217" i="11"/>
  <c r="AE219" i="11"/>
  <c r="AE221" i="11"/>
  <c r="AE223" i="11"/>
  <c r="AE225" i="11"/>
  <c r="AE227" i="11"/>
  <c r="AE229" i="11"/>
  <c r="AE140" i="11"/>
  <c r="AE142" i="11"/>
  <c r="AE144" i="11"/>
  <c r="AE146" i="11"/>
  <c r="AE148" i="11"/>
  <c r="AE150" i="11"/>
  <c r="AE152" i="11"/>
  <c r="AE154" i="11"/>
  <c r="AE156" i="11"/>
  <c r="AE158" i="11"/>
  <c r="AE160" i="11"/>
  <c r="AE162" i="11"/>
  <c r="AE164" i="11"/>
  <c r="AE166" i="11"/>
  <c r="AE168" i="11"/>
  <c r="AE170" i="11"/>
  <c r="AE172" i="11"/>
  <c r="AE174" i="11"/>
  <c r="AE176" i="11"/>
  <c r="AE178" i="11"/>
  <c r="AE180" i="11"/>
  <c r="AE182" i="11"/>
  <c r="AE184" i="11"/>
  <c r="AE186" i="11"/>
  <c r="AE188" i="11"/>
  <c r="AE190" i="11"/>
  <c r="AE192" i="11"/>
  <c r="AE194" i="11"/>
  <c r="AE196" i="11"/>
  <c r="AE198" i="11"/>
  <c r="AE200" i="11"/>
  <c r="AE202" i="11"/>
  <c r="AE204" i="11"/>
  <c r="AE206" i="11"/>
  <c r="AE208" i="11"/>
  <c r="AE210" i="11"/>
  <c r="AE212" i="11"/>
  <c r="AE214" i="11"/>
  <c r="AE216" i="11"/>
  <c r="AE218" i="11"/>
  <c r="AE220" i="11"/>
  <c r="AE222" i="11"/>
  <c r="AE224" i="11"/>
  <c r="AE228" i="11"/>
  <c r="AE232" i="11"/>
  <c r="AE234" i="11"/>
  <c r="AE236" i="11"/>
  <c r="AE238" i="11"/>
  <c r="AE240" i="11"/>
  <c r="AE242" i="11"/>
  <c r="AE244" i="11"/>
  <c r="AE246" i="11"/>
  <c r="AE248" i="11"/>
  <c r="AE250" i="11"/>
  <c r="AE252" i="11"/>
  <c r="AE254" i="11"/>
  <c r="AE256" i="11"/>
  <c r="AE258" i="11"/>
  <c r="AE260" i="11"/>
  <c r="AE262" i="11"/>
  <c r="AE264" i="11"/>
  <c r="AE266" i="11"/>
  <c r="AE268" i="11"/>
  <c r="AE270" i="11"/>
  <c r="AE272" i="11"/>
  <c r="AE274" i="11"/>
  <c r="AE276" i="11"/>
  <c r="AE278" i="11"/>
  <c r="AE280" i="11"/>
  <c r="AE282" i="11"/>
  <c r="AE284" i="11"/>
  <c r="AE286" i="11"/>
  <c r="AE288" i="11"/>
  <c r="AE290" i="11"/>
  <c r="AE292" i="11"/>
  <c r="AE294" i="11"/>
  <c r="AE296" i="11"/>
  <c r="AE298" i="11"/>
  <c r="AE300" i="11"/>
  <c r="AE302" i="11"/>
  <c r="AE304" i="11"/>
  <c r="AE306" i="11"/>
  <c r="AE308" i="11"/>
  <c r="AE310" i="11"/>
  <c r="AE312" i="11"/>
  <c r="AE314" i="11"/>
  <c r="AE316" i="11"/>
  <c r="AE318" i="11"/>
  <c r="AE320" i="11"/>
  <c r="AE322" i="11"/>
  <c r="AE226" i="11"/>
  <c r="AE230" i="11"/>
  <c r="AE231" i="11"/>
  <c r="AE233" i="11"/>
  <c r="AE235" i="11"/>
  <c r="AE237" i="11"/>
  <c r="AE239" i="11"/>
  <c r="AE241" i="11"/>
  <c r="AE243" i="11"/>
  <c r="AE245" i="11"/>
  <c r="AE247" i="11"/>
  <c r="AE249" i="11"/>
  <c r="AE251" i="11"/>
  <c r="AE253" i="11"/>
  <c r="AE255" i="11"/>
  <c r="AE257" i="11"/>
  <c r="AE259" i="11"/>
  <c r="AE261" i="11"/>
  <c r="AE263" i="11"/>
  <c r="AE265" i="11"/>
  <c r="AE267" i="11"/>
  <c r="AE269" i="11"/>
  <c r="AE271" i="11"/>
  <c r="AE273" i="11"/>
  <c r="AE275" i="11"/>
  <c r="AE277" i="11"/>
  <c r="AE279" i="11"/>
  <c r="AE281" i="11"/>
  <c r="AE283" i="11"/>
  <c r="AE285" i="11"/>
  <c r="AE287" i="11"/>
  <c r="AE289" i="11"/>
  <c r="AE291" i="11"/>
  <c r="AE293" i="11"/>
  <c r="AE295" i="11"/>
  <c r="AE297" i="11"/>
  <c r="AE299" i="11"/>
  <c r="AE301" i="11"/>
  <c r="AE303" i="11"/>
  <c r="AE305" i="11"/>
  <c r="AE307" i="11"/>
  <c r="AE309" i="11"/>
  <c r="AE311" i="11"/>
  <c r="AE313" i="11"/>
  <c r="AE315" i="11"/>
  <c r="AE317" i="11"/>
  <c r="AC27" i="11"/>
  <c r="AC29" i="11"/>
  <c r="AC31" i="11"/>
  <c r="AC33" i="11"/>
  <c r="AC35" i="11"/>
  <c r="AC37" i="11"/>
  <c r="AC39" i="11"/>
  <c r="AC41" i="11"/>
  <c r="AC43" i="11"/>
  <c r="AC45" i="11"/>
  <c r="AC47" i="11"/>
  <c r="AC49" i="11"/>
  <c r="AC28" i="11"/>
  <c r="AC30" i="11"/>
  <c r="AC32" i="11"/>
  <c r="AC34" i="11"/>
  <c r="AC36" i="11"/>
  <c r="AC38" i="11"/>
  <c r="AC40" i="11"/>
  <c r="AC42" i="11"/>
  <c r="AC44" i="11"/>
  <c r="AC46" i="11"/>
  <c r="AC48" i="11"/>
  <c r="AC51" i="11"/>
  <c r="AC53" i="11"/>
  <c r="AC55" i="11"/>
  <c r="AC57" i="11"/>
  <c r="AC59" i="11"/>
  <c r="AC61" i="11"/>
  <c r="AC63" i="11"/>
  <c r="AC65" i="11"/>
  <c r="AC67" i="11"/>
  <c r="AC69" i="11"/>
  <c r="AC71" i="11"/>
  <c r="AC73" i="11"/>
  <c r="AC75" i="11"/>
  <c r="AC77" i="11"/>
  <c r="AC79" i="11"/>
  <c r="AC81" i="11"/>
  <c r="AC83" i="11"/>
  <c r="AC85" i="11"/>
  <c r="AC87" i="11"/>
  <c r="AC89" i="11"/>
  <c r="AC91" i="11"/>
  <c r="AC93" i="11"/>
  <c r="AC95" i="11"/>
  <c r="AC50" i="11"/>
  <c r="AC52" i="11"/>
  <c r="AC54" i="11"/>
  <c r="AC56" i="11"/>
  <c r="AC58" i="11"/>
  <c r="AC60" i="11"/>
  <c r="AC62" i="11"/>
  <c r="AC64" i="11"/>
  <c r="AC66" i="11"/>
  <c r="AC68" i="11"/>
  <c r="AC70" i="11"/>
  <c r="AC72" i="11"/>
  <c r="AC74" i="11"/>
  <c r="AC76" i="11"/>
  <c r="AC78" i="11"/>
  <c r="AC80" i="11"/>
  <c r="AC82" i="11"/>
  <c r="AC84" i="11"/>
  <c r="AC86" i="11"/>
  <c r="AC88" i="11"/>
  <c r="AC92" i="11"/>
  <c r="AC97" i="11"/>
  <c r="AC99" i="11"/>
  <c r="AC101" i="11"/>
  <c r="AC103" i="11"/>
  <c r="AC105" i="11"/>
  <c r="AC107" i="11"/>
  <c r="AC109" i="11"/>
  <c r="AC111" i="11"/>
  <c r="AC113" i="11"/>
  <c r="AC115" i="11"/>
  <c r="AC117" i="11"/>
  <c r="AC119" i="11"/>
  <c r="AC121" i="11"/>
  <c r="AC123" i="11"/>
  <c r="AC125" i="11"/>
  <c r="AC127" i="11"/>
  <c r="AC129" i="11"/>
  <c r="AC131" i="11"/>
  <c r="AC133" i="11"/>
  <c r="AC135" i="11"/>
  <c r="AC137" i="11"/>
  <c r="AC139" i="11"/>
  <c r="AC90" i="11"/>
  <c r="AC94" i="11"/>
  <c r="AC96" i="11"/>
  <c r="AC98" i="11"/>
  <c r="AC100" i="11"/>
  <c r="AC102" i="11"/>
  <c r="AC104" i="11"/>
  <c r="AC106" i="11"/>
  <c r="AC108" i="11"/>
  <c r="AC110" i="11"/>
  <c r="AC112" i="11"/>
  <c r="AC114" i="11"/>
  <c r="AC116" i="11"/>
  <c r="AC118" i="11"/>
  <c r="AC120" i="11"/>
  <c r="AC122" i="11"/>
  <c r="AC124" i="11"/>
  <c r="AC126" i="11"/>
  <c r="AC128" i="11"/>
  <c r="AC130" i="11"/>
  <c r="AC132" i="11"/>
  <c r="AC134" i="11"/>
  <c r="AC136" i="11"/>
  <c r="AC140" i="11"/>
  <c r="AC141" i="11"/>
  <c r="AC143" i="11"/>
  <c r="AC145" i="11"/>
  <c r="AC147" i="11"/>
  <c r="AC149" i="11"/>
  <c r="AC151" i="11"/>
  <c r="AC153" i="11"/>
  <c r="AC155" i="11"/>
  <c r="AC157" i="11"/>
  <c r="AC159" i="11"/>
  <c r="AC161" i="11"/>
  <c r="AC163" i="11"/>
  <c r="AC165" i="11"/>
  <c r="AC167" i="11"/>
  <c r="AC169" i="11"/>
  <c r="AC171" i="11"/>
  <c r="AC173" i="11"/>
  <c r="AC175" i="11"/>
  <c r="AC177" i="11"/>
  <c r="AC179" i="11"/>
  <c r="AC181" i="11"/>
  <c r="AC183" i="11"/>
  <c r="AC185" i="11"/>
  <c r="AC187" i="11"/>
  <c r="AC189" i="11"/>
  <c r="AC191" i="11"/>
  <c r="AC193" i="11"/>
  <c r="AC195" i="11"/>
  <c r="AC197" i="11"/>
  <c r="AC199" i="11"/>
  <c r="AC201" i="11"/>
  <c r="AC203" i="11"/>
  <c r="AC205" i="11"/>
  <c r="AC207" i="11"/>
  <c r="AC209" i="11"/>
  <c r="AC211" i="11"/>
  <c r="AC213" i="11"/>
  <c r="AC215" i="11"/>
  <c r="AC217" i="11"/>
  <c r="AC219" i="11"/>
  <c r="AC221" i="11"/>
  <c r="AC223" i="11"/>
  <c r="AC225" i="11"/>
  <c r="AC227" i="11"/>
  <c r="AC229" i="11"/>
  <c r="AC138" i="11"/>
  <c r="AC142" i="11"/>
  <c r="AC144" i="11"/>
  <c r="AC146" i="11"/>
  <c r="AC148" i="11"/>
  <c r="AC150" i="11"/>
  <c r="AC152" i="11"/>
  <c r="AC154" i="11"/>
  <c r="AC156" i="11"/>
  <c r="AC158" i="11"/>
  <c r="AC160" i="11"/>
  <c r="AC162" i="11"/>
  <c r="AC164" i="11"/>
  <c r="AC166" i="11"/>
  <c r="AC168" i="11"/>
  <c r="AC170" i="11"/>
  <c r="AC172" i="11"/>
  <c r="AC174" i="11"/>
  <c r="AC176" i="11"/>
  <c r="AC178" i="11"/>
  <c r="AC180" i="11"/>
  <c r="AC182" i="11"/>
  <c r="AC184" i="11"/>
  <c r="AC186" i="11"/>
  <c r="AC188" i="11"/>
  <c r="AC190" i="11"/>
  <c r="AC192" i="11"/>
  <c r="AC194" i="11"/>
  <c r="AC196" i="11"/>
  <c r="AC198" i="11"/>
  <c r="AC200" i="11"/>
  <c r="AC202" i="11"/>
  <c r="AC204" i="11"/>
  <c r="AC206" i="11"/>
  <c r="AC208" i="11"/>
  <c r="AC210" i="11"/>
  <c r="AC212" i="11"/>
  <c r="AC214" i="11"/>
  <c r="AC216" i="11"/>
  <c r="AC218" i="11"/>
  <c r="AC220" i="11"/>
  <c r="AC222" i="11"/>
  <c r="AC224" i="11"/>
  <c r="AC226" i="11"/>
  <c r="AC230" i="11"/>
  <c r="AC232" i="11"/>
  <c r="AC234" i="11"/>
  <c r="AC236" i="11"/>
  <c r="AC238" i="11"/>
  <c r="AC240" i="11"/>
  <c r="AC242" i="11"/>
  <c r="AC244" i="11"/>
  <c r="AC246" i="11"/>
  <c r="AC248" i="11"/>
  <c r="AC250" i="11"/>
  <c r="AC252" i="11"/>
  <c r="AC254" i="11"/>
  <c r="AC256" i="11"/>
  <c r="AC258" i="11"/>
  <c r="AC260" i="11"/>
  <c r="AC262" i="11"/>
  <c r="AC264" i="11"/>
  <c r="AC266" i="11"/>
  <c r="AC268" i="11"/>
  <c r="AC270" i="11"/>
  <c r="AC272" i="11"/>
  <c r="AC274" i="11"/>
  <c r="AC276" i="11"/>
  <c r="AC278" i="11"/>
  <c r="AC280" i="11"/>
  <c r="AC282" i="11"/>
  <c r="AC284" i="11"/>
  <c r="AC286" i="11"/>
  <c r="AC288" i="11"/>
  <c r="AC290" i="11"/>
  <c r="AC292" i="11"/>
  <c r="AC294" i="11"/>
  <c r="AC296" i="11"/>
  <c r="AC298" i="11"/>
  <c r="AC300" i="11"/>
  <c r="AC302" i="11"/>
  <c r="AC304" i="11"/>
  <c r="AC306" i="11"/>
  <c r="AC308" i="11"/>
  <c r="AC310" i="11"/>
  <c r="AC312" i="11"/>
  <c r="AC314" i="11"/>
  <c r="AC316" i="11"/>
  <c r="AC318" i="11"/>
  <c r="AC320" i="11"/>
  <c r="AC322" i="11"/>
  <c r="AC228" i="11"/>
  <c r="AC231" i="11"/>
  <c r="AC233" i="11"/>
  <c r="AC235" i="11"/>
  <c r="AC237" i="11"/>
  <c r="AC239" i="11"/>
  <c r="AC241" i="11"/>
  <c r="AC243" i="11"/>
  <c r="AC245" i="11"/>
  <c r="AC247" i="11"/>
  <c r="AC249" i="11"/>
  <c r="AC251" i="11"/>
  <c r="AC253" i="11"/>
  <c r="AC255" i="11"/>
  <c r="AC257" i="11"/>
  <c r="AC259" i="11"/>
  <c r="AC261" i="11"/>
  <c r="AC263" i="11"/>
  <c r="AC265" i="11"/>
  <c r="AC267" i="11"/>
  <c r="AC269" i="11"/>
  <c r="AC271" i="11"/>
  <c r="AC273" i="11"/>
  <c r="AC275" i="11"/>
  <c r="AC277" i="11"/>
  <c r="AC279" i="11"/>
  <c r="AC281" i="11"/>
  <c r="AC283" i="11"/>
  <c r="AC285" i="11"/>
  <c r="AC287" i="11"/>
  <c r="AC289" i="11"/>
  <c r="AC291" i="11"/>
  <c r="AC293" i="11"/>
  <c r="AC295" i="11"/>
  <c r="AC297" i="11"/>
  <c r="AC299" i="11"/>
  <c r="AC301" i="11"/>
  <c r="AC303" i="11"/>
  <c r="AC305" i="11"/>
  <c r="AC307" i="11"/>
  <c r="AC309" i="11"/>
  <c r="AC311" i="11"/>
  <c r="AC313" i="11"/>
  <c r="AC315" i="11"/>
  <c r="AC317" i="11"/>
  <c r="AA27" i="11"/>
  <c r="AA29" i="11"/>
  <c r="AA31" i="11"/>
  <c r="AA33" i="11"/>
  <c r="AA35" i="11"/>
  <c r="AA37" i="11"/>
  <c r="AA39" i="11"/>
  <c r="AA41" i="11"/>
  <c r="AA43" i="11"/>
  <c r="AA45" i="11"/>
  <c r="AA47" i="11"/>
  <c r="AA49" i="11"/>
  <c r="AA28" i="11"/>
  <c r="AA30" i="11"/>
  <c r="AA32" i="11"/>
  <c r="AA34" i="11"/>
  <c r="AA36" i="11"/>
  <c r="AA38" i="11"/>
  <c r="AA40" i="11"/>
  <c r="AA42" i="11"/>
  <c r="AA44" i="11"/>
  <c r="AA46" i="11"/>
  <c r="AA48" i="11"/>
  <c r="AA51" i="11"/>
  <c r="AA53" i="11"/>
  <c r="AA55" i="11"/>
  <c r="AA57" i="11"/>
  <c r="AA59" i="11"/>
  <c r="AA61" i="11"/>
  <c r="AA63" i="11"/>
  <c r="AA65" i="11"/>
  <c r="AA67" i="11"/>
  <c r="AA69" i="11"/>
  <c r="AA71" i="11"/>
  <c r="AA73" i="11"/>
  <c r="AA75" i="11"/>
  <c r="AA77" i="11"/>
  <c r="AA79" i="11"/>
  <c r="AA81" i="11"/>
  <c r="AA83" i="11"/>
  <c r="AA85" i="11"/>
  <c r="AA87" i="11"/>
  <c r="AA89" i="11"/>
  <c r="AA91" i="11"/>
  <c r="AA93" i="11"/>
  <c r="AA95" i="11"/>
  <c r="AA50" i="11"/>
  <c r="AA52" i="11"/>
  <c r="AA54" i="11"/>
  <c r="AA56" i="11"/>
  <c r="AA58" i="11"/>
  <c r="AA60" i="11"/>
  <c r="AA62" i="11"/>
  <c r="AA64" i="11"/>
  <c r="AA66" i="11"/>
  <c r="AA68" i="11"/>
  <c r="AA70" i="11"/>
  <c r="AA72" i="11"/>
  <c r="AA74" i="11"/>
  <c r="AA76" i="11"/>
  <c r="AA78" i="11"/>
  <c r="AA80" i="11"/>
  <c r="AA82" i="11"/>
  <c r="AA84" i="11"/>
  <c r="AA86" i="11"/>
  <c r="AA88" i="11"/>
  <c r="AA90" i="11"/>
  <c r="AA94" i="11"/>
  <c r="AA97" i="11"/>
  <c r="AA99" i="11"/>
  <c r="AA101" i="11"/>
  <c r="AA103" i="11"/>
  <c r="AA105" i="11"/>
  <c r="AA107" i="11"/>
  <c r="AA109" i="11"/>
  <c r="AA111" i="11"/>
  <c r="AA113" i="11"/>
  <c r="AA115" i="11"/>
  <c r="AA117" i="11"/>
  <c r="AA119" i="11"/>
  <c r="AA121" i="11"/>
  <c r="AA123" i="11"/>
  <c r="AA125" i="11"/>
  <c r="AA127" i="11"/>
  <c r="AA129" i="11"/>
  <c r="AA131" i="11"/>
  <c r="AA133" i="11"/>
  <c r="AA135" i="11"/>
  <c r="AA137" i="11"/>
  <c r="AA139" i="11"/>
  <c r="AA141" i="11"/>
  <c r="AA92" i="11"/>
  <c r="AA96" i="11"/>
  <c r="AA98" i="11"/>
  <c r="AA100" i="11"/>
  <c r="AA102" i="11"/>
  <c r="AA104" i="11"/>
  <c r="AA106" i="11"/>
  <c r="AA108" i="11"/>
  <c r="AA110" i="11"/>
  <c r="AA112" i="11"/>
  <c r="AA114" i="11"/>
  <c r="AA116" i="11"/>
  <c r="AA118" i="11"/>
  <c r="AA120" i="11"/>
  <c r="AA122" i="11"/>
  <c r="AA124" i="11"/>
  <c r="AA126" i="11"/>
  <c r="AA128" i="11"/>
  <c r="AA130" i="11"/>
  <c r="AA132" i="11"/>
  <c r="AA134" i="11"/>
  <c r="AA136" i="11"/>
  <c r="AA138" i="11"/>
  <c r="AA143" i="11"/>
  <c r="AA145" i="11"/>
  <c r="AA147" i="11"/>
  <c r="AA149" i="11"/>
  <c r="AA151" i="11"/>
  <c r="AA153" i="11"/>
  <c r="AA155" i="11"/>
  <c r="AA157" i="11"/>
  <c r="AA159" i="11"/>
  <c r="AA161" i="11"/>
  <c r="AA163" i="11"/>
  <c r="AA165" i="11"/>
  <c r="AA167" i="11"/>
  <c r="AA169" i="11"/>
  <c r="AA171" i="11"/>
  <c r="AA173" i="11"/>
  <c r="AA175" i="11"/>
  <c r="AA177" i="11"/>
  <c r="AA179" i="11"/>
  <c r="AA181" i="11"/>
  <c r="AA183" i="11"/>
  <c r="AA185" i="11"/>
  <c r="AA187" i="11"/>
  <c r="AA189" i="11"/>
  <c r="AA191" i="11"/>
  <c r="AA193" i="11"/>
  <c r="AA195" i="11"/>
  <c r="AA197" i="11"/>
  <c r="AA199" i="11"/>
  <c r="AA201" i="11"/>
  <c r="AA203" i="11"/>
  <c r="AA205" i="11"/>
  <c r="AA207" i="11"/>
  <c r="AA209" i="11"/>
  <c r="AA211" i="11"/>
  <c r="AA213" i="11"/>
  <c r="AA215" i="11"/>
  <c r="AA217" i="11"/>
  <c r="AA219" i="11"/>
  <c r="AA221" i="11"/>
  <c r="AA223" i="11"/>
  <c r="AA225" i="11"/>
  <c r="AA227" i="11"/>
  <c r="AA229" i="11"/>
  <c r="AA140" i="11"/>
  <c r="AA142" i="11"/>
  <c r="AA144" i="11"/>
  <c r="AA146" i="11"/>
  <c r="AA148" i="11"/>
  <c r="AA150" i="11"/>
  <c r="AA152" i="11"/>
  <c r="AA154" i="11"/>
  <c r="AA156" i="11"/>
  <c r="AA158" i="11"/>
  <c r="AA160" i="11"/>
  <c r="AA162" i="11"/>
  <c r="AA164" i="11"/>
  <c r="AA166" i="11"/>
  <c r="AA168" i="11"/>
  <c r="AA170" i="11"/>
  <c r="AA172" i="11"/>
  <c r="AA174" i="11"/>
  <c r="AA176" i="11"/>
  <c r="AA178" i="11"/>
  <c r="AA180" i="11"/>
  <c r="AA182" i="11"/>
  <c r="AA184" i="11"/>
  <c r="AA186" i="11"/>
  <c r="AA188" i="11"/>
  <c r="AA190" i="11"/>
  <c r="AA192" i="11"/>
  <c r="AA194" i="11"/>
  <c r="AA196" i="11"/>
  <c r="AA198" i="11"/>
  <c r="AA200" i="11"/>
  <c r="AA202" i="11"/>
  <c r="AA204" i="11"/>
  <c r="AA206" i="11"/>
  <c r="AA208" i="11"/>
  <c r="AA210" i="11"/>
  <c r="AA212" i="11"/>
  <c r="AA214" i="11"/>
  <c r="AA216" i="11"/>
  <c r="AA218" i="11"/>
  <c r="AA220" i="11"/>
  <c r="AA222" i="11"/>
  <c r="AA224" i="11"/>
  <c r="AA228" i="11"/>
  <c r="AA232" i="11"/>
  <c r="AA234" i="11"/>
  <c r="AA236" i="11"/>
  <c r="AA238" i="11"/>
  <c r="AA240" i="11"/>
  <c r="AA242" i="11"/>
  <c r="AA244" i="11"/>
  <c r="AA246" i="11"/>
  <c r="AA248" i="11"/>
  <c r="AA250" i="11"/>
  <c r="AA252" i="11"/>
  <c r="AA254" i="11"/>
  <c r="AA256" i="11"/>
  <c r="AA258" i="11"/>
  <c r="AA260" i="11"/>
  <c r="AA262" i="11"/>
  <c r="AA264" i="11"/>
  <c r="AA266" i="11"/>
  <c r="AA268" i="11"/>
  <c r="AA270" i="11"/>
  <c r="AA272" i="11"/>
  <c r="AA274" i="11"/>
  <c r="AA276" i="11"/>
  <c r="AA278" i="11"/>
  <c r="AA280" i="11"/>
  <c r="AA282" i="11"/>
  <c r="AA284" i="11"/>
  <c r="AA286" i="11"/>
  <c r="AA288" i="11"/>
  <c r="AA290" i="11"/>
  <c r="AA292" i="11"/>
  <c r="AA294" i="11"/>
  <c r="AA296" i="11"/>
  <c r="AA298" i="11"/>
  <c r="AA300" i="11"/>
  <c r="AA302" i="11"/>
  <c r="AA304" i="11"/>
  <c r="AA306" i="11"/>
  <c r="AA308" i="11"/>
  <c r="AA310" i="11"/>
  <c r="AA312" i="11"/>
  <c r="AA314" i="11"/>
  <c r="AA316" i="11"/>
  <c r="AA318" i="11"/>
  <c r="AA320" i="11"/>
  <c r="AA322" i="11"/>
  <c r="AA226" i="11"/>
  <c r="AA230" i="11"/>
  <c r="AA231" i="11"/>
  <c r="AA233" i="11"/>
  <c r="AA235" i="11"/>
  <c r="AA237" i="11"/>
  <c r="AA239" i="11"/>
  <c r="AA241" i="11"/>
  <c r="AA243" i="11"/>
  <c r="AA245" i="11"/>
  <c r="AA247" i="11"/>
  <c r="AA249" i="11"/>
  <c r="AA251" i="11"/>
  <c r="AA253" i="11"/>
  <c r="AA255" i="11"/>
  <c r="AA257" i="11"/>
  <c r="AA259" i="11"/>
  <c r="AA261" i="11"/>
  <c r="AA263" i="11"/>
  <c r="AA265" i="11"/>
  <c r="AA267" i="11"/>
  <c r="AA269" i="11"/>
  <c r="AA271" i="11"/>
  <c r="AA273" i="11"/>
  <c r="AA275" i="11"/>
  <c r="AA277" i="11"/>
  <c r="AA279" i="11"/>
  <c r="AA281" i="11"/>
  <c r="AA283" i="11"/>
  <c r="AA285" i="11"/>
  <c r="AA287" i="11"/>
  <c r="AA289" i="11"/>
  <c r="AA291" i="11"/>
  <c r="AA293" i="11"/>
  <c r="AA295" i="11"/>
  <c r="AA297" i="11"/>
  <c r="AA299" i="11"/>
  <c r="AA301" i="11"/>
  <c r="AA303" i="11"/>
  <c r="AA305" i="11"/>
  <c r="AA307" i="11"/>
  <c r="AA309" i="11"/>
  <c r="AA311" i="11"/>
  <c r="AA313" i="11"/>
  <c r="AA315" i="11"/>
  <c r="AA317" i="11"/>
  <c r="Y27" i="11"/>
  <c r="Y29" i="11"/>
  <c r="Y31" i="11"/>
  <c r="Y33" i="11"/>
  <c r="Y35" i="11"/>
  <c r="Y37" i="11"/>
  <c r="Y39" i="11"/>
  <c r="Y41" i="11"/>
  <c r="Y43" i="11"/>
  <c r="Y45" i="11"/>
  <c r="Y47" i="11"/>
  <c r="Y49" i="11"/>
  <c r="Y28" i="11"/>
  <c r="Y30" i="11"/>
  <c r="Y32" i="11"/>
  <c r="Y34" i="11"/>
  <c r="Y36" i="11"/>
  <c r="Y38" i="11"/>
  <c r="Y40" i="11"/>
  <c r="Y42" i="11"/>
  <c r="Y44" i="11"/>
  <c r="Y46" i="11"/>
  <c r="Y48" i="11"/>
  <c r="Y50" i="11"/>
  <c r="Y51" i="11"/>
  <c r="Y53" i="11"/>
  <c r="Y55" i="11"/>
  <c r="Y57" i="11"/>
  <c r="Y59" i="11"/>
  <c r="Y61" i="11"/>
  <c r="Y63" i="11"/>
  <c r="Y65" i="11"/>
  <c r="Y67" i="11"/>
  <c r="Y69" i="11"/>
  <c r="Y71" i="11"/>
  <c r="Y73" i="11"/>
  <c r="Y75" i="11"/>
  <c r="Y77" i="11"/>
  <c r="Y79" i="11"/>
  <c r="Y81" i="11"/>
  <c r="Y83" i="11"/>
  <c r="Y85" i="11"/>
  <c r="Y87" i="11"/>
  <c r="Y89" i="11"/>
  <c r="Y91" i="11"/>
  <c r="Y93" i="11"/>
  <c r="Y95" i="11"/>
  <c r="Y52" i="11"/>
  <c r="Y54" i="11"/>
  <c r="Y56" i="11"/>
  <c r="Y58" i="11"/>
  <c r="Y60" i="11"/>
  <c r="Y62" i="11"/>
  <c r="Y64" i="11"/>
  <c r="Y66" i="11"/>
  <c r="Y68" i="11"/>
  <c r="Y70" i="11"/>
  <c r="Y72" i="11"/>
  <c r="Y74" i="11"/>
  <c r="Y76" i="11"/>
  <c r="Y78" i="11"/>
  <c r="Y80" i="11"/>
  <c r="Y82" i="11"/>
  <c r="Y84" i="11"/>
  <c r="Y86" i="11"/>
  <c r="Y88" i="11"/>
  <c r="Y92" i="11"/>
  <c r="Y97" i="11"/>
  <c r="Y99" i="11"/>
  <c r="Y101" i="11"/>
  <c r="Y103" i="11"/>
  <c r="Y105" i="11"/>
  <c r="Y107" i="11"/>
  <c r="Y109" i="11"/>
  <c r="Y111" i="11"/>
  <c r="Y113" i="11"/>
  <c r="Y115" i="11"/>
  <c r="Y117" i="11"/>
  <c r="Y119" i="11"/>
  <c r="Y121" i="11"/>
  <c r="Y123" i="11"/>
  <c r="Y125" i="11"/>
  <c r="Y127" i="11"/>
  <c r="Y129" i="11"/>
  <c r="Y131" i="11"/>
  <c r="Y133" i="11"/>
  <c r="Y135" i="11"/>
  <c r="Y137" i="11"/>
  <c r="Y139" i="11"/>
  <c r="Y141" i="11"/>
  <c r="Y90" i="11"/>
  <c r="Y94" i="11"/>
  <c r="Y96" i="11"/>
  <c r="Y98" i="11"/>
  <c r="Y100" i="11"/>
  <c r="Y102" i="11"/>
  <c r="Y104" i="11"/>
  <c r="Y106" i="11"/>
  <c r="Y108" i="11"/>
  <c r="Y110" i="11"/>
  <c r="Y112" i="11"/>
  <c r="Y114" i="11"/>
  <c r="Y116" i="11"/>
  <c r="Y118" i="11"/>
  <c r="Y120" i="11"/>
  <c r="Y122" i="11"/>
  <c r="Y124" i="11"/>
  <c r="Y126" i="11"/>
  <c r="Y128" i="11"/>
  <c r="Y130" i="11"/>
  <c r="Y132" i="11"/>
  <c r="Y134" i="11"/>
  <c r="Y136" i="11"/>
  <c r="Y140" i="11"/>
  <c r="Y143" i="11"/>
  <c r="Y145" i="11"/>
  <c r="Y147" i="11"/>
  <c r="Y149" i="11"/>
  <c r="Y151" i="11"/>
  <c r="Y153" i="11"/>
  <c r="Y155" i="11"/>
  <c r="Y157" i="11"/>
  <c r="Y159" i="11"/>
  <c r="Y161" i="11"/>
  <c r="Y163" i="11"/>
  <c r="Y165" i="11"/>
  <c r="Y167" i="11"/>
  <c r="Y169" i="11"/>
  <c r="Y171" i="11"/>
  <c r="Y173" i="11"/>
  <c r="Y175" i="11"/>
  <c r="Y177" i="11"/>
  <c r="Y179" i="11"/>
  <c r="Y181" i="11"/>
  <c r="Y183" i="11"/>
  <c r="Y185" i="11"/>
  <c r="Y187" i="11"/>
  <c r="Y189" i="11"/>
  <c r="Y191" i="11"/>
  <c r="Y193" i="11"/>
  <c r="Y195" i="11"/>
  <c r="Y197" i="11"/>
  <c r="Y199" i="11"/>
  <c r="Y201" i="11"/>
  <c r="Y203" i="11"/>
  <c r="Y205" i="11"/>
  <c r="Y207" i="11"/>
  <c r="Y209" i="11"/>
  <c r="Y211" i="11"/>
  <c r="Y213" i="11"/>
  <c r="Y215" i="11"/>
  <c r="Y217" i="11"/>
  <c r="Y219" i="11"/>
  <c r="Y221" i="11"/>
  <c r="Y223" i="11"/>
  <c r="Y225" i="11"/>
  <c r="Y227" i="11"/>
  <c r="Y229" i="11"/>
  <c r="Y138" i="11"/>
  <c r="Y142" i="11"/>
  <c r="Y144" i="11"/>
  <c r="Y146" i="11"/>
  <c r="Y148" i="11"/>
  <c r="Y150" i="11"/>
  <c r="Y152" i="11"/>
  <c r="Y154" i="11"/>
  <c r="Y156" i="11"/>
  <c r="Y158" i="11"/>
  <c r="Y160" i="11"/>
  <c r="Y162" i="11"/>
  <c r="Y164" i="11"/>
  <c r="Y166" i="11"/>
  <c r="Y168" i="11"/>
  <c r="Y170" i="11"/>
  <c r="Y172" i="11"/>
  <c r="Y174" i="11"/>
  <c r="Y176" i="11"/>
  <c r="Y178" i="11"/>
  <c r="Y180" i="11"/>
  <c r="Y182" i="11"/>
  <c r="Y184" i="11"/>
  <c r="Y186" i="11"/>
  <c r="Y188" i="11"/>
  <c r="Y190" i="11"/>
  <c r="Y192" i="11"/>
  <c r="Y194" i="11"/>
  <c r="Y196" i="11"/>
  <c r="Y198" i="11"/>
  <c r="Y200" i="11"/>
  <c r="Y202" i="11"/>
  <c r="Y204" i="11"/>
  <c r="Y206" i="11"/>
  <c r="Y208" i="11"/>
  <c r="Y210" i="11"/>
  <c r="Y212" i="11"/>
  <c r="Y214" i="11"/>
  <c r="Y216" i="11"/>
  <c r="Y218" i="11"/>
  <c r="Y220" i="11"/>
  <c r="Y222" i="11"/>
  <c r="Y224" i="11"/>
  <c r="Y226" i="11"/>
  <c r="Y230" i="11"/>
  <c r="Y232" i="11"/>
  <c r="Y234" i="11"/>
  <c r="Y236" i="11"/>
  <c r="Y238" i="11"/>
  <c r="Y240" i="11"/>
  <c r="Y242" i="11"/>
  <c r="Y244" i="11"/>
  <c r="Y246" i="11"/>
  <c r="Y248" i="11"/>
  <c r="Y250" i="11"/>
  <c r="Y252" i="11"/>
  <c r="Y254" i="11"/>
  <c r="Y256" i="11"/>
  <c r="Y258" i="11"/>
  <c r="Y260" i="11"/>
  <c r="Y262" i="11"/>
  <c r="Y264" i="11"/>
  <c r="Y266" i="11"/>
  <c r="Y268" i="11"/>
  <c r="Y270" i="11"/>
  <c r="Y272" i="11"/>
  <c r="Y274" i="11"/>
  <c r="Y276" i="11"/>
  <c r="Y278" i="11"/>
  <c r="Y280" i="11"/>
  <c r="Y282" i="11"/>
  <c r="Y284" i="11"/>
  <c r="Y286" i="11"/>
  <c r="Y288" i="11"/>
  <c r="Y290" i="11"/>
  <c r="Y292" i="11"/>
  <c r="Y294" i="11"/>
  <c r="Y296" i="11"/>
  <c r="Y298" i="11"/>
  <c r="Y300" i="11"/>
  <c r="Y302" i="11"/>
  <c r="Y304" i="11"/>
  <c r="Y306" i="11"/>
  <c r="Y308" i="11"/>
  <c r="Y310" i="11"/>
  <c r="Y312" i="11"/>
  <c r="Y314" i="11"/>
  <c r="Y316" i="11"/>
  <c r="Y318" i="11"/>
  <c r="Y320" i="11"/>
  <c r="Y322" i="11"/>
  <c r="Y228" i="11"/>
  <c r="Y231" i="11"/>
  <c r="Y233" i="11"/>
  <c r="Y235" i="11"/>
  <c r="Y237" i="11"/>
  <c r="Y239" i="11"/>
  <c r="Y241" i="11"/>
  <c r="Y243" i="11"/>
  <c r="Y245" i="11"/>
  <c r="Y247" i="11"/>
  <c r="Y249" i="11"/>
  <c r="Y251" i="11"/>
  <c r="Y253" i="11"/>
  <c r="Y255" i="11"/>
  <c r="Y257" i="11"/>
  <c r="Y259" i="11"/>
  <c r="Y261" i="11"/>
  <c r="Y263" i="11"/>
  <c r="Y265" i="11"/>
  <c r="Y267" i="11"/>
  <c r="Y269" i="11"/>
  <c r="Y271" i="11"/>
  <c r="Y273" i="11"/>
  <c r="Y275" i="11"/>
  <c r="Y277" i="11"/>
  <c r="Y279" i="11"/>
  <c r="Y281" i="11"/>
  <c r="Y283" i="11"/>
  <c r="Y285" i="11"/>
  <c r="Y287" i="11"/>
  <c r="Y289" i="11"/>
  <c r="Y291" i="11"/>
  <c r="Y293" i="11"/>
  <c r="Y295" i="11"/>
  <c r="Y297" i="11"/>
  <c r="Y299" i="11"/>
  <c r="Y301" i="11"/>
  <c r="Y303" i="11"/>
  <c r="Y305" i="11"/>
  <c r="Y307" i="11"/>
  <c r="Y309" i="11"/>
  <c r="Y311" i="11"/>
  <c r="Y313" i="11"/>
  <c r="Y315" i="11"/>
  <c r="Y317" i="11"/>
  <c r="AE26" i="11"/>
  <c r="AC26" i="11"/>
  <c r="AA26" i="11"/>
  <c r="Y26" i="11"/>
  <c r="AK26" i="11"/>
  <c r="AI26" i="11"/>
  <c r="AG26" i="11"/>
  <c r="AL405" i="11"/>
  <c r="AJ405" i="11"/>
  <c r="AH405" i="11"/>
  <c r="AD405" i="11"/>
  <c r="AB405" i="11"/>
  <c r="Z405" i="11"/>
  <c r="X405" i="11"/>
  <c r="AK404" i="11"/>
  <c r="AI404" i="11"/>
  <c r="AG404" i="11"/>
  <c r="AE404" i="11"/>
  <c r="AC404" i="11"/>
  <c r="AA404" i="11"/>
  <c r="Y404" i="11"/>
  <c r="AL403" i="11"/>
  <c r="AJ403" i="11"/>
  <c r="AH403" i="11"/>
  <c r="AF403" i="11"/>
  <c r="AD403" i="11"/>
  <c r="AB403" i="11"/>
  <c r="Z403" i="11"/>
  <c r="X403" i="11"/>
  <c r="AK402" i="11"/>
  <c r="AI402" i="11"/>
  <c r="AG402" i="11"/>
  <c r="AE402" i="11"/>
  <c r="AC402" i="11"/>
  <c r="AA402" i="11"/>
  <c r="Y402" i="11"/>
  <c r="AL401" i="11"/>
  <c r="AJ401" i="11"/>
  <c r="AH401" i="11"/>
  <c r="AF401" i="11"/>
  <c r="AD401" i="11"/>
  <c r="AB401" i="11"/>
  <c r="Z401" i="11"/>
  <c r="X401" i="11"/>
  <c r="AK400" i="11"/>
  <c r="AI400" i="11"/>
  <c r="AG400" i="11"/>
  <c r="AE400" i="11"/>
  <c r="AC400" i="11"/>
  <c r="AA400" i="11"/>
  <c r="Y400" i="11"/>
  <c r="AL399" i="11"/>
  <c r="AJ399" i="11"/>
  <c r="AH399" i="11"/>
  <c r="AF399" i="11"/>
  <c r="AB399" i="11"/>
  <c r="Z399" i="11"/>
  <c r="X399" i="11"/>
  <c r="AK398" i="11"/>
  <c r="AI398" i="11"/>
  <c r="AG398" i="11"/>
  <c r="AE398" i="11"/>
  <c r="AC398" i="11"/>
  <c r="AA398" i="11"/>
  <c r="Y398" i="11"/>
  <c r="AL397" i="11"/>
  <c r="AJ397" i="11"/>
  <c r="AH397" i="11"/>
  <c r="AF397" i="11"/>
  <c r="AD397" i="11"/>
  <c r="AB397" i="11"/>
  <c r="Z397" i="11"/>
  <c r="X397" i="11"/>
  <c r="AK396" i="11"/>
  <c r="AI396" i="11"/>
  <c r="AG396" i="11"/>
  <c r="AE396" i="11"/>
  <c r="AC396" i="11"/>
  <c r="AA396" i="11"/>
  <c r="Y396" i="11"/>
  <c r="AL395" i="11"/>
  <c r="AJ395" i="11"/>
  <c r="AH395" i="11"/>
  <c r="AF395" i="11"/>
  <c r="AD395" i="11"/>
  <c r="AB395" i="11"/>
  <c r="Z395" i="11"/>
  <c r="X395" i="11"/>
  <c r="AK394" i="11"/>
  <c r="AI394" i="11"/>
  <c r="AG394" i="11"/>
  <c r="AE394" i="11"/>
  <c r="AC394" i="11"/>
  <c r="AA394" i="11"/>
  <c r="Y394" i="11"/>
  <c r="AL393" i="11"/>
  <c r="AJ393" i="11"/>
  <c r="AH393" i="11"/>
  <c r="AF393" i="11"/>
  <c r="AD393" i="11"/>
  <c r="AB393" i="11"/>
  <c r="Z393" i="11"/>
  <c r="X393" i="11"/>
  <c r="AK392" i="11"/>
  <c r="AI392" i="11"/>
  <c r="AG392" i="11"/>
  <c r="AE392" i="11"/>
  <c r="AC392" i="11"/>
  <c r="AA392" i="11"/>
  <c r="Y392" i="11"/>
  <c r="AL391" i="11"/>
  <c r="AJ391" i="11"/>
  <c r="AH391" i="11"/>
  <c r="AF391" i="11"/>
  <c r="AD391" i="11"/>
  <c r="Z391" i="11"/>
  <c r="X391" i="11"/>
  <c r="AK390" i="11"/>
  <c r="AI390" i="11"/>
  <c r="AG390" i="11"/>
  <c r="AE390" i="11"/>
  <c r="AC390" i="11"/>
  <c r="AA390" i="11"/>
  <c r="Y390" i="11"/>
  <c r="AL389" i="11"/>
  <c r="AJ389" i="11"/>
  <c r="AH389" i="11"/>
  <c r="AF389" i="11"/>
  <c r="AD389" i="11"/>
  <c r="AB389" i="11"/>
  <c r="Z389" i="11"/>
  <c r="X389" i="11"/>
  <c r="AK388" i="11"/>
  <c r="AI388" i="11"/>
  <c r="AG388" i="11"/>
  <c r="AE388" i="11"/>
  <c r="AC388" i="11"/>
  <c r="AA388" i="11"/>
  <c r="Y388" i="11"/>
  <c r="AL387" i="11"/>
  <c r="AJ387" i="11"/>
  <c r="AH387" i="11"/>
  <c r="AF387" i="11"/>
  <c r="AD387" i="11"/>
  <c r="AB387" i="11"/>
  <c r="X387" i="11"/>
  <c r="AK386" i="11"/>
  <c r="AI386" i="11"/>
  <c r="AG386" i="11"/>
  <c r="AE386" i="11"/>
  <c r="AC386" i="11"/>
  <c r="AA386" i="11"/>
  <c r="Y386" i="11"/>
  <c r="AL385" i="11"/>
  <c r="AJ385" i="11"/>
  <c r="AH385" i="11"/>
  <c r="AF385" i="11"/>
  <c r="AD385" i="11"/>
  <c r="AB385" i="11"/>
  <c r="Z385" i="11"/>
  <c r="X385" i="11"/>
  <c r="AK384" i="11"/>
  <c r="AI384" i="11"/>
  <c r="AG384" i="11"/>
  <c r="AE384" i="11"/>
  <c r="AC384" i="11"/>
  <c r="AA384" i="11"/>
  <c r="Y384" i="11"/>
  <c r="AL383" i="11"/>
  <c r="AJ383" i="11"/>
  <c r="AH383" i="11"/>
  <c r="AF383" i="11"/>
  <c r="AD383" i="11"/>
  <c r="AB383" i="11"/>
  <c r="Z383" i="11"/>
  <c r="X383" i="11"/>
  <c r="AK382" i="11"/>
  <c r="AI382" i="11"/>
  <c r="AG382" i="11"/>
  <c r="AE382" i="11"/>
  <c r="AC382" i="11"/>
  <c r="AA382" i="11"/>
  <c r="Y382" i="11"/>
  <c r="AL381" i="11"/>
  <c r="AJ381" i="11"/>
  <c r="AH381" i="11"/>
  <c r="AF381" i="11"/>
  <c r="AD381" i="11"/>
  <c r="AB381" i="11"/>
  <c r="Z381" i="11"/>
  <c r="X381" i="11"/>
  <c r="AK380" i="11"/>
  <c r="AI380" i="11"/>
  <c r="AG380" i="11"/>
  <c r="AE380" i="11"/>
  <c r="AC380" i="11"/>
  <c r="AA380" i="11"/>
  <c r="Y380" i="11"/>
  <c r="AL379" i="11"/>
  <c r="AJ379" i="11"/>
  <c r="AH379" i="11"/>
  <c r="AF379" i="11"/>
  <c r="AD379" i="11"/>
  <c r="AB379" i="11"/>
  <c r="Z379" i="11"/>
  <c r="X379" i="11"/>
  <c r="AK378" i="11"/>
  <c r="AI378" i="11"/>
  <c r="AG378" i="11"/>
  <c r="AE378" i="11"/>
  <c r="AC378" i="11"/>
  <c r="AA378" i="11"/>
  <c r="Y378" i="11"/>
  <c r="AL377" i="11"/>
  <c r="AJ377" i="11"/>
  <c r="AH377" i="11"/>
  <c r="AF377" i="11"/>
  <c r="AD377" i="11"/>
  <c r="AB377" i="11"/>
  <c r="Z377" i="11"/>
  <c r="X377" i="11"/>
  <c r="AK376" i="11"/>
  <c r="AI376" i="11"/>
  <c r="AG376" i="11"/>
  <c r="AE376" i="11"/>
  <c r="AC376" i="11"/>
  <c r="AA376" i="11"/>
  <c r="Y376" i="11"/>
  <c r="AL375" i="11"/>
  <c r="AJ375" i="11"/>
  <c r="AH375" i="11"/>
  <c r="AF375" i="11"/>
  <c r="AD375" i="11"/>
  <c r="AB375" i="11"/>
  <c r="Z375" i="11"/>
  <c r="X375" i="11"/>
  <c r="AK374" i="11"/>
  <c r="AI374" i="11"/>
  <c r="AG374" i="11"/>
  <c r="AE374" i="11"/>
  <c r="AC374" i="11"/>
  <c r="AA374" i="11"/>
  <c r="Y374" i="11"/>
  <c r="AL373" i="11"/>
  <c r="AJ373" i="11"/>
  <c r="AH373" i="11"/>
  <c r="AF373" i="11"/>
  <c r="AD373" i="11"/>
  <c r="AB373" i="11"/>
  <c r="Z373" i="11"/>
  <c r="X373" i="11"/>
  <c r="AK372" i="11"/>
  <c r="AI372" i="11"/>
  <c r="AG372" i="11"/>
  <c r="AE372" i="11"/>
  <c r="AC372" i="11"/>
  <c r="AA372" i="11"/>
  <c r="Y372" i="11"/>
  <c r="AL371" i="11"/>
  <c r="AJ371" i="11"/>
  <c r="AH371" i="11"/>
  <c r="AF371" i="11"/>
  <c r="AD371" i="11"/>
  <c r="AB371" i="11"/>
  <c r="Z371" i="11"/>
  <c r="X371" i="11"/>
  <c r="AK370" i="11"/>
  <c r="AI370" i="11"/>
  <c r="AG370" i="11"/>
  <c r="AE370" i="11"/>
  <c r="AC370" i="11"/>
  <c r="AA370" i="11"/>
  <c r="Y370" i="11"/>
  <c r="AL369" i="11"/>
  <c r="AJ369" i="11"/>
  <c r="AH369" i="11"/>
  <c r="AF369" i="11"/>
  <c r="AD369" i="11"/>
  <c r="AB369" i="11"/>
  <c r="Z369" i="11"/>
  <c r="X369" i="11"/>
  <c r="AK368" i="11"/>
  <c r="AI368" i="11"/>
  <c r="AG368" i="11"/>
  <c r="AE368" i="11"/>
  <c r="AC368" i="11"/>
  <c r="AA368" i="11"/>
  <c r="Y368" i="11"/>
  <c r="AL367" i="11"/>
  <c r="AJ367" i="11"/>
  <c r="AH367" i="11"/>
  <c r="AF367" i="11"/>
  <c r="AD367" i="11"/>
  <c r="AB367" i="11"/>
  <c r="Z367" i="11"/>
  <c r="X367" i="11"/>
  <c r="AK366" i="11"/>
  <c r="AI366" i="11"/>
  <c r="AG366" i="11"/>
  <c r="AE366" i="11"/>
  <c r="AC366" i="11"/>
  <c r="AA366" i="11"/>
  <c r="Y366" i="11"/>
  <c r="AL365" i="11"/>
  <c r="AJ365" i="11"/>
  <c r="AH365" i="11"/>
  <c r="AF365" i="11"/>
  <c r="AD365" i="11"/>
  <c r="AB365" i="11"/>
  <c r="Z365" i="11"/>
  <c r="X365" i="11"/>
  <c r="AK364" i="11"/>
  <c r="AI364" i="11"/>
  <c r="AG364" i="11"/>
  <c r="AE364" i="11"/>
  <c r="AC364" i="11"/>
  <c r="AA364" i="11"/>
  <c r="Y364" i="11"/>
  <c r="AL363" i="11"/>
  <c r="AJ363" i="11"/>
  <c r="AH363" i="11"/>
  <c r="AF363" i="11"/>
  <c r="AD363" i="11"/>
  <c r="AB363" i="11"/>
  <c r="Z363" i="11"/>
  <c r="X363" i="11"/>
  <c r="AK362" i="11"/>
  <c r="AI362" i="11"/>
  <c r="AG362" i="11"/>
  <c r="AE362" i="11"/>
  <c r="AC362" i="11"/>
  <c r="AA362" i="11"/>
  <c r="Y362" i="11"/>
  <c r="AL361" i="11"/>
  <c r="AJ361" i="11"/>
  <c r="AH361" i="11"/>
  <c r="AF361" i="11"/>
  <c r="AD361" i="11"/>
  <c r="AB361" i="11"/>
  <c r="Z361" i="11"/>
  <c r="X361" i="11"/>
  <c r="AK360" i="11"/>
  <c r="AI360" i="11"/>
  <c r="AG360" i="11"/>
  <c r="AE360" i="11"/>
  <c r="AC360" i="11"/>
  <c r="AA360" i="11"/>
  <c r="Y360" i="11"/>
  <c r="AL359" i="11"/>
  <c r="AJ359" i="11"/>
  <c r="AH359" i="11"/>
  <c r="AF359" i="11"/>
  <c r="AD359" i="11"/>
  <c r="AB359" i="11"/>
  <c r="Z359" i="11"/>
  <c r="X359" i="11"/>
  <c r="AK358" i="11"/>
  <c r="AI358" i="11"/>
  <c r="AG358" i="11"/>
  <c r="AE358" i="11"/>
  <c r="AC358" i="11"/>
  <c r="AA358" i="11"/>
  <c r="Y358" i="11"/>
  <c r="AL357" i="11"/>
  <c r="AJ357" i="11"/>
  <c r="AH357" i="11"/>
  <c r="AF357" i="11"/>
  <c r="AD357" i="11"/>
  <c r="AB357" i="11"/>
  <c r="Z357" i="11"/>
  <c r="X357" i="11"/>
  <c r="AK356" i="11"/>
  <c r="AI356" i="11"/>
  <c r="AG356" i="11"/>
  <c r="AE356" i="11"/>
  <c r="AC356" i="11"/>
  <c r="AA356" i="11"/>
  <c r="Y356" i="11"/>
  <c r="AL355" i="11"/>
  <c r="AJ355" i="11"/>
  <c r="AH355" i="11"/>
  <c r="AF355" i="11"/>
  <c r="AD355" i="11"/>
  <c r="AB355" i="11"/>
  <c r="Z355" i="11"/>
  <c r="X355" i="11"/>
  <c r="AK354" i="11"/>
  <c r="AI354" i="11"/>
  <c r="AG354" i="11"/>
  <c r="AE354" i="11"/>
  <c r="AC354" i="11"/>
  <c r="AA354" i="11"/>
  <c r="Y354" i="11"/>
  <c r="AL353" i="11"/>
  <c r="AJ353" i="11"/>
  <c r="AH353" i="11"/>
  <c r="AF353" i="11"/>
  <c r="AD353" i="11"/>
  <c r="AB353" i="11"/>
  <c r="Z353" i="11"/>
  <c r="X353" i="11"/>
  <c r="AK352" i="11"/>
  <c r="AI352" i="11"/>
  <c r="AG352" i="11"/>
  <c r="AE352" i="11"/>
  <c r="AC352" i="11"/>
  <c r="AA352" i="11"/>
  <c r="Y352" i="11"/>
  <c r="AL351" i="11"/>
  <c r="AJ351" i="11"/>
  <c r="AH351" i="11"/>
  <c r="AF351" i="11"/>
  <c r="AD351" i="11"/>
  <c r="AB351" i="11"/>
  <c r="Z351" i="11"/>
  <c r="X351" i="11"/>
  <c r="AK350" i="11"/>
  <c r="AI350" i="11"/>
  <c r="AG350" i="11"/>
  <c r="AE350" i="11"/>
  <c r="AC350" i="11"/>
  <c r="AA350" i="11"/>
  <c r="Y350" i="11"/>
  <c r="AL349" i="11"/>
  <c r="AJ349" i="11"/>
  <c r="AH349" i="11"/>
  <c r="AF349" i="11"/>
  <c r="AD349" i="11"/>
  <c r="AB349" i="11"/>
  <c r="Z349" i="11"/>
  <c r="X349" i="11"/>
  <c r="AK348" i="11"/>
  <c r="AI348" i="11"/>
  <c r="AG348" i="11"/>
  <c r="AE348" i="11"/>
  <c r="AC348" i="11"/>
  <c r="AA348" i="11"/>
  <c r="Y348" i="11"/>
  <c r="AL347" i="11"/>
  <c r="AJ347" i="11"/>
  <c r="AH347" i="11"/>
  <c r="AF347" i="11"/>
  <c r="AD347" i="11"/>
  <c r="AB347" i="11"/>
  <c r="Z347" i="11"/>
  <c r="X347" i="11"/>
  <c r="AK346" i="11"/>
  <c r="AI346" i="11"/>
  <c r="AG346" i="11"/>
  <c r="AE346" i="11"/>
  <c r="AC346" i="11"/>
  <c r="AA346" i="11"/>
  <c r="Y346" i="11"/>
  <c r="AL345" i="11"/>
  <c r="AJ345" i="11"/>
  <c r="AH345" i="11"/>
  <c r="AF345" i="11"/>
  <c r="AD345" i="11"/>
  <c r="AB345" i="11"/>
  <c r="Z345" i="11"/>
  <c r="X345" i="11"/>
  <c r="AK344" i="11"/>
  <c r="AI344" i="11"/>
  <c r="AG344" i="11"/>
  <c r="AE344" i="11"/>
  <c r="AC344" i="11"/>
  <c r="AA344" i="11"/>
  <c r="Y344" i="11"/>
  <c r="AL343" i="11"/>
  <c r="AJ343" i="11"/>
  <c r="AH343" i="11"/>
  <c r="AF343" i="11"/>
  <c r="AD343" i="11"/>
  <c r="AB343" i="11"/>
  <c r="Z343" i="11"/>
  <c r="X343" i="11"/>
  <c r="AK342" i="11"/>
  <c r="AI342" i="11"/>
  <c r="AG342" i="11"/>
  <c r="AE342" i="11"/>
  <c r="AC342" i="11"/>
  <c r="AA342" i="11"/>
  <c r="Y342" i="11"/>
  <c r="AL341" i="11"/>
  <c r="AJ341" i="11"/>
  <c r="AH341" i="11"/>
  <c r="AF341" i="11"/>
  <c r="AD341" i="11"/>
  <c r="AB341" i="11"/>
  <c r="Z341" i="11"/>
  <c r="X341" i="11"/>
  <c r="AK340" i="11"/>
  <c r="AI340" i="11"/>
  <c r="AG340" i="11"/>
  <c r="AE340" i="11"/>
  <c r="AC340" i="11"/>
  <c r="AA340" i="11"/>
  <c r="Y340" i="11"/>
  <c r="AL339" i="11"/>
  <c r="AJ339" i="11"/>
  <c r="AH339" i="11"/>
  <c r="AF339" i="11"/>
  <c r="AD339" i="11"/>
  <c r="AB339" i="11"/>
  <c r="Z339" i="11"/>
  <c r="X339" i="11"/>
  <c r="AK338" i="11"/>
  <c r="AI338" i="11"/>
  <c r="AG338" i="11"/>
  <c r="AE338" i="11"/>
  <c r="AC338" i="11"/>
  <c r="AA338" i="11"/>
  <c r="Y338" i="11"/>
  <c r="AL337" i="11"/>
  <c r="AJ337" i="11"/>
  <c r="AH337" i="11"/>
  <c r="AF337" i="11"/>
  <c r="AD337" i="11"/>
  <c r="AB337" i="11"/>
  <c r="Z337" i="11"/>
  <c r="X337" i="11"/>
  <c r="AK336" i="11"/>
  <c r="AI336" i="11"/>
  <c r="AG336" i="11"/>
  <c r="AE336" i="11"/>
  <c r="AC336" i="11"/>
  <c r="AA336" i="11"/>
  <c r="Y336" i="11"/>
  <c r="AL335" i="11"/>
  <c r="AJ335" i="11"/>
  <c r="AH335" i="11"/>
  <c r="AF335" i="11"/>
  <c r="AD335" i="11"/>
  <c r="AB335" i="11"/>
  <c r="Z335" i="11"/>
  <c r="X335" i="11"/>
  <c r="AK334" i="11"/>
  <c r="AI334" i="11"/>
  <c r="AG334" i="11"/>
  <c r="AE334" i="11"/>
  <c r="AC334" i="11"/>
  <c r="AA334" i="11"/>
  <c r="Y334" i="11"/>
  <c r="AL333" i="11"/>
  <c r="AJ333" i="11"/>
  <c r="AH333" i="11"/>
  <c r="AF333" i="11"/>
  <c r="AD333" i="11"/>
  <c r="AB333" i="11"/>
  <c r="Z333" i="11"/>
  <c r="X333" i="11"/>
  <c r="AK332" i="11"/>
  <c r="AI332" i="11"/>
  <c r="AG332" i="11"/>
  <c r="AE332" i="11"/>
  <c r="AC332" i="11"/>
  <c r="AA332" i="11"/>
  <c r="Y332" i="11"/>
  <c r="AL331" i="11"/>
  <c r="AJ331" i="11"/>
  <c r="AH331" i="11"/>
  <c r="AF331" i="11"/>
  <c r="AD331" i="11"/>
  <c r="AB331" i="11"/>
  <c r="Z331" i="11"/>
  <c r="X331" i="11"/>
  <c r="AK330" i="11"/>
  <c r="AI330" i="11"/>
  <c r="AG330" i="11"/>
  <c r="AE330" i="11"/>
  <c r="AC330" i="11"/>
  <c r="AA330" i="11"/>
  <c r="Y330" i="11"/>
  <c r="AL329" i="11"/>
  <c r="AJ329" i="11"/>
  <c r="AH329" i="11"/>
  <c r="AF329" i="11"/>
  <c r="AD329" i="11"/>
  <c r="AB329" i="11"/>
  <c r="Z329" i="11"/>
  <c r="X329" i="11"/>
  <c r="AK328" i="11"/>
  <c r="AI328" i="11"/>
  <c r="AG328" i="11"/>
  <c r="AE328" i="11"/>
  <c r="AC328" i="11"/>
  <c r="AA328" i="11"/>
  <c r="Y328" i="11"/>
  <c r="AL327" i="11"/>
  <c r="AJ327" i="11"/>
  <c r="AH327" i="11"/>
  <c r="AF327" i="11"/>
  <c r="AD327" i="11"/>
  <c r="AB327" i="11"/>
  <c r="Z327" i="11"/>
  <c r="X327" i="11"/>
  <c r="AK326" i="11"/>
  <c r="AI326" i="11"/>
  <c r="AG326" i="11"/>
  <c r="AE326" i="11"/>
  <c r="AC326" i="11"/>
  <c r="AA326" i="11"/>
  <c r="Y326" i="11"/>
  <c r="AL325" i="11"/>
  <c r="AJ325" i="11"/>
  <c r="AH325" i="11"/>
  <c r="AF325" i="11"/>
  <c r="AD325" i="11"/>
  <c r="AB325" i="11"/>
  <c r="Z325" i="11"/>
  <c r="X325" i="11"/>
  <c r="AK324" i="11"/>
  <c r="AI324" i="11"/>
  <c r="AG324" i="11"/>
  <c r="AE324" i="11"/>
  <c r="AC324" i="11"/>
  <c r="AA324" i="11"/>
  <c r="Y324" i="11"/>
  <c r="AL323" i="11"/>
  <c r="AJ323" i="11"/>
  <c r="AH323" i="11"/>
  <c r="AF323" i="11"/>
  <c r="AC323" i="11"/>
  <c r="Y323" i="11"/>
  <c r="AJ322" i="11"/>
  <c r="AF322" i="11"/>
  <c r="AB322" i="11"/>
  <c r="X322" i="11"/>
  <c r="AI321" i="11"/>
  <c r="AE321" i="11"/>
  <c r="AA321" i="11"/>
  <c r="AL320" i="11"/>
  <c r="AH320" i="11"/>
  <c r="AD320" i="11"/>
  <c r="Z320" i="11"/>
  <c r="AK319" i="11"/>
  <c r="AG319" i="11"/>
  <c r="AC319" i="11"/>
  <c r="Y319" i="11"/>
  <c r="R55" i="8"/>
  <c r="S55" i="8"/>
  <c r="T55" i="8"/>
  <c r="U55" i="8"/>
  <c r="V55" i="8"/>
  <c r="W55" i="8"/>
  <c r="X55" i="8"/>
  <c r="Y55" i="8"/>
  <c r="Z55" i="8"/>
  <c r="R56" i="8"/>
  <c r="S56" i="8"/>
  <c r="T56" i="8"/>
  <c r="U56" i="8"/>
  <c r="V56" i="8"/>
  <c r="W56" i="8"/>
  <c r="X56" i="8"/>
  <c r="Y56" i="8"/>
  <c r="Z56" i="8"/>
  <c r="R57" i="8"/>
  <c r="S57" i="8"/>
  <c r="T57" i="8"/>
  <c r="U57" i="8"/>
  <c r="V57" i="8"/>
  <c r="W57" i="8"/>
  <c r="X57" i="8"/>
  <c r="Y57" i="8"/>
  <c r="Z57" i="8"/>
  <c r="R58" i="8"/>
  <c r="S58" i="8"/>
  <c r="T58" i="8"/>
  <c r="U58" i="8"/>
  <c r="V58" i="8"/>
  <c r="W58" i="8"/>
  <c r="X58" i="8"/>
  <c r="Y58" i="8"/>
  <c r="Z58" i="8"/>
  <c r="R59" i="8"/>
  <c r="S59" i="8"/>
  <c r="T59" i="8"/>
  <c r="U59" i="8"/>
  <c r="V59" i="8"/>
  <c r="W59" i="8"/>
  <c r="X59" i="8"/>
  <c r="Y59" i="8"/>
  <c r="Z59" i="8"/>
  <c r="R60" i="8"/>
  <c r="S60" i="8"/>
  <c r="T60" i="8"/>
  <c r="U60" i="8"/>
  <c r="V60" i="8"/>
  <c r="W60" i="8"/>
  <c r="X60" i="8"/>
  <c r="Y60" i="8"/>
  <c r="Z60" i="8"/>
  <c r="R61" i="8"/>
  <c r="S61" i="8"/>
  <c r="T61" i="8"/>
  <c r="U61" i="8"/>
  <c r="V61" i="8"/>
  <c r="W61" i="8"/>
  <c r="X61" i="8"/>
  <c r="Y61" i="8"/>
  <c r="Z61" i="8"/>
  <c r="R62" i="8"/>
  <c r="S62" i="8"/>
  <c r="T62" i="8"/>
  <c r="U62" i="8"/>
  <c r="V62" i="8"/>
  <c r="W62" i="8"/>
  <c r="X62" i="8"/>
  <c r="Y62" i="8"/>
  <c r="Z62" i="8"/>
  <c r="R63" i="8"/>
  <c r="S63" i="8"/>
  <c r="T63" i="8"/>
  <c r="U63" i="8"/>
  <c r="V63" i="8"/>
  <c r="W63" i="8"/>
  <c r="X63" i="8"/>
  <c r="Y63" i="8"/>
  <c r="Z63" i="8"/>
  <c r="R64" i="8"/>
  <c r="S64" i="8"/>
  <c r="T64" i="8"/>
  <c r="U64" i="8"/>
  <c r="V64" i="8"/>
  <c r="W64" i="8"/>
  <c r="X64" i="8"/>
  <c r="Y64" i="8"/>
  <c r="Z64" i="8"/>
  <c r="Q64" i="8"/>
  <c r="Q17" i="8"/>
  <c r="Q77" i="8" s="1"/>
  <c r="R17" i="8"/>
  <c r="R77" i="8" s="1"/>
  <c r="S17" i="8"/>
  <c r="S77" i="8" s="1"/>
  <c r="T17" i="8"/>
  <c r="T77" i="8" s="1"/>
  <c r="U17" i="8"/>
  <c r="U77" i="8" s="1"/>
  <c r="V17" i="8"/>
  <c r="V77" i="8" s="1"/>
  <c r="W17" i="8"/>
  <c r="W77" i="8" s="1"/>
  <c r="X17" i="8"/>
  <c r="X77" i="8" s="1"/>
  <c r="Y17" i="8"/>
  <c r="Y77" i="8" s="1"/>
  <c r="Z17" i="8"/>
  <c r="Z77" i="8" s="1"/>
  <c r="Q18" i="8"/>
  <c r="R18" i="8"/>
  <c r="S18" i="8"/>
  <c r="AE78" i="8" s="1"/>
  <c r="T18" i="8"/>
  <c r="U18" i="8"/>
  <c r="AG78" i="8" s="1"/>
  <c r="V18" i="8"/>
  <c r="W18" i="8"/>
  <c r="AI78" i="8" s="1"/>
  <c r="X18" i="8"/>
  <c r="Y18" i="8"/>
  <c r="AK78" i="8" s="1"/>
  <c r="Z18" i="8"/>
  <c r="Q19" i="8"/>
  <c r="Q79" i="8" s="1"/>
  <c r="R19" i="8"/>
  <c r="R79" i="8" s="1"/>
  <c r="S19" i="8"/>
  <c r="S79" i="8" s="1"/>
  <c r="T19" i="8"/>
  <c r="T79" i="8" s="1"/>
  <c r="U19" i="8"/>
  <c r="U79" i="8" s="1"/>
  <c r="V19" i="8"/>
  <c r="V79" i="8" s="1"/>
  <c r="W19" i="8"/>
  <c r="W79" i="8" s="1"/>
  <c r="X19" i="8"/>
  <c r="X79" i="8" s="1"/>
  <c r="Y19" i="8"/>
  <c r="Y79" i="8" s="1"/>
  <c r="Z19" i="8"/>
  <c r="Z79" i="8" s="1"/>
  <c r="Q20" i="8"/>
  <c r="R20" i="8"/>
  <c r="S20" i="8"/>
  <c r="AE80" i="8" s="1"/>
  <c r="T20" i="8"/>
  <c r="U20" i="8"/>
  <c r="AG80" i="8" s="1"/>
  <c r="V20" i="8"/>
  <c r="W20" i="8"/>
  <c r="AI80" i="8" s="1"/>
  <c r="X20" i="8"/>
  <c r="Y20" i="8"/>
  <c r="AK80" i="8" s="1"/>
  <c r="Z20" i="8"/>
  <c r="Q21" i="8"/>
  <c r="Q81" i="8" s="1"/>
  <c r="R21" i="8"/>
  <c r="R81" i="8" s="1"/>
  <c r="S21" i="8"/>
  <c r="S81" i="8" s="1"/>
  <c r="T21" i="8"/>
  <c r="T81" i="8" s="1"/>
  <c r="U21" i="8"/>
  <c r="U81" i="8" s="1"/>
  <c r="V21" i="8"/>
  <c r="V81" i="8" s="1"/>
  <c r="W21" i="8"/>
  <c r="W81" i="8" s="1"/>
  <c r="X21" i="8"/>
  <c r="X81" i="8" s="1"/>
  <c r="Y21" i="8"/>
  <c r="Y81" i="8" s="1"/>
  <c r="Z21" i="8"/>
  <c r="Z81" i="8" s="1"/>
  <c r="Q22" i="8"/>
  <c r="R22" i="8"/>
  <c r="S22" i="8"/>
  <c r="AE82" i="8" s="1"/>
  <c r="T22" i="8"/>
  <c r="U22" i="8"/>
  <c r="AG82" i="8" s="1"/>
  <c r="V22" i="8"/>
  <c r="W22" i="8"/>
  <c r="AI82" i="8" s="1"/>
  <c r="X22" i="8"/>
  <c r="Y22" i="8"/>
  <c r="AK82" i="8" s="1"/>
  <c r="Z22" i="8"/>
  <c r="Q23" i="8"/>
  <c r="Q83" i="8" s="1"/>
  <c r="R23" i="8"/>
  <c r="R83" i="8" s="1"/>
  <c r="S23" i="8"/>
  <c r="S83" i="8" s="1"/>
  <c r="T23" i="8"/>
  <c r="T83" i="8" s="1"/>
  <c r="U23" i="8"/>
  <c r="U83" i="8" s="1"/>
  <c r="V23" i="8"/>
  <c r="V83" i="8" s="1"/>
  <c r="W23" i="8"/>
  <c r="W83" i="8" s="1"/>
  <c r="X23" i="8"/>
  <c r="X83" i="8" s="1"/>
  <c r="Y23" i="8"/>
  <c r="Y83" i="8" s="1"/>
  <c r="Z23" i="8"/>
  <c r="Z83" i="8" s="1"/>
  <c r="Q24" i="8"/>
  <c r="R24" i="8"/>
  <c r="S24" i="8"/>
  <c r="AE84" i="8" s="1"/>
  <c r="T24" i="8"/>
  <c r="U24" i="8"/>
  <c r="AG84" i="8" s="1"/>
  <c r="V24" i="8"/>
  <c r="W24" i="8"/>
  <c r="AI84" i="8" s="1"/>
  <c r="X24" i="8"/>
  <c r="Y24" i="8"/>
  <c r="AK84" i="8" s="1"/>
  <c r="Z24" i="8"/>
  <c r="Q25" i="8"/>
  <c r="Q85" i="8" s="1"/>
  <c r="R25" i="8"/>
  <c r="R85" i="8" s="1"/>
  <c r="S25" i="8"/>
  <c r="S85" i="8" s="1"/>
  <c r="T25" i="8"/>
  <c r="T85" i="8" s="1"/>
  <c r="U25" i="8"/>
  <c r="U85" i="8" s="1"/>
  <c r="V25" i="8"/>
  <c r="V85" i="8" s="1"/>
  <c r="W25" i="8"/>
  <c r="W85" i="8" s="1"/>
  <c r="X25" i="8"/>
  <c r="X85" i="8" s="1"/>
  <c r="Y25" i="8"/>
  <c r="Y85" i="8" s="1"/>
  <c r="Z25" i="8"/>
  <c r="Z85" i="8" s="1"/>
  <c r="R16" i="8"/>
  <c r="R76" i="8" s="1"/>
  <c r="S16" i="8"/>
  <c r="S76" i="8" s="1"/>
  <c r="T16" i="8"/>
  <c r="T76" i="8" s="1"/>
  <c r="U16" i="8"/>
  <c r="U76" i="8" s="1"/>
  <c r="V16" i="8"/>
  <c r="V76" i="8" s="1"/>
  <c r="W16" i="8"/>
  <c r="W76" i="8" s="1"/>
  <c r="X16" i="8"/>
  <c r="X76" i="8" s="1"/>
  <c r="Y16" i="8"/>
  <c r="Y76" i="8" s="1"/>
  <c r="Z16" i="8"/>
  <c r="Z76" i="8" s="1"/>
  <c r="Q16" i="8"/>
  <c r="Q76" i="8" s="1"/>
  <c r="O11" i="8" a="1"/>
  <c r="O11" i="8" s="1"/>
  <c r="O10" i="8"/>
  <c r="L14" i="8"/>
  <c r="K14" i="8"/>
  <c r="J14" i="8"/>
  <c r="I14" i="8"/>
  <c r="H14" i="8"/>
  <c r="G14" i="8"/>
  <c r="F14" i="8"/>
  <c r="E14" i="8"/>
  <c r="D14" i="8"/>
  <c r="C14" i="8"/>
  <c r="BA60" i="11" l="1"/>
  <c r="BA37" i="11"/>
  <c r="AQ50" i="11"/>
  <c r="AQ27" i="11"/>
  <c r="AU54" i="11"/>
  <c r="AU31" i="11"/>
  <c r="AZ59" i="11"/>
  <c r="AZ36" i="11"/>
  <c r="BD63" i="11"/>
  <c r="BD40" i="11"/>
  <c r="AT53" i="11"/>
  <c r="AT30" i="11"/>
  <c r="AP49" i="11"/>
  <c r="BX29" i="11" a="1"/>
  <c r="AP26" i="11"/>
  <c r="AY58" i="11"/>
  <c r="AY35" i="11"/>
  <c r="BC62" i="11"/>
  <c r="BC39" i="11"/>
  <c r="AS52" i="11"/>
  <c r="AS29" i="11"/>
  <c r="AW56" i="11"/>
  <c r="AW33" i="11"/>
  <c r="AX57" i="11"/>
  <c r="AX34" i="11"/>
  <c r="BB61" i="11"/>
  <c r="BB38" i="11"/>
  <c r="AR51" i="11"/>
  <c r="AR28" i="11"/>
  <c r="AV55" i="11"/>
  <c r="AV32" i="11"/>
  <c r="AC84" i="8"/>
  <c r="Q84" i="8"/>
  <c r="AC82" i="8"/>
  <c r="Q82" i="8"/>
  <c r="AC80" i="8"/>
  <c r="Q80" i="8"/>
  <c r="AC78" i="8"/>
  <c r="Q78" i="8"/>
  <c r="Z84" i="8"/>
  <c r="X84" i="8"/>
  <c r="V84" i="8"/>
  <c r="T84" i="8"/>
  <c r="R84" i="8"/>
  <c r="Z82" i="8"/>
  <c r="X82" i="8"/>
  <c r="V82" i="8"/>
  <c r="T82" i="8"/>
  <c r="R82" i="8"/>
  <c r="Z80" i="8"/>
  <c r="X80" i="8"/>
  <c r="V80" i="8"/>
  <c r="T80" i="8"/>
  <c r="R80" i="8"/>
  <c r="Z78" i="8"/>
  <c r="X78" i="8"/>
  <c r="V78" i="8"/>
  <c r="T78" i="8"/>
  <c r="R78" i="8"/>
  <c r="AL85" i="8"/>
  <c r="AJ85" i="8"/>
  <c r="AH85" i="8"/>
  <c r="AF85" i="8"/>
  <c r="AD85" i="8"/>
  <c r="AL83" i="8"/>
  <c r="AJ83" i="8"/>
  <c r="AH83" i="8"/>
  <c r="AF83" i="8"/>
  <c r="AD83" i="8"/>
  <c r="AL81" i="8"/>
  <c r="AJ81" i="8"/>
  <c r="AH81" i="8"/>
  <c r="AF81" i="8"/>
  <c r="AD81" i="8"/>
  <c r="AL79" i="8"/>
  <c r="AJ79" i="8"/>
  <c r="AH79" i="8"/>
  <c r="AF79" i="8"/>
  <c r="AD79" i="8"/>
  <c r="AL77" i="8"/>
  <c r="AJ77" i="8"/>
  <c r="AH77" i="8"/>
  <c r="AF77" i="8"/>
  <c r="AD77" i="8"/>
  <c r="AK76" i="8"/>
  <c r="AI76" i="8"/>
  <c r="AG76" i="8"/>
  <c r="AE76" i="8"/>
  <c r="AK85" i="8"/>
  <c r="AI85" i="8"/>
  <c r="AG85" i="8"/>
  <c r="AE85" i="8"/>
  <c r="AL84" i="8"/>
  <c r="AJ84" i="8"/>
  <c r="AH84" i="8"/>
  <c r="AF84" i="8"/>
  <c r="AD84" i="8"/>
  <c r="AK83" i="8"/>
  <c r="AI83" i="8"/>
  <c r="AG83" i="8"/>
  <c r="AE83" i="8"/>
  <c r="AL82" i="8"/>
  <c r="AJ82" i="8"/>
  <c r="AH82" i="8"/>
  <c r="AF82" i="8"/>
  <c r="AD82" i="8"/>
  <c r="AK81" i="8"/>
  <c r="AI81" i="8"/>
  <c r="AG81" i="8"/>
  <c r="AE81" i="8"/>
  <c r="AL80" i="8"/>
  <c r="AJ80" i="8"/>
  <c r="AH80" i="8"/>
  <c r="AF80" i="8"/>
  <c r="AD80" i="8"/>
  <c r="AK79" i="8"/>
  <c r="AI79" i="8"/>
  <c r="AG79" i="8"/>
  <c r="AE79" i="8"/>
  <c r="AL78" i="8"/>
  <c r="AJ78" i="8"/>
  <c r="AH78" i="8"/>
  <c r="AF78" i="8"/>
  <c r="AD78" i="8"/>
  <c r="AK77" i="8"/>
  <c r="AI77" i="8"/>
  <c r="AG77" i="8"/>
  <c r="AE77" i="8"/>
  <c r="AL76" i="8"/>
  <c r="AJ76" i="8"/>
  <c r="AH76" i="8"/>
  <c r="AF76" i="8"/>
  <c r="AD76" i="8"/>
  <c r="AC85" i="8"/>
  <c r="AC83" i="8"/>
  <c r="AC81" i="8"/>
  <c r="AC79" i="8"/>
  <c r="AC77" i="8"/>
  <c r="AC76" i="8"/>
  <c r="Y84" i="8"/>
  <c r="W84" i="8"/>
  <c r="U84" i="8"/>
  <c r="S84" i="8"/>
  <c r="Y82" i="8"/>
  <c r="W82" i="8"/>
  <c r="U82" i="8"/>
  <c r="S82" i="8"/>
  <c r="Y80" i="8"/>
  <c r="W80" i="8"/>
  <c r="U80" i="8"/>
  <c r="S80" i="8"/>
  <c r="Y78" i="8"/>
  <c r="W78" i="8"/>
  <c r="U78" i="8"/>
  <c r="S78" i="8"/>
  <c r="BX29" i="11" l="1"/>
  <c r="BY29" i="11"/>
  <c r="BY31" i="11"/>
  <c r="BY33" i="11"/>
  <c r="BY35" i="11"/>
  <c r="BY37" i="11"/>
  <c r="BY39" i="11"/>
  <c r="BY41" i="11"/>
  <c r="BY43" i="11"/>
  <c r="BY45" i="11"/>
  <c r="BY47" i="11"/>
  <c r="BY49" i="11"/>
  <c r="BY51" i="11"/>
  <c r="BY53" i="11"/>
  <c r="BY55" i="11"/>
  <c r="BY57" i="11"/>
  <c r="BY59" i="11"/>
  <c r="BY61" i="11"/>
  <c r="BY63" i="11"/>
  <c r="BY65" i="11"/>
  <c r="BY67" i="11"/>
  <c r="BY69" i="11"/>
  <c r="BY71" i="11"/>
  <c r="BY73" i="11"/>
  <c r="BY75" i="11"/>
  <c r="BY77" i="11"/>
  <c r="BY79" i="11"/>
  <c r="BY81" i="11"/>
  <c r="BY83" i="11"/>
  <c r="BY85" i="11"/>
  <c r="BY87" i="11"/>
  <c r="BY89" i="11"/>
  <c r="BY91" i="11"/>
  <c r="BY93" i="11"/>
  <c r="BY95" i="11"/>
  <c r="BY97" i="11"/>
  <c r="BY99" i="11"/>
  <c r="BZ99" i="11" s="1"/>
  <c r="BY101" i="11"/>
  <c r="BY103" i="11"/>
  <c r="BY105" i="11"/>
  <c r="BY107" i="11"/>
  <c r="BY109" i="11"/>
  <c r="BY111" i="11"/>
  <c r="BY113" i="11"/>
  <c r="BY114" i="11"/>
  <c r="BY115" i="11"/>
  <c r="BY116" i="11"/>
  <c r="BY117" i="11"/>
  <c r="BY118" i="11"/>
  <c r="BY119" i="11"/>
  <c r="BY120" i="11"/>
  <c r="BY121" i="11"/>
  <c r="BY122" i="11"/>
  <c r="BZ122" i="11" s="1"/>
  <c r="BY123" i="11"/>
  <c r="BY124" i="11"/>
  <c r="BY125" i="11"/>
  <c r="BY126" i="11"/>
  <c r="BY127" i="11"/>
  <c r="BY128" i="11"/>
  <c r="BY129" i="11"/>
  <c r="BY130" i="11"/>
  <c r="BY131" i="11"/>
  <c r="BY132" i="11"/>
  <c r="BY133" i="11"/>
  <c r="BY134" i="11"/>
  <c r="BY135" i="11"/>
  <c r="BY136" i="11"/>
  <c r="BY137" i="11"/>
  <c r="BY138" i="11"/>
  <c r="BY139" i="11"/>
  <c r="BY140" i="11"/>
  <c r="BY141" i="11"/>
  <c r="BY142" i="11"/>
  <c r="BY143" i="11"/>
  <c r="BY144" i="11"/>
  <c r="BY145" i="11"/>
  <c r="BY146" i="11"/>
  <c r="BY147" i="11"/>
  <c r="BZ147" i="11" s="1"/>
  <c r="BY148" i="11"/>
  <c r="BY149" i="11"/>
  <c r="BY150" i="11"/>
  <c r="BZ150" i="11" s="1"/>
  <c r="BY151" i="11"/>
  <c r="BY152" i="11"/>
  <c r="BY153" i="11"/>
  <c r="BY154" i="11"/>
  <c r="BY155" i="11"/>
  <c r="BY30" i="11"/>
  <c r="BY34" i="11"/>
  <c r="BY38" i="11"/>
  <c r="BY42" i="11"/>
  <c r="BY46" i="11"/>
  <c r="BY50" i="11"/>
  <c r="BY54" i="11"/>
  <c r="BY58" i="11"/>
  <c r="BY62" i="11"/>
  <c r="BY66" i="11"/>
  <c r="BY70" i="11"/>
  <c r="BY74" i="11"/>
  <c r="BY78" i="11"/>
  <c r="BY82" i="11"/>
  <c r="BY86" i="11"/>
  <c r="BY90" i="11"/>
  <c r="BY94" i="11"/>
  <c r="BY98" i="11"/>
  <c r="BY102" i="11"/>
  <c r="BY106" i="11"/>
  <c r="BY110" i="11"/>
  <c r="BX114" i="11"/>
  <c r="BX116" i="11"/>
  <c r="BX118" i="11"/>
  <c r="BX120" i="11"/>
  <c r="BX122" i="11"/>
  <c r="BX124" i="11"/>
  <c r="BX126" i="11"/>
  <c r="BX128" i="11"/>
  <c r="BX130" i="11"/>
  <c r="BX132" i="11"/>
  <c r="BX134" i="11"/>
  <c r="BX136" i="11"/>
  <c r="BX138" i="11"/>
  <c r="BX140" i="11"/>
  <c r="BX142" i="11"/>
  <c r="BX144" i="11"/>
  <c r="BX146" i="11"/>
  <c r="BX148" i="11"/>
  <c r="BX150" i="11"/>
  <c r="BX152" i="11"/>
  <c r="BX154" i="11"/>
  <c r="BX156" i="11"/>
  <c r="BX157" i="11"/>
  <c r="BX158" i="11"/>
  <c r="BX159" i="11"/>
  <c r="BX160" i="11"/>
  <c r="BX161" i="11"/>
  <c r="BX162" i="11"/>
  <c r="BX163" i="11"/>
  <c r="BX164" i="11"/>
  <c r="BX165" i="11"/>
  <c r="BX166" i="11"/>
  <c r="BX167" i="11"/>
  <c r="BX168" i="11"/>
  <c r="BX169" i="11"/>
  <c r="BX170" i="11"/>
  <c r="BX171" i="11"/>
  <c r="BX172" i="11"/>
  <c r="BX173" i="11"/>
  <c r="BX174" i="11"/>
  <c r="BX175" i="11"/>
  <c r="BX176" i="11"/>
  <c r="BX177" i="11"/>
  <c r="BX178" i="11"/>
  <c r="BX179" i="11"/>
  <c r="BX180" i="11"/>
  <c r="BX181" i="11"/>
  <c r="BX182" i="11"/>
  <c r="BX183" i="11"/>
  <c r="BX184" i="11"/>
  <c r="BX185" i="11"/>
  <c r="BX186" i="11"/>
  <c r="BX187" i="11"/>
  <c r="BX188" i="11"/>
  <c r="BX189" i="11"/>
  <c r="BX190" i="11"/>
  <c r="BX191" i="11"/>
  <c r="BX192" i="11"/>
  <c r="BX193" i="11"/>
  <c r="BX194" i="11"/>
  <c r="BX195" i="11"/>
  <c r="BX196" i="11"/>
  <c r="BX197" i="11"/>
  <c r="BX198" i="11"/>
  <c r="BY32" i="11"/>
  <c r="BY36" i="11"/>
  <c r="BY40" i="11"/>
  <c r="BZ40" i="11" s="1"/>
  <c r="BY44" i="11"/>
  <c r="BY48" i="11"/>
  <c r="BY52" i="11"/>
  <c r="BY56" i="11"/>
  <c r="BY60" i="11"/>
  <c r="BY64" i="11"/>
  <c r="BY68" i="11"/>
  <c r="BY72" i="11"/>
  <c r="BY76" i="11"/>
  <c r="BY80" i="11"/>
  <c r="BY84" i="11"/>
  <c r="BY88" i="11"/>
  <c r="BY92" i="11"/>
  <c r="BY96" i="11"/>
  <c r="BY100" i="11"/>
  <c r="BY104" i="11"/>
  <c r="BY108" i="11"/>
  <c r="BY112" i="11"/>
  <c r="BX115" i="11"/>
  <c r="BX117" i="11"/>
  <c r="BX119" i="11"/>
  <c r="BX121" i="11"/>
  <c r="BX123" i="11"/>
  <c r="BX125" i="11"/>
  <c r="BX127" i="11"/>
  <c r="BX129" i="11"/>
  <c r="BX131" i="11"/>
  <c r="BX133" i="11"/>
  <c r="BX135" i="11"/>
  <c r="BX137" i="11"/>
  <c r="BX139" i="11"/>
  <c r="BX141" i="11"/>
  <c r="BX143" i="11"/>
  <c r="BX145" i="11"/>
  <c r="BX147" i="11"/>
  <c r="BX149" i="11"/>
  <c r="BX151" i="11"/>
  <c r="BX153" i="11"/>
  <c r="BX155" i="11"/>
  <c r="BY156" i="11"/>
  <c r="BY157" i="11"/>
  <c r="BY158" i="11"/>
  <c r="BY159" i="11"/>
  <c r="BY160" i="11"/>
  <c r="BY161" i="11"/>
  <c r="BY162" i="11"/>
  <c r="BY163" i="11"/>
  <c r="BY164" i="11"/>
  <c r="BY165" i="11"/>
  <c r="BY166" i="11"/>
  <c r="BY167" i="11"/>
  <c r="BY168" i="11"/>
  <c r="BY169" i="11"/>
  <c r="BY170" i="11"/>
  <c r="BY171" i="11"/>
  <c r="BY172" i="11"/>
  <c r="BY173" i="11"/>
  <c r="BY174" i="11"/>
  <c r="BY175" i="11"/>
  <c r="BY176" i="11"/>
  <c r="BY177" i="11"/>
  <c r="BY178" i="11"/>
  <c r="BY179" i="11"/>
  <c r="BZ179" i="11" s="1"/>
  <c r="BY180" i="11"/>
  <c r="BY181" i="11"/>
  <c r="BY182" i="11"/>
  <c r="BY183" i="11"/>
  <c r="BY184" i="11"/>
  <c r="BY185" i="11"/>
  <c r="BY186" i="11"/>
  <c r="BY187" i="11"/>
  <c r="BZ187" i="11" s="1"/>
  <c r="BY188" i="11"/>
  <c r="BY189" i="11"/>
  <c r="BY191" i="11"/>
  <c r="BY193" i="11"/>
  <c r="BY195" i="11"/>
  <c r="BY197" i="11"/>
  <c r="BX199" i="11"/>
  <c r="BX200" i="11"/>
  <c r="BX201" i="11"/>
  <c r="BX202" i="11"/>
  <c r="BX203" i="11"/>
  <c r="BX204" i="11"/>
  <c r="BX205" i="11"/>
  <c r="BX206" i="11"/>
  <c r="BX207" i="11"/>
  <c r="BX208" i="11"/>
  <c r="BX209" i="11"/>
  <c r="BX210" i="11"/>
  <c r="BX211" i="11"/>
  <c r="BX212" i="11"/>
  <c r="BX213" i="11"/>
  <c r="BX214" i="11"/>
  <c r="BX215" i="11"/>
  <c r="BX216" i="11"/>
  <c r="BX217" i="11"/>
  <c r="BX218" i="11"/>
  <c r="BX219" i="11"/>
  <c r="BX220" i="11"/>
  <c r="BX221" i="11"/>
  <c r="BX222" i="11"/>
  <c r="BX223" i="11"/>
  <c r="BX224" i="11"/>
  <c r="BX225" i="11"/>
  <c r="BX226" i="11"/>
  <c r="BX227" i="11"/>
  <c r="BX228" i="11"/>
  <c r="BX229" i="11"/>
  <c r="BX230" i="11"/>
  <c r="BX231" i="11"/>
  <c r="BX232" i="11"/>
  <c r="BX233" i="11"/>
  <c r="BX234" i="11"/>
  <c r="BX235" i="11"/>
  <c r="BX236" i="11"/>
  <c r="BX237" i="11"/>
  <c r="BX238" i="11"/>
  <c r="BX239" i="11"/>
  <c r="BX240" i="11"/>
  <c r="BX241" i="11"/>
  <c r="BX242" i="11"/>
  <c r="BX243" i="11"/>
  <c r="BX244" i="11"/>
  <c r="BX245" i="11"/>
  <c r="BX246" i="11"/>
  <c r="BX247" i="11"/>
  <c r="BX248" i="11"/>
  <c r="BX249" i="11"/>
  <c r="BX250" i="11"/>
  <c r="BX251" i="11"/>
  <c r="BX252" i="11"/>
  <c r="BX253" i="11"/>
  <c r="BX254" i="11"/>
  <c r="BX255" i="11"/>
  <c r="BX256" i="11"/>
  <c r="BX257" i="11"/>
  <c r="BX258" i="11"/>
  <c r="BX259" i="11"/>
  <c r="BX260" i="11"/>
  <c r="BX261" i="11"/>
  <c r="BX262" i="11"/>
  <c r="BX263" i="11"/>
  <c r="BX264" i="11"/>
  <c r="BX265" i="11"/>
  <c r="BX266" i="11"/>
  <c r="BX267" i="11"/>
  <c r="BX268" i="11"/>
  <c r="BX269" i="11"/>
  <c r="BX270" i="11"/>
  <c r="BX271" i="11"/>
  <c r="BX272" i="11"/>
  <c r="BX273" i="11"/>
  <c r="BX274" i="11"/>
  <c r="BX275" i="11"/>
  <c r="BX276" i="11"/>
  <c r="BX277" i="11"/>
  <c r="BX278" i="11"/>
  <c r="BX279" i="11"/>
  <c r="BX280" i="11"/>
  <c r="BX281" i="11"/>
  <c r="BX282" i="11"/>
  <c r="BX283" i="11"/>
  <c r="BX284" i="11"/>
  <c r="BX285" i="11"/>
  <c r="BX286" i="11"/>
  <c r="BX287" i="11"/>
  <c r="BX288" i="11"/>
  <c r="BX289" i="11"/>
  <c r="BX290" i="11"/>
  <c r="BX291" i="11"/>
  <c r="BX292" i="11"/>
  <c r="BX293" i="11"/>
  <c r="BX294" i="11"/>
  <c r="BX295" i="11"/>
  <c r="BX296" i="11"/>
  <c r="BX297" i="11"/>
  <c r="BX298" i="11"/>
  <c r="BX299" i="11"/>
  <c r="BX300" i="11"/>
  <c r="BX301" i="11"/>
  <c r="BX302" i="11"/>
  <c r="BX303" i="11"/>
  <c r="BX304" i="11"/>
  <c r="BX305" i="11"/>
  <c r="BX306" i="11"/>
  <c r="BX307" i="11"/>
  <c r="BX308" i="11"/>
  <c r="BX309" i="11"/>
  <c r="BX310" i="11"/>
  <c r="BX311" i="11"/>
  <c r="BX312" i="11"/>
  <c r="BX313" i="11"/>
  <c r="BX314" i="11"/>
  <c r="BX315" i="11"/>
  <c r="BX316" i="11"/>
  <c r="BX317" i="11"/>
  <c r="BX318" i="11"/>
  <c r="BX319" i="11"/>
  <c r="BX320" i="11"/>
  <c r="BX321" i="11"/>
  <c r="BX322" i="11"/>
  <c r="BX323" i="11"/>
  <c r="BX324" i="11"/>
  <c r="BX325" i="11"/>
  <c r="BX326" i="11"/>
  <c r="BX327" i="11"/>
  <c r="BX328" i="11"/>
  <c r="BX329" i="11"/>
  <c r="BX330" i="11"/>
  <c r="BX331" i="11"/>
  <c r="BX332" i="11"/>
  <c r="BX333" i="11"/>
  <c r="BX334" i="11"/>
  <c r="BX335" i="11"/>
  <c r="BX336" i="11"/>
  <c r="BX337" i="11"/>
  <c r="BX338" i="11"/>
  <c r="BX339" i="11"/>
  <c r="BX340" i="11"/>
  <c r="BX341" i="11"/>
  <c r="BX342" i="11"/>
  <c r="BX343" i="11"/>
  <c r="BX344" i="11"/>
  <c r="BX345" i="11"/>
  <c r="BX346" i="11"/>
  <c r="BX347" i="11"/>
  <c r="BX348" i="11"/>
  <c r="BX349" i="11"/>
  <c r="BX350" i="11"/>
  <c r="BX351" i="11"/>
  <c r="BX352" i="11"/>
  <c r="BX353" i="11"/>
  <c r="BX354" i="11"/>
  <c r="BX355" i="11"/>
  <c r="BX356" i="11"/>
  <c r="BX357" i="11"/>
  <c r="BX358" i="11"/>
  <c r="BX359" i="11"/>
  <c r="BX360" i="11"/>
  <c r="BX361" i="11"/>
  <c r="BX362" i="11"/>
  <c r="BX363" i="11"/>
  <c r="BY190" i="11"/>
  <c r="BY192" i="11"/>
  <c r="BY194" i="11"/>
  <c r="BY196" i="11"/>
  <c r="BY198" i="11"/>
  <c r="BY199" i="11"/>
  <c r="BY200" i="11"/>
  <c r="BY201" i="11"/>
  <c r="BY202" i="11"/>
  <c r="BY203" i="11"/>
  <c r="BY204" i="11"/>
  <c r="BY205" i="11"/>
  <c r="BY206" i="11"/>
  <c r="BY207" i="11"/>
  <c r="BY208" i="11"/>
  <c r="BY209" i="11"/>
  <c r="BY210" i="11"/>
  <c r="BY211" i="11"/>
  <c r="BY212" i="11"/>
  <c r="BY213" i="11"/>
  <c r="BY214" i="11"/>
  <c r="BY215" i="11"/>
  <c r="BY216" i="11"/>
  <c r="BY217" i="11"/>
  <c r="BY218" i="11"/>
  <c r="BY219" i="11"/>
  <c r="BY220" i="11"/>
  <c r="BY221" i="11"/>
  <c r="BY222" i="11"/>
  <c r="BY223" i="11"/>
  <c r="BY224" i="11"/>
  <c r="BY225" i="11"/>
  <c r="BY226" i="11"/>
  <c r="BZ226" i="11" s="1"/>
  <c r="BY227" i="11"/>
  <c r="BY228" i="11"/>
  <c r="BY229" i="11"/>
  <c r="BY230" i="11"/>
  <c r="BY231" i="11"/>
  <c r="BY232" i="11"/>
  <c r="BY233" i="11"/>
  <c r="BY234" i="11"/>
  <c r="BY235" i="11"/>
  <c r="BY236" i="11"/>
  <c r="BY237" i="11"/>
  <c r="BY238" i="11"/>
  <c r="BY239" i="11"/>
  <c r="BY240" i="11"/>
  <c r="BZ240" i="11" s="1"/>
  <c r="BY241" i="11"/>
  <c r="BY242" i="11"/>
  <c r="BY243" i="11"/>
  <c r="BY244" i="11"/>
  <c r="BY245" i="11"/>
  <c r="BY246" i="11"/>
  <c r="BY247" i="11"/>
  <c r="BY248" i="11"/>
  <c r="BY249" i="11"/>
  <c r="BY250" i="11"/>
  <c r="BY251" i="11"/>
  <c r="BY252" i="11"/>
  <c r="BY253" i="11"/>
  <c r="BZ253" i="11" s="1"/>
  <c r="BY254" i="11"/>
  <c r="BY255" i="11"/>
  <c r="BY256" i="11"/>
  <c r="BY257" i="11"/>
  <c r="BY258" i="11"/>
  <c r="BY259" i="11"/>
  <c r="BY260" i="11"/>
  <c r="BY261" i="11"/>
  <c r="BY262" i="11"/>
  <c r="BY263" i="11"/>
  <c r="BY264" i="11"/>
  <c r="BY265" i="11"/>
  <c r="BY266" i="11"/>
  <c r="BY267" i="11"/>
  <c r="BY268" i="11"/>
  <c r="BY269" i="11"/>
  <c r="BY270" i="11"/>
  <c r="BY271" i="11"/>
  <c r="BY272" i="11"/>
  <c r="BY273" i="11"/>
  <c r="BY274" i="11"/>
  <c r="BY275" i="11"/>
  <c r="BY276" i="11"/>
  <c r="BZ276" i="11" s="1"/>
  <c r="BY277" i="11"/>
  <c r="BY278" i="11"/>
  <c r="BY279" i="11"/>
  <c r="BY280" i="11"/>
  <c r="BY281" i="11"/>
  <c r="BY282" i="11"/>
  <c r="BY283" i="11"/>
  <c r="BY284" i="11"/>
  <c r="BY285" i="11"/>
  <c r="BY286" i="11"/>
  <c r="BY287" i="11"/>
  <c r="BY288" i="11"/>
  <c r="BY289" i="11"/>
  <c r="BY290" i="11"/>
  <c r="BY291" i="11"/>
  <c r="BY292" i="11"/>
  <c r="BY293" i="11"/>
  <c r="BY294" i="11"/>
  <c r="BY295" i="11"/>
  <c r="BY296" i="11"/>
  <c r="BY297" i="11"/>
  <c r="BY298" i="11"/>
  <c r="BY299" i="11"/>
  <c r="BY300" i="11"/>
  <c r="BY301" i="11"/>
  <c r="BY302" i="11"/>
  <c r="BY303" i="11"/>
  <c r="BY304" i="11"/>
  <c r="BY305" i="11"/>
  <c r="BY306" i="11"/>
  <c r="BY307" i="11"/>
  <c r="BY308" i="11"/>
  <c r="BY309" i="11"/>
  <c r="BY310" i="11"/>
  <c r="BY311" i="11"/>
  <c r="BY312" i="11"/>
  <c r="BY313" i="11"/>
  <c r="BY314" i="11"/>
  <c r="BY315" i="11"/>
  <c r="BZ315" i="11" s="1"/>
  <c r="BY316" i="11"/>
  <c r="BY317" i="11"/>
  <c r="BY318" i="11"/>
  <c r="BY319" i="11"/>
  <c r="BY320" i="11"/>
  <c r="BY321" i="11"/>
  <c r="BY322" i="11"/>
  <c r="BY323" i="11"/>
  <c r="BY324" i="11"/>
  <c r="BY325" i="11"/>
  <c r="BY326" i="11"/>
  <c r="BY327" i="11"/>
  <c r="BY328" i="11"/>
  <c r="BZ328" i="11" s="1"/>
  <c r="BY329" i="11"/>
  <c r="BY330" i="11"/>
  <c r="BY331" i="11"/>
  <c r="BY332" i="11"/>
  <c r="BZ332" i="11" s="1"/>
  <c r="BY333" i="11"/>
  <c r="BY334" i="11"/>
  <c r="BY335" i="11"/>
  <c r="BY336" i="11"/>
  <c r="BY337" i="11"/>
  <c r="BY338" i="11"/>
  <c r="BY339" i="11"/>
  <c r="BY340" i="11"/>
  <c r="BY341" i="11"/>
  <c r="BY342" i="11"/>
  <c r="BY343" i="11"/>
  <c r="BY344" i="11"/>
  <c r="BY345" i="11"/>
  <c r="BY346" i="11"/>
  <c r="BY347" i="11"/>
  <c r="BY348" i="11"/>
  <c r="BY349" i="11"/>
  <c r="BY350" i="11"/>
  <c r="BY351" i="11"/>
  <c r="BY352" i="11"/>
  <c r="BY353" i="11"/>
  <c r="BY354" i="11"/>
  <c r="BY355" i="11"/>
  <c r="BY356" i="11"/>
  <c r="BY358" i="11"/>
  <c r="BY360" i="11"/>
  <c r="BY362" i="11"/>
  <c r="BX364" i="11"/>
  <c r="BX365" i="11"/>
  <c r="BX366" i="11"/>
  <c r="BX367" i="11"/>
  <c r="BX368" i="11"/>
  <c r="BX369" i="11"/>
  <c r="BX370" i="11"/>
  <c r="BX371" i="11"/>
  <c r="BX372" i="11"/>
  <c r="BX373" i="11"/>
  <c r="BX374" i="11"/>
  <c r="BX375" i="11"/>
  <c r="BX376" i="11"/>
  <c r="BX377" i="11"/>
  <c r="BX378" i="11"/>
  <c r="BX379" i="11"/>
  <c r="BX380" i="11"/>
  <c r="BX381" i="11"/>
  <c r="BX382" i="11"/>
  <c r="BX383" i="11"/>
  <c r="BX384" i="11"/>
  <c r="BX385" i="11"/>
  <c r="BX386" i="11"/>
  <c r="BX387" i="11"/>
  <c r="BX388" i="11"/>
  <c r="BX389" i="11"/>
  <c r="BX390" i="11"/>
  <c r="BX391" i="11"/>
  <c r="BX392" i="11"/>
  <c r="BX393" i="11"/>
  <c r="BX394" i="11"/>
  <c r="BX395" i="11"/>
  <c r="BX396" i="11"/>
  <c r="BX397" i="11"/>
  <c r="BX398" i="11"/>
  <c r="BX399" i="11"/>
  <c r="BX400" i="11"/>
  <c r="BX401" i="11"/>
  <c r="BX402" i="11"/>
  <c r="BX403" i="11"/>
  <c r="BX404" i="11"/>
  <c r="BX405" i="11"/>
  <c r="BX406" i="11"/>
  <c r="BX407" i="11"/>
  <c r="BX408" i="11"/>
  <c r="BY357" i="11"/>
  <c r="BZ357" i="11" s="1"/>
  <c r="BY359" i="11"/>
  <c r="BY361" i="11"/>
  <c r="BY363" i="11"/>
  <c r="BY364" i="11"/>
  <c r="BY365" i="11"/>
  <c r="BY366" i="11"/>
  <c r="BY367" i="11"/>
  <c r="BY368" i="11"/>
  <c r="BY369" i="11"/>
  <c r="BY370" i="11"/>
  <c r="BY371" i="11"/>
  <c r="BY372" i="11"/>
  <c r="BY373" i="11"/>
  <c r="BY374" i="11"/>
  <c r="BY375" i="11"/>
  <c r="BY376" i="11"/>
  <c r="BY377" i="11"/>
  <c r="BY378" i="11"/>
  <c r="BY379" i="11"/>
  <c r="BY380" i="11"/>
  <c r="BY381" i="11"/>
  <c r="BY382" i="11"/>
  <c r="BY383" i="11"/>
  <c r="BY384" i="11"/>
  <c r="BY385" i="11"/>
  <c r="BY386" i="11"/>
  <c r="BY387" i="11"/>
  <c r="BY388" i="11"/>
  <c r="BY389" i="11"/>
  <c r="BY390" i="11"/>
  <c r="BY391" i="11"/>
  <c r="BY392" i="11"/>
  <c r="BY393" i="11"/>
  <c r="BY394" i="11"/>
  <c r="BY395" i="11"/>
  <c r="BY396" i="11"/>
  <c r="BY397" i="11"/>
  <c r="BZ397" i="11" s="1"/>
  <c r="BY398" i="11"/>
  <c r="BY399" i="11"/>
  <c r="BY400" i="11"/>
  <c r="BY401" i="11"/>
  <c r="BY402" i="11"/>
  <c r="BY403" i="11"/>
  <c r="BY404" i="11"/>
  <c r="BY405" i="11"/>
  <c r="BY406" i="11"/>
  <c r="BY407" i="11"/>
  <c r="BY408" i="11"/>
  <c r="BX113" i="11"/>
  <c r="BX111" i="11"/>
  <c r="BX109" i="11"/>
  <c r="BX107" i="11"/>
  <c r="BX105" i="11"/>
  <c r="BX103" i="11"/>
  <c r="BX101" i="11"/>
  <c r="BX99" i="11"/>
  <c r="BX97" i="11"/>
  <c r="BX95" i="11"/>
  <c r="BX93" i="11"/>
  <c r="BX91" i="11"/>
  <c r="BX89" i="11"/>
  <c r="BX87" i="11"/>
  <c r="BX85" i="11"/>
  <c r="BX83" i="11"/>
  <c r="BX81" i="11"/>
  <c r="BX79" i="11"/>
  <c r="BX77" i="11"/>
  <c r="BX75" i="11"/>
  <c r="BX73" i="11"/>
  <c r="BX71" i="11"/>
  <c r="BX69" i="11"/>
  <c r="BX67" i="11"/>
  <c r="BX65" i="11"/>
  <c r="BX63" i="11"/>
  <c r="BX61" i="11"/>
  <c r="BX59" i="11"/>
  <c r="BX57" i="11"/>
  <c r="BX55" i="11"/>
  <c r="BX53" i="11"/>
  <c r="BX51" i="11"/>
  <c r="BX49" i="11"/>
  <c r="BX47" i="11"/>
  <c r="BX45" i="11"/>
  <c r="BX43" i="11"/>
  <c r="BX41" i="11"/>
  <c r="BX39" i="11"/>
  <c r="BX37" i="11"/>
  <c r="BX35" i="11"/>
  <c r="BX33" i="11"/>
  <c r="BX31" i="11"/>
  <c r="BX112" i="11"/>
  <c r="BX110" i="11"/>
  <c r="BX108" i="11"/>
  <c r="BX106" i="11"/>
  <c r="BX104" i="11"/>
  <c r="BX102" i="11"/>
  <c r="BX100" i="11"/>
  <c r="BX98" i="11"/>
  <c r="BX96" i="11"/>
  <c r="BX94" i="11"/>
  <c r="BX92" i="11"/>
  <c r="BX90" i="11"/>
  <c r="BX88" i="11"/>
  <c r="BX86" i="11"/>
  <c r="BX84" i="11"/>
  <c r="BX82" i="11"/>
  <c r="BX80" i="11"/>
  <c r="BX78" i="11"/>
  <c r="BX76" i="11"/>
  <c r="BX74" i="11"/>
  <c r="BX72" i="11"/>
  <c r="BX70" i="11"/>
  <c r="BX68" i="11"/>
  <c r="BX66" i="11"/>
  <c r="BX64" i="11"/>
  <c r="BX62" i="11"/>
  <c r="BX60" i="11"/>
  <c r="BX58" i="11"/>
  <c r="BX56" i="11"/>
  <c r="BX54" i="11"/>
  <c r="BX52" i="11"/>
  <c r="BX50" i="11"/>
  <c r="BX48" i="11"/>
  <c r="BX46" i="11"/>
  <c r="BX44" i="11"/>
  <c r="BX42" i="11"/>
  <c r="BX40" i="11"/>
  <c r="BX38" i="11"/>
  <c r="BX36" i="11"/>
  <c r="BX34" i="11"/>
  <c r="BX32" i="11"/>
  <c r="BX30" i="11"/>
  <c r="T68" i="8"/>
  <c r="T69" i="8"/>
  <c r="T70" i="8" l="1"/>
</calcChain>
</file>

<file path=xl/sharedStrings.xml><?xml version="1.0" encoding="utf-8"?>
<sst xmlns="http://schemas.openxmlformats.org/spreadsheetml/2006/main" count="560" uniqueCount="237">
  <si>
    <t>Bezledy</t>
  </si>
  <si>
    <t>Biała Podlaska</t>
  </si>
  <si>
    <t>Białystok</t>
  </si>
  <si>
    <t>Bielsko - Biała</t>
  </si>
  <si>
    <t>Bydgoszcz</t>
  </si>
  <si>
    <t>Ciechanów</t>
  </si>
  <si>
    <t>X</t>
  </si>
  <si>
    <t>Y</t>
  </si>
  <si>
    <t>STRESS</t>
  </si>
  <si>
    <t>Solver</t>
  </si>
  <si>
    <t>Cieszyn</t>
  </si>
  <si>
    <t>Częstochowa</t>
  </si>
  <si>
    <t>Elbląg</t>
  </si>
  <si>
    <t>Gdańsk</t>
  </si>
  <si>
    <t>Gorzów Wielkopolski</t>
  </si>
  <si>
    <t>Hrebenne</t>
  </si>
  <si>
    <t>Jelenia Góra</t>
  </si>
  <si>
    <t>Kalisz</t>
  </si>
  <si>
    <t>Katowice</t>
  </si>
  <si>
    <t>Kielce</t>
  </si>
  <si>
    <t>Konin</t>
  </si>
  <si>
    <t>Koszalin</t>
  </si>
  <si>
    <t>Kraków</t>
  </si>
  <si>
    <t>Kudowa-Słone</t>
  </si>
  <si>
    <t>Legnica</t>
  </si>
  <si>
    <t>Leszno</t>
  </si>
  <si>
    <t>Lublin</t>
  </si>
  <si>
    <t>Łódź</t>
  </si>
  <si>
    <t>Nowy Sącz</t>
  </si>
  <si>
    <t>Olsztyn</t>
  </si>
  <si>
    <t>Olszyna</t>
  </si>
  <si>
    <t>Opole</t>
  </si>
  <si>
    <t>Ostrołęka</t>
  </si>
  <si>
    <t>Piotrków Trybunalski</t>
  </si>
  <si>
    <t>Płock</t>
  </si>
  <si>
    <t>Poznań</t>
  </si>
  <si>
    <t>Przemyśl</t>
  </si>
  <si>
    <t>Radom</t>
  </si>
  <si>
    <t>Rzeszów</t>
  </si>
  <si>
    <t>Siedlce</t>
  </si>
  <si>
    <t>Skierniewice</t>
  </si>
  <si>
    <t>Słupsk</t>
  </si>
  <si>
    <t>Suwałki</t>
  </si>
  <si>
    <t>Szczecin</t>
  </si>
  <si>
    <t>Świnoujście</t>
  </si>
  <si>
    <t>Tarnobrzeg</t>
  </si>
  <si>
    <t>Tarnów</t>
  </si>
  <si>
    <t>Terespol</t>
  </si>
  <si>
    <t>Toruń</t>
  </si>
  <si>
    <t>Warszawa</t>
  </si>
  <si>
    <t>Włocławek</t>
  </si>
  <si>
    <t>Wrocław</t>
  </si>
  <si>
    <t>Zakopane</t>
  </si>
  <si>
    <t>Zielona Góra</t>
  </si>
  <si>
    <t>ID_MAPA</t>
  </si>
  <si>
    <t>odległość</t>
  </si>
  <si>
    <t>XA02</t>
  </si>
  <si>
    <t>XA03</t>
  </si>
  <si>
    <t>XA04</t>
  </si>
  <si>
    <t>XA05</t>
  </si>
  <si>
    <t>XA06</t>
  </si>
  <si>
    <t>XA17</t>
  </si>
  <si>
    <t>XA19</t>
  </si>
  <si>
    <t>XA20</t>
  </si>
  <si>
    <t>XA21</t>
  </si>
  <si>
    <t>XA28</t>
  </si>
  <si>
    <t>XA30</t>
  </si>
  <si>
    <t>XA31</t>
  </si>
  <si>
    <t>XA40</t>
  </si>
  <si>
    <t>XA41</t>
  </si>
  <si>
    <t>Step1</t>
  </si>
  <si>
    <t>data</t>
  </si>
  <si>
    <t>mean</t>
  </si>
  <si>
    <t>sd</t>
  </si>
  <si>
    <t>Step 2</t>
  </si>
  <si>
    <t>Standardised variables</t>
  </si>
  <si>
    <t>Step 3</t>
  </si>
  <si>
    <t>covariance matrix</t>
  </si>
  <si>
    <t>region_id</t>
  </si>
  <si>
    <t>Step 4</t>
  </si>
  <si>
    <t>Eigenvectors and eigenvalues</t>
  </si>
  <si>
    <t>$values</t>
  </si>
  <si>
    <t xml:space="preserve"> [1] 9.008684e+00 1.883370e+00 1.199963e+00 9.123390e-01 8.615535e-01 6.641781e-01 1.952730e-01 1.355759e-01</t>
  </si>
  <si>
    <t xml:space="preserve"> [9] 7.402956e-02 4.057037e-02 1.841834e-02 5.014969e-03 1.027390e-03 2.842711e-06 4.778308e-16</t>
  </si>
  <si>
    <t>$vectors</t>
  </si>
  <si>
    <t xml:space="preserve">              [,1]        [,2]          [,3]         [,4]         [,5]         [,6]          [,7]          [,8]</t>
  </si>
  <si>
    <t xml:space="preserve"> [1,]  0.070802444 -0.18723939  0.4462621205  0.515271299  0.668335718  0.169331389 -0.1329621858  0.0447718124</t>
  </si>
  <si>
    <t xml:space="preserve"> [2,] -0.325320425 -0.13417357  0.0008312344  0.008209226  0.019957106 -0.015622535  0.1255955038 -0.0424101849</t>
  </si>
  <si>
    <t xml:space="preserve"> [3,]  0.032751824 -0.36520585 -0.4161944821 -0.416937752  0.578447422 -0.344718109  0.0245821342  0.1554504198</t>
  </si>
  <si>
    <t xml:space="preserve"> [4,] -0.308359346  0.04211311 -0.0898659655  0.007670076 -0.037753206  0.144280609 -0.6432128641 -0.2589123301</t>
  </si>
  <si>
    <t xml:space="preserve"> [5,] -0.322348296 -0.12256827  0.0695043976  0.058070332 -0.038119621 -0.006877267  0.2777905016 -0.0148776881</t>
  </si>
  <si>
    <t xml:space="preserve"> [6,]  0.125542943 -0.29655225  0.4351509034  0.083645277 -0.294026192 -0.753413232 -0.1806515426 -0.0061074135</t>
  </si>
  <si>
    <t xml:space="preserve"> [7,] -0.311410125 -0.08822512  0.0739291001  0.094581459  0.031084447 -0.054147109  0.5213962963 -0.3488711882</t>
  </si>
  <si>
    <t xml:space="preserve"> [8,] -0.318713574 -0.14589517 -0.0848033577 -0.013518199  0.036821442 -0.055045492 -0.2173853961 -0.0878832145</t>
  </si>
  <si>
    <t xml:space="preserve"> [9,] -0.323811704 -0.12583510 -0.0433336753 -0.025261866 -0.002171374 -0.039718657 -0.2417151758 -0.0280285802</t>
  </si>
  <si>
    <t>[10,] -0.324678204 -0.11737013  0.0124766682 -0.020089306 -0.023718924 -0.016836523 -0.1479173860 -0.0087754878</t>
  </si>
  <si>
    <t>[11,] -0.323922187 -0.12636488  0.0427127682  0.071464633 -0.026658728 -0.012929563  0.2070473755 -0.0464316955</t>
  </si>
  <si>
    <t>[12,] -0.179784139  0.55827565  0.1178852881 -0.079511578  0.229668350 -0.284628694  0.0003836538  0.0007095851</t>
  </si>
  <si>
    <t>[13,] -0.179840925  0.55820108  0.1179666639 -0.079429644  0.229656736 -0.284542789  0.0002630365  0.0010307256</t>
  </si>
  <si>
    <t>[14,] -0.308064107  0.00327799  0.1095057579  0.021131959 -0.130886934  0.088934537  0.0087516782  0.8746829306</t>
  </si>
  <si>
    <t>[15,]  0.002697357  0.10442969 -0.6074939980  0.722363090 -0.052693848 -0.293051154  0.0074500027  0.0849288762</t>
  </si>
  <si>
    <t xml:space="preserve">              [,9]        [,10]        [,11]        [,12]         [,13]         [,14]         [,15]</t>
  </si>
  <si>
    <t xml:space="preserve"> [1,] -0.009707127 -0.001546615  0.006336927  0.009274255  0.0046929314  9.820170e-05  0.000000e+00</t>
  </si>
  <si>
    <t xml:space="preserve"> [2,]  0.079195502 -0.426070482 -0.179916616  0.267140664 -0.0025704910 -6.399929e-05 -7.525504e-01</t>
  </si>
  <si>
    <t xml:space="preserve"> [3,]  0.163303843 -0.045898721  0.018259027 -0.072544249  0.0048147975 -5.426347e-05  7.682370e-02</t>
  </si>
  <si>
    <t xml:space="preserve"> [4,]  0.574924352 -0.131785570 -0.078497777 -0.141884768 -0.0150522564 -7.969696e-05  1.325914e-01</t>
  </si>
  <si>
    <t xml:space="preserve"> [5,] -0.045556562 -0.467852818 -0.197344787  0.351971354 -0.0004817098 -5.219214e-05  6.404573e-01</t>
  </si>
  <si>
    <t xml:space="preserve"> [6,]  0.109434381 -0.017700880 -0.024673723 -0.015476602 -0.0070845120 -4.629760e-06 -1.110223e-15</t>
  </si>
  <si>
    <t xml:space="preserve"> [7,]  0.445626096  0.461290665  0.263568600  0.048565764  0.0129148426  1.165472e-04 -5.315193e-15</t>
  </si>
  <si>
    <t xml:space="preserve"> [8,] -0.337865301  0.503009827 -0.428163876  0.231249683 -0.4543384639 -4.499792e-04  5.809242e-14</t>
  </si>
  <si>
    <t xml:space="preserve"> [9,] -0.316562605  0.194444599  0.155135093  0.166476272  0.7913261976  1.562739e-03 -6.830647e-14</t>
  </si>
  <si>
    <t>[10,] -0.305867397 -0.189547680  0.747474429 -0.096892881 -0.3998200433 -9.716699e-04  3.155809e-14</t>
  </si>
  <si>
    <t>[11,] -0.207273485 -0.082523316 -0.289691480 -0.828237647  0.0812478618 -1.316917e-04 -4.379830e-14</t>
  </si>
  <si>
    <t>[12,] -0.037856849 -0.020721951 -0.014987759 -0.002109873 -0.0024551915  7.070556e-01 -1.268902e-12</t>
  </si>
  <si>
    <t>[13,] -0.037784943 -0.020096772 -0.015255139 -0.001624036  0.0001137868 -7.071554e-01  1.269929e-12</t>
  </si>
  <si>
    <t>[14,]  0.264617039  0.177962492  0.016660411 -0.008360779 -0.0204879144  2.729642e-04  2.831069e-15</t>
  </si>
  <si>
    <t>[15,]  0.005362859 -0.030476672  0.036153803  0.006349686 -0.0008558018 -1.684679e-05  6.106227e-16</t>
  </si>
  <si>
    <t>Eigenvalues</t>
  </si>
  <si>
    <t>[,1]</t>
  </si>
  <si>
    <t>[,2]</t>
  </si>
  <si>
    <t>[,3]</t>
  </si>
  <si>
    <t>[,4]</t>
  </si>
  <si>
    <t>[,5]</t>
  </si>
  <si>
    <t>[,6]</t>
  </si>
  <si>
    <t>[,7]</t>
  </si>
  <si>
    <t>[,8]</t>
  </si>
  <si>
    <t>[1,]</t>
  </si>
  <si>
    <t>[2,]</t>
  </si>
  <si>
    <t>[3,]</t>
  </si>
  <si>
    <t>[4,]</t>
  </si>
  <si>
    <t>[5,]</t>
  </si>
  <si>
    <t>[6,]</t>
  </si>
  <si>
    <t>[7,]</t>
  </si>
  <si>
    <t>[8,]</t>
  </si>
  <si>
    <t>[9,]</t>
  </si>
  <si>
    <t>[10,]</t>
  </si>
  <si>
    <t>[11,]</t>
  </si>
  <si>
    <t>[12,]</t>
  </si>
  <si>
    <t>[13,]</t>
  </si>
  <si>
    <t>[14,]</t>
  </si>
  <si>
    <t>[15,]</t>
  </si>
  <si>
    <t>[,9]</t>
  </si>
  <si>
    <t>[,10]</t>
  </si>
  <si>
    <t>[,11]</t>
  </si>
  <si>
    <t>[,12]</t>
  </si>
  <si>
    <t>[,13]</t>
  </si>
  <si>
    <t>[,14]</t>
  </si>
  <si>
    <t>[,15]</t>
  </si>
  <si>
    <t>TOTAL</t>
  </si>
  <si>
    <t>cum_dist</t>
  </si>
  <si>
    <t>information content</t>
  </si>
  <si>
    <t>Step 5</t>
  </si>
  <si>
    <t>Dimensions reductions</t>
  </si>
  <si>
    <t>Y=X*W</t>
  </si>
  <si>
    <t>X - data matrix</t>
  </si>
  <si>
    <t>W - selected eigenvectors matrix</t>
  </si>
  <si>
    <t>y - output of PCA</t>
  </si>
  <si>
    <t>prin_comp1</t>
  </si>
  <si>
    <t>ID</t>
  </si>
  <si>
    <t>core-cities</t>
  </si>
  <si>
    <t>core city</t>
  </si>
  <si>
    <t>all obs</t>
  </si>
  <si>
    <t>The Excel version</t>
  </si>
  <si>
    <t>Paste special: transposition &amp; skip empty cells</t>
  </si>
  <si>
    <t>PCA</t>
  </si>
  <si>
    <t>- linear transformation technique to detect the correlation between variables</t>
  </si>
  <si>
    <t>- core: to find the directions of maximum variance in high-dimensional data and project it onto a smaller dimensional subspace while retaining most of the information</t>
  </si>
  <si>
    <t>- result: PCA yields the directions (principal components) that maximize the variance of the data, PCA “ignores” class labels</t>
  </si>
  <si>
    <t xml:space="preserve">- main question: How to reduce the dimensions of a d-dimensional dataset by projecting it onto a (k)-dimensional subspace (where k&lt;d)? </t>
  </si>
  <si>
    <t>- purpose:  to increase the computational efficiency while retaining most of the information</t>
  </si>
  <si>
    <t>- second question: what is the size of k that represents the data ‘well’?</t>
  </si>
  <si>
    <t xml:space="preserve">- procedure - step 1: calculating the eigenvectors for covariance matrix of standardised data, </t>
  </si>
  <si>
    <t>- procedure - step 2: checking the degree of explained variance by cumulative eigenvalues and then selecting proper number of eigenvectors</t>
  </si>
  <si>
    <r>
      <t xml:space="preserve">- procedure - step 3: preparing the </t>
    </r>
    <r>
      <rPr>
        <b/>
        <sz val="11"/>
        <color theme="1"/>
        <rFont val="Calibri"/>
        <family val="2"/>
        <charset val="238"/>
        <scheme val="minor"/>
      </rPr>
      <t xml:space="preserve">projection matrix </t>
    </r>
    <r>
      <rPr>
        <sz val="11"/>
        <color theme="1"/>
        <rFont val="Calibri"/>
        <family val="2"/>
        <charset val="238"/>
        <scheme val="minor"/>
      </rPr>
      <t xml:space="preserve">as a result of multiplying the data and selected eigenvectors (principal components). </t>
    </r>
  </si>
  <si>
    <t>- result: Each of those eigenvectors is associated with an eigenvalue which can be interpreted as the “length” or “magnitude” of the corresponding eigenvector.</t>
  </si>
  <si>
    <t>dist</t>
  </si>
  <si>
    <t>Multidimensional Scaling</t>
  </si>
  <si>
    <t>Method: This is a nonlinear method (which is a big advantage). The algorithm places points on the plane so that the dependencies are best preserved.</t>
  </si>
  <si>
    <t>Purpose: reduction of multidimensionality (similar to PCA).</t>
  </si>
  <si>
    <t>Implementation:</t>
  </si>
  <si>
    <t>1) Define the distance between objects (eg Euclidean distance) in the original N-dimensional space</t>
  </si>
  <si>
    <t>2) Define the distance between objects (eg Euclidean distance) in a new n-dimensional space</t>
  </si>
  <si>
    <t>The most popular is the Kruskal scaling:</t>
  </si>
  <si>
    <t>3) Define the STRESS function - its value depends on the distance relationship in both spaces. For similar distance distributions the function takes its minimum</t>
  </si>
  <si>
    <t>Where Dij is the distance in the original space N</t>
  </si>
  <si>
    <t>dij is the distance in the new space n</t>
  </si>
  <si>
    <t>4) Minimize the objective function in iterations</t>
  </si>
  <si>
    <t>How to perform multivariate scaling?</t>
  </si>
  <si>
    <t>Step 1 Data capture</t>
  </si>
  <si>
    <t>Let's say we want to draw 100 respondents on a subjective evaluation of 10 products.</t>
  </si>
  <si>
    <t>Ratings range from 1 (best) to 10 (worst).</t>
  </si>
  <si>
    <t>Here below we have random numbers drawen from different distributions</t>
  </si>
  <si>
    <t>Customer</t>
  </si>
  <si>
    <t>pattern</t>
  </si>
  <si>
    <t>Rating of product 1</t>
  </si>
  <si>
    <t>Rating of product 2</t>
  </si>
  <si>
    <t>Rating of product 3</t>
  </si>
  <si>
    <t>Rating of product 4</t>
  </si>
  <si>
    <t>Rating of product 5</t>
  </si>
  <si>
    <t>Rating of product 6</t>
  </si>
  <si>
    <t>Rating of product 7</t>
  </si>
  <si>
    <t>Rating of product 8</t>
  </si>
  <si>
    <t>Rating of product 9</t>
  </si>
  <si>
    <t>Rating of product 10</t>
  </si>
  <si>
    <t>Preparation of distance matrix in N-dimensional space</t>
  </si>
  <si>
    <t>It is about counting the distance in pairs for the next variables (that is, for each pair of observations of a pair of variables)</t>
  </si>
  <si>
    <t>Distance is the sum of the squared differences - you can use the function: SUMA.XMY.2 ()</t>
  </si>
  <si>
    <t>In the second line: 2: 1, 2: 2, 2: 3 etc</t>
  </si>
  <si>
    <t>That means that we always have one locked column and one variable in the row</t>
  </si>
  <si>
    <t>You can prepare a surface empirical plot to see which pair of distances are the lowest.</t>
  </si>
  <si>
    <t>We fill the matrix by rows - in the first row 1: 1, 1: 2, 1: 3, 1: 4 etc</t>
  </si>
  <si>
    <t>To smoothly fill in the matrix by rows (in fact change the blocked column), use the SHIFT() (PRZESUNIĘCIE) function.</t>
  </si>
  <si>
    <t>how many rows</t>
  </si>
  <si>
    <t>how many columns</t>
  </si>
  <si>
    <t>Matrix of empirical distance Dij</t>
  </si>
  <si>
    <t>Stage 3</t>
  </si>
  <si>
    <t>Prepare the coordinates of a new space</t>
  </si>
  <si>
    <t>The initial values of x and y are (arbitrary) assumed and then optimized</t>
  </si>
  <si>
    <t>Stage 4</t>
  </si>
  <si>
    <t>Determining the theoretical distance (between coordinates)</t>
  </si>
  <si>
    <t>Also using the Euclidean distance</t>
  </si>
  <si>
    <t>A distance matrix is defined between pairs of coordinates.</t>
  </si>
  <si>
    <t>In the first column there are pairs: 1: 1, 1: 2; 1: 3, 1: 4 ...</t>
  </si>
  <si>
    <t>In the second column there are pairs: 2: 1, 2: 2, 2: 3 ...</t>
  </si>
  <si>
    <t>To be correct the diagonal are 0</t>
  </si>
  <si>
    <t>Operations: Copy the formula down for the specified rigid coordinate pair</t>
  </si>
  <si>
    <t>A matrix of the theoretical distance dij</t>
  </si>
  <si>
    <t>Stage 5</t>
  </si>
  <si>
    <t>Determining the STRESS function (standardised difference of distances)</t>
  </si>
  <si>
    <t>counter</t>
  </si>
  <si>
    <t>nominator</t>
  </si>
  <si>
    <t>&lt;- should be minimized by changing the coordinates</t>
  </si>
  <si>
    <t>Counter: Squares of differences</t>
  </si>
  <si>
    <t>Denominator: Dij squares</t>
  </si>
  <si>
    <t>Stage 6</t>
  </si>
  <si>
    <t>Minimize target function (STRESS)</t>
  </si>
  <si>
    <t>and read the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</si>
</sst>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#0"/>
    <numFmt numFmtId="166" formatCode="0.0000000"/>
  </numFmts>
  <fonts count="1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rgb="FF111111"/>
      <name val="Arial"/>
      <family val="2"/>
      <charset val="238"/>
    </font>
    <font>
      <b/>
      <sz val="10"/>
      <color rgb="FF111111"/>
      <name val="Arial"/>
      <family val="2"/>
      <charset val="238"/>
    </font>
    <font>
      <b/>
      <i/>
      <sz val="10"/>
      <color rgb="FF111111"/>
      <name val="Arial"/>
      <family val="2"/>
      <charset val="238"/>
    </font>
    <font>
      <sz val="9"/>
      <name val="Arial"/>
      <family val="2"/>
      <charset val="238"/>
    </font>
    <font>
      <sz val="11"/>
      <name val="Calibri"/>
      <family val="2"/>
      <charset val="238"/>
    </font>
    <font>
      <b/>
      <i/>
      <sz val="11"/>
      <color theme="1"/>
      <name val="Calibri"/>
      <family val="2"/>
      <charset val="238"/>
      <scheme val="minor"/>
    </font>
    <font>
      <sz val="11"/>
      <color theme="0" tint="-0.14999847407452621"/>
      <name val="Calibri"/>
      <family val="2"/>
      <charset val="238"/>
      <scheme val="minor"/>
    </font>
    <font>
      <i/>
      <sz val="11"/>
      <color theme="0" tint="-0.1499984740745262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8" fillId="0" borderId="0"/>
  </cellStyleXfs>
  <cellXfs count="59">
    <xf numFmtId="0" fontId="0" fillId="0" borderId="0" xfId="0"/>
    <xf numFmtId="0" fontId="0" fillId="3" borderId="0" xfId="0" applyFill="1"/>
    <xf numFmtId="0" fontId="1" fillId="3" borderId="0" xfId="0" applyFont="1" applyFill="1"/>
    <xf numFmtId="0" fontId="0" fillId="0" borderId="0" xfId="0" applyAlignment="1">
      <alignment vertical="center"/>
    </xf>
    <xf numFmtId="0" fontId="0" fillId="3" borderId="0" xfId="0" quotePrefix="1" applyFill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0" fillId="3" borderId="0" xfId="0" applyFill="1" applyAlignment="1">
      <alignment horizontal="left"/>
    </xf>
    <xf numFmtId="0" fontId="0" fillId="3" borderId="0" xfId="0" applyFill="1" applyAlignment="1"/>
    <xf numFmtId="0" fontId="1" fillId="3" borderId="0" xfId="0" applyFont="1" applyFill="1" applyAlignment="1">
      <alignment horizontal="left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2" fillId="3" borderId="0" xfId="0" applyFont="1" applyFill="1" applyAlignment="1">
      <alignment horizontal="left"/>
    </xf>
    <xf numFmtId="0" fontId="0" fillId="2" borderId="0" xfId="0" applyFill="1" applyAlignment="1">
      <alignment horizontal="center"/>
    </xf>
    <xf numFmtId="0" fontId="0" fillId="3" borderId="0" xfId="0" quotePrefix="1" applyFill="1" applyAlignment="1">
      <alignment horizontal="left"/>
    </xf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wrapText="1"/>
    </xf>
    <xf numFmtId="0" fontId="0" fillId="0" borderId="0" xfId="0" applyBorder="1"/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wrapText="1"/>
    </xf>
    <xf numFmtId="2" fontId="7" fillId="4" borderId="1" xfId="0" applyNumberFormat="1" applyFont="1" applyFill="1" applyBorder="1" applyAlignment="1">
      <alignment horizontal="center" wrapText="1"/>
    </xf>
    <xf numFmtId="1" fontId="8" fillId="4" borderId="1" xfId="2" applyNumberFormat="1" applyFill="1" applyBorder="1"/>
    <xf numFmtId="1" fontId="0" fillId="4" borderId="1" xfId="0" applyNumberFormat="1" applyFill="1" applyBorder="1"/>
    <xf numFmtId="164" fontId="8" fillId="4" borderId="1" xfId="2" applyNumberFormat="1" applyFill="1" applyBorder="1"/>
    <xf numFmtId="165" fontId="8" fillId="4" borderId="1" xfId="2" applyNumberFormat="1" applyFill="1" applyBorder="1"/>
    <xf numFmtId="0" fontId="0" fillId="5" borderId="0" xfId="0" applyFill="1" applyBorder="1"/>
    <xf numFmtId="0" fontId="1" fillId="5" borderId="0" xfId="0" applyFont="1" applyFill="1" applyBorder="1"/>
    <xf numFmtId="0" fontId="5" fillId="5" borderId="0" xfId="0" applyFont="1" applyFill="1" applyBorder="1"/>
    <xf numFmtId="0" fontId="1" fillId="0" borderId="0" xfId="0" applyFont="1" applyFill="1" applyBorder="1"/>
    <xf numFmtId="0" fontId="5" fillId="0" borderId="0" xfId="0" applyFont="1" applyFill="1" applyBorder="1"/>
    <xf numFmtId="0" fontId="0" fillId="0" borderId="0" xfId="0" applyFill="1" applyBorder="1"/>
    <xf numFmtId="0" fontId="0" fillId="0" borderId="0" xfId="0" applyFont="1" applyFill="1" applyBorder="1"/>
    <xf numFmtId="0" fontId="0" fillId="0" borderId="0" xfId="0" applyFont="1" applyBorder="1"/>
    <xf numFmtId="0" fontId="2" fillId="6" borderId="1" xfId="0" applyFont="1" applyFill="1" applyBorder="1" applyAlignment="1">
      <alignment horizontal="center"/>
    </xf>
    <xf numFmtId="0" fontId="0" fillId="6" borderId="1" xfId="0" applyFill="1" applyBorder="1" applyAlignment="1"/>
    <xf numFmtId="0" fontId="2" fillId="4" borderId="0" xfId="0" applyFont="1" applyFill="1" applyBorder="1"/>
    <xf numFmtId="0" fontId="1" fillId="4" borderId="0" xfId="0" applyFont="1" applyFill="1" applyBorder="1"/>
    <xf numFmtId="11" fontId="0" fillId="0" borderId="0" xfId="0" applyNumberFormat="1" applyBorder="1"/>
    <xf numFmtId="166" fontId="0" fillId="0" borderId="0" xfId="0" applyNumberFormat="1" applyBorder="1"/>
    <xf numFmtId="0" fontId="1" fillId="0" borderId="0" xfId="0" applyFont="1" applyBorder="1"/>
    <xf numFmtId="10" fontId="0" fillId="0" borderId="0" xfId="1" applyNumberFormat="1" applyFont="1" applyBorder="1"/>
    <xf numFmtId="10" fontId="0" fillId="0" borderId="0" xfId="0" applyNumberFormat="1" applyBorder="1"/>
    <xf numFmtId="10" fontId="0" fillId="7" borderId="0" xfId="0" applyNumberFormat="1" applyFill="1" applyBorder="1"/>
    <xf numFmtId="10" fontId="0" fillId="0" borderId="0" xfId="0" applyNumberFormat="1" applyFill="1" applyBorder="1"/>
    <xf numFmtId="0" fontId="0" fillId="7" borderId="0" xfId="0" applyFill="1" applyBorder="1"/>
    <xf numFmtId="10" fontId="0" fillId="2" borderId="0" xfId="0" applyNumberFormat="1" applyFill="1" applyBorder="1"/>
    <xf numFmtId="0" fontId="0" fillId="2" borderId="0" xfId="0" applyFill="1" applyBorder="1"/>
    <xf numFmtId="0" fontId="0" fillId="6" borderId="0" xfId="0" applyFill="1" applyBorder="1"/>
    <xf numFmtId="0" fontId="6" fillId="0" borderId="0" xfId="0" applyFont="1" applyFill="1" applyBorder="1"/>
    <xf numFmtId="0" fontId="9" fillId="0" borderId="0" xfId="0" applyFont="1" applyBorder="1"/>
    <xf numFmtId="0" fontId="9" fillId="0" borderId="0" xfId="0" applyFont="1" applyFill="1" applyBorder="1"/>
    <xf numFmtId="0" fontId="0" fillId="0" borderId="0" xfId="0" applyAlignment="1">
      <alignment textRotation="90"/>
    </xf>
    <xf numFmtId="0" fontId="0" fillId="0" borderId="0" xfId="0" applyAlignment="1">
      <alignment horizontal="left" textRotation="1"/>
    </xf>
    <xf numFmtId="0" fontId="10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" fillId="3" borderId="0" xfId="0" applyFont="1" applyFill="1" applyAlignment="1"/>
    <xf numFmtId="0" fontId="4" fillId="0" borderId="0" xfId="0" quotePrefix="1" applyFont="1" applyFill="1" applyBorder="1"/>
    <xf numFmtId="0" fontId="0" fillId="0" borderId="0" xfId="0" quotePrefix="1" applyFill="1" applyBorder="1"/>
  </cellXfs>
  <cellStyles count="3">
    <cellStyle name="Normalny" xfId="0" builtinId="0"/>
    <cellStyle name="Normalny 2" xfId="2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9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0720691163604547E-2"/>
          <c:y val="7.407407407407407E-2"/>
          <c:w val="0.71409120734908138"/>
          <c:h val="0.83309419655876349"/>
        </c:manualLayout>
      </c:layout>
      <c:surfaceChart>
        <c:wireframe val="0"/>
        <c:ser>
          <c:idx val="0"/>
          <c:order val="0"/>
          <c:val>
            <c:numRef>
              <c:f>'MDS example'!$Q$16:$Z$16</c:f>
              <c:numCache>
                <c:formatCode>General</c:formatCode>
                <c:ptCount val="10"/>
                <c:pt idx="0">
                  <c:v>0</c:v>
                </c:pt>
                <c:pt idx="1">
                  <c:v>10.440306508910551</c:v>
                </c:pt>
                <c:pt idx="2">
                  <c:v>9.1104335791442992</c:v>
                </c:pt>
                <c:pt idx="3">
                  <c:v>9.2736184954957039</c:v>
                </c:pt>
                <c:pt idx="4">
                  <c:v>28.354893757515651</c:v>
                </c:pt>
                <c:pt idx="5">
                  <c:v>27.313000567495326</c:v>
                </c:pt>
                <c:pt idx="6">
                  <c:v>28.390139133156779</c:v>
                </c:pt>
                <c:pt idx="7">
                  <c:v>32.572994949804659</c:v>
                </c:pt>
                <c:pt idx="8">
                  <c:v>32.726136343907143</c:v>
                </c:pt>
                <c:pt idx="9">
                  <c:v>34.84250278036869</c:v>
                </c:pt>
              </c:numCache>
            </c:numRef>
          </c:val>
        </c:ser>
        <c:ser>
          <c:idx val="1"/>
          <c:order val="1"/>
          <c:val>
            <c:numRef>
              <c:f>'MDS example'!$Q$17:$Z$17</c:f>
              <c:numCache>
                <c:formatCode>General</c:formatCode>
                <c:ptCount val="10"/>
                <c:pt idx="0">
                  <c:v>10.440306508910551</c:v>
                </c:pt>
                <c:pt idx="1">
                  <c:v>0</c:v>
                </c:pt>
                <c:pt idx="2">
                  <c:v>10.583005244258363</c:v>
                </c:pt>
                <c:pt idx="3">
                  <c:v>9.9498743710661994</c:v>
                </c:pt>
                <c:pt idx="4">
                  <c:v>27.440845468024488</c:v>
                </c:pt>
                <c:pt idx="5">
                  <c:v>26.627053911388696</c:v>
                </c:pt>
                <c:pt idx="6">
                  <c:v>27.404379212089442</c:v>
                </c:pt>
                <c:pt idx="7">
                  <c:v>34.146742157927747</c:v>
                </c:pt>
                <c:pt idx="8">
                  <c:v>34.322004603461025</c:v>
                </c:pt>
                <c:pt idx="9">
                  <c:v>35.566838487557476</c:v>
                </c:pt>
              </c:numCache>
            </c:numRef>
          </c:val>
        </c:ser>
        <c:ser>
          <c:idx val="2"/>
          <c:order val="2"/>
          <c:val>
            <c:numRef>
              <c:f>'MDS example'!$Q$18:$Z$18</c:f>
              <c:numCache>
                <c:formatCode>General</c:formatCode>
                <c:ptCount val="10"/>
                <c:pt idx="0">
                  <c:v>9.1104335791442992</c:v>
                </c:pt>
                <c:pt idx="1">
                  <c:v>10.583005244258363</c:v>
                </c:pt>
                <c:pt idx="2">
                  <c:v>0</c:v>
                </c:pt>
                <c:pt idx="3">
                  <c:v>10.148891565092219</c:v>
                </c:pt>
                <c:pt idx="4">
                  <c:v>27.073972741361768</c:v>
                </c:pt>
                <c:pt idx="5">
                  <c:v>25.98076211353316</c:v>
                </c:pt>
                <c:pt idx="6">
                  <c:v>27.03701166919155</c:v>
                </c:pt>
                <c:pt idx="7">
                  <c:v>33.105890714493697</c:v>
                </c:pt>
                <c:pt idx="8">
                  <c:v>33.941125496954278</c:v>
                </c:pt>
                <c:pt idx="9">
                  <c:v>34.942810419312295</c:v>
                </c:pt>
              </c:numCache>
            </c:numRef>
          </c:val>
        </c:ser>
        <c:ser>
          <c:idx val="3"/>
          <c:order val="3"/>
          <c:val>
            <c:numRef>
              <c:f>'MDS example'!$Q$19:$Z$19</c:f>
              <c:numCache>
                <c:formatCode>General</c:formatCode>
                <c:ptCount val="10"/>
                <c:pt idx="0">
                  <c:v>9.2736184954957039</c:v>
                </c:pt>
                <c:pt idx="1">
                  <c:v>9.9498743710661994</c:v>
                </c:pt>
                <c:pt idx="2">
                  <c:v>10.148891565092219</c:v>
                </c:pt>
                <c:pt idx="3">
                  <c:v>0</c:v>
                </c:pt>
                <c:pt idx="4">
                  <c:v>27.055498516937366</c:v>
                </c:pt>
                <c:pt idx="5">
                  <c:v>26.343879744638983</c:v>
                </c:pt>
                <c:pt idx="6">
                  <c:v>26.570660511172846</c:v>
                </c:pt>
                <c:pt idx="7">
                  <c:v>33.541019662496844</c:v>
                </c:pt>
                <c:pt idx="8">
                  <c:v>33.600595232822883</c:v>
                </c:pt>
                <c:pt idx="9">
                  <c:v>35.185224171518364</c:v>
                </c:pt>
              </c:numCache>
            </c:numRef>
          </c:val>
        </c:ser>
        <c:ser>
          <c:idx val="4"/>
          <c:order val="4"/>
          <c:val>
            <c:numRef>
              <c:f>'MDS example'!$Q$20:$Z$20</c:f>
              <c:numCache>
                <c:formatCode>General</c:formatCode>
                <c:ptCount val="10"/>
                <c:pt idx="0">
                  <c:v>28.354893757515651</c:v>
                </c:pt>
                <c:pt idx="1">
                  <c:v>27.440845468024488</c:v>
                </c:pt>
                <c:pt idx="2">
                  <c:v>27.073972741361768</c:v>
                </c:pt>
                <c:pt idx="3">
                  <c:v>27.055498516937366</c:v>
                </c:pt>
                <c:pt idx="4">
                  <c:v>0</c:v>
                </c:pt>
                <c:pt idx="5">
                  <c:v>13.416407864998739</c:v>
                </c:pt>
                <c:pt idx="6">
                  <c:v>14.212670403551895</c:v>
                </c:pt>
                <c:pt idx="7">
                  <c:v>57.297469403107151</c:v>
                </c:pt>
                <c:pt idx="8">
                  <c:v>57.489129407219238</c:v>
                </c:pt>
                <c:pt idx="9">
                  <c:v>58.600341295934449</c:v>
                </c:pt>
              </c:numCache>
            </c:numRef>
          </c:val>
        </c:ser>
        <c:ser>
          <c:idx val="5"/>
          <c:order val="5"/>
          <c:val>
            <c:numRef>
              <c:f>'MDS example'!$Q$21:$Z$21</c:f>
              <c:numCache>
                <c:formatCode>General</c:formatCode>
                <c:ptCount val="10"/>
                <c:pt idx="0">
                  <c:v>27.313000567495326</c:v>
                </c:pt>
                <c:pt idx="1">
                  <c:v>26.627053911388696</c:v>
                </c:pt>
                <c:pt idx="2">
                  <c:v>25.98076211353316</c:v>
                </c:pt>
                <c:pt idx="3">
                  <c:v>26.343879744638983</c:v>
                </c:pt>
                <c:pt idx="4">
                  <c:v>13.416407864998739</c:v>
                </c:pt>
                <c:pt idx="5">
                  <c:v>0</c:v>
                </c:pt>
                <c:pt idx="6">
                  <c:v>12</c:v>
                </c:pt>
                <c:pt idx="7">
                  <c:v>55.97320787662612</c:v>
                </c:pt>
                <c:pt idx="8">
                  <c:v>56.753854494650845</c:v>
                </c:pt>
                <c:pt idx="9">
                  <c:v>57.480431452799657</c:v>
                </c:pt>
              </c:numCache>
            </c:numRef>
          </c:val>
        </c:ser>
        <c:ser>
          <c:idx val="6"/>
          <c:order val="6"/>
          <c:val>
            <c:numRef>
              <c:f>'MDS example'!$Q$22:$Z$22</c:f>
              <c:numCache>
                <c:formatCode>General</c:formatCode>
                <c:ptCount val="10"/>
                <c:pt idx="0">
                  <c:v>28.390139133156779</c:v>
                </c:pt>
                <c:pt idx="1">
                  <c:v>27.404379212089442</c:v>
                </c:pt>
                <c:pt idx="2">
                  <c:v>27.03701166919155</c:v>
                </c:pt>
                <c:pt idx="3">
                  <c:v>26.570660511172846</c:v>
                </c:pt>
                <c:pt idx="4">
                  <c:v>14.212670403551895</c:v>
                </c:pt>
                <c:pt idx="5">
                  <c:v>12</c:v>
                </c:pt>
                <c:pt idx="6">
                  <c:v>0</c:v>
                </c:pt>
                <c:pt idx="7">
                  <c:v>57.070132293521098</c:v>
                </c:pt>
                <c:pt idx="8">
                  <c:v>57.766772456144714</c:v>
                </c:pt>
                <c:pt idx="9">
                  <c:v>58.634460857076192</c:v>
                </c:pt>
              </c:numCache>
            </c:numRef>
          </c:val>
        </c:ser>
        <c:ser>
          <c:idx val="7"/>
          <c:order val="7"/>
          <c:val>
            <c:numRef>
              <c:f>'MDS example'!$Q$23:$Z$23</c:f>
              <c:numCache>
                <c:formatCode>General</c:formatCode>
                <c:ptCount val="10"/>
                <c:pt idx="0">
                  <c:v>32.572994949804659</c:v>
                </c:pt>
                <c:pt idx="1">
                  <c:v>34.146742157927747</c:v>
                </c:pt>
                <c:pt idx="2">
                  <c:v>33.105890714493697</c:v>
                </c:pt>
                <c:pt idx="3">
                  <c:v>33.541019662496844</c:v>
                </c:pt>
                <c:pt idx="4">
                  <c:v>57.297469403107151</c:v>
                </c:pt>
                <c:pt idx="5">
                  <c:v>55.97320787662612</c:v>
                </c:pt>
                <c:pt idx="6">
                  <c:v>57.070132293521098</c:v>
                </c:pt>
                <c:pt idx="7">
                  <c:v>0</c:v>
                </c:pt>
                <c:pt idx="8">
                  <c:v>17.262676501632068</c:v>
                </c:pt>
                <c:pt idx="9">
                  <c:v>19</c:v>
                </c:pt>
              </c:numCache>
            </c:numRef>
          </c:val>
        </c:ser>
        <c:ser>
          <c:idx val="8"/>
          <c:order val="8"/>
          <c:val>
            <c:numRef>
              <c:f>'MDS example'!$Q$24:$Z$24</c:f>
              <c:numCache>
                <c:formatCode>General</c:formatCode>
                <c:ptCount val="10"/>
                <c:pt idx="0">
                  <c:v>32.726136343907143</c:v>
                </c:pt>
                <c:pt idx="1">
                  <c:v>34.322004603461025</c:v>
                </c:pt>
                <c:pt idx="2">
                  <c:v>33.941125496954278</c:v>
                </c:pt>
                <c:pt idx="3">
                  <c:v>33.600595232822883</c:v>
                </c:pt>
                <c:pt idx="4">
                  <c:v>57.489129407219238</c:v>
                </c:pt>
                <c:pt idx="5">
                  <c:v>56.753854494650845</c:v>
                </c:pt>
                <c:pt idx="6">
                  <c:v>57.766772456144714</c:v>
                </c:pt>
                <c:pt idx="7">
                  <c:v>17.262676501632068</c:v>
                </c:pt>
                <c:pt idx="8">
                  <c:v>0</c:v>
                </c:pt>
                <c:pt idx="9">
                  <c:v>20.124611797498108</c:v>
                </c:pt>
              </c:numCache>
            </c:numRef>
          </c:val>
        </c:ser>
        <c:ser>
          <c:idx val="9"/>
          <c:order val="9"/>
          <c:val>
            <c:numRef>
              <c:f>'MDS example'!$Q$25:$Z$25</c:f>
              <c:numCache>
                <c:formatCode>General</c:formatCode>
                <c:ptCount val="10"/>
                <c:pt idx="0">
                  <c:v>34.84250278036869</c:v>
                </c:pt>
                <c:pt idx="1">
                  <c:v>35.566838487557476</c:v>
                </c:pt>
                <c:pt idx="2">
                  <c:v>34.942810419312295</c:v>
                </c:pt>
                <c:pt idx="3">
                  <c:v>35.185224171518364</c:v>
                </c:pt>
                <c:pt idx="4">
                  <c:v>58.600341295934449</c:v>
                </c:pt>
                <c:pt idx="5">
                  <c:v>57.480431452799657</c:v>
                </c:pt>
                <c:pt idx="6">
                  <c:v>58.634460857076192</c:v>
                </c:pt>
                <c:pt idx="7">
                  <c:v>19</c:v>
                </c:pt>
                <c:pt idx="8">
                  <c:v>20.124611797498108</c:v>
                </c:pt>
                <c:pt idx="9">
                  <c:v>0</c:v>
                </c:pt>
              </c:numCache>
            </c:numRef>
          </c:val>
        </c:ser>
        <c:bandFmts/>
        <c:axId val="243723648"/>
        <c:axId val="243541120"/>
        <c:axId val="243681472"/>
      </c:surfaceChart>
      <c:catAx>
        <c:axId val="243723648"/>
        <c:scaling>
          <c:orientation val="minMax"/>
        </c:scaling>
        <c:delete val="0"/>
        <c:axPos val="b"/>
        <c:majorTickMark val="out"/>
        <c:minorTickMark val="none"/>
        <c:tickLblPos val="nextTo"/>
        <c:crossAx val="243541120"/>
        <c:crosses val="autoZero"/>
        <c:auto val="1"/>
        <c:lblAlgn val="ctr"/>
        <c:lblOffset val="100"/>
        <c:noMultiLvlLbl val="0"/>
      </c:catAx>
      <c:valAx>
        <c:axId val="243541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one"/>
        <c:crossAx val="243723648"/>
        <c:crosses val="autoZero"/>
        <c:crossBetween val="midCat"/>
      </c:valAx>
      <c:serAx>
        <c:axId val="243681472"/>
        <c:scaling>
          <c:orientation val="minMax"/>
        </c:scaling>
        <c:delete val="0"/>
        <c:axPos val="b"/>
        <c:majorTickMark val="out"/>
        <c:minorTickMark val="none"/>
        <c:tickLblPos val="nextTo"/>
        <c:crossAx val="243541120"/>
        <c:crosses val="autoZero"/>
      </c:ser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pl-PL"/>
        </a:p>
      </c:txPr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'MDS example'!$R$31</c:f>
              <c:strCache>
                <c:ptCount val="1"/>
                <c:pt idx="0">
                  <c:v>Y</c:v>
                </c:pt>
              </c:strCache>
            </c:strRef>
          </c:tx>
          <c:spPr>
            <a:ln w="28575">
              <a:noFill/>
            </a:ln>
          </c:spPr>
          <c:xVal>
            <c:numRef>
              <c:f>'MDS example'!$Q$32:$Q$41</c:f>
              <c:numCache>
                <c:formatCode>General</c:formatCode>
                <c:ptCount val="10"/>
                <c:pt idx="0">
                  <c:v>2.8742366576902274</c:v>
                </c:pt>
                <c:pt idx="1">
                  <c:v>6.2022401709721011</c:v>
                </c:pt>
                <c:pt idx="2">
                  <c:v>15.646709555453185</c:v>
                </c:pt>
                <c:pt idx="3">
                  <c:v>10.899502380158955</c:v>
                </c:pt>
                <c:pt idx="4">
                  <c:v>1.3498634367774693</c:v>
                </c:pt>
                <c:pt idx="5">
                  <c:v>10.555102591192059</c:v>
                </c:pt>
                <c:pt idx="6">
                  <c:v>18.270278606930791</c:v>
                </c:pt>
                <c:pt idx="7">
                  <c:v>0</c:v>
                </c:pt>
                <c:pt idx="8">
                  <c:v>10.62611918076397</c:v>
                </c:pt>
                <c:pt idx="9">
                  <c:v>24.191325699172385</c:v>
                </c:pt>
              </c:numCache>
            </c:numRef>
          </c:xVal>
          <c:yVal>
            <c:numRef>
              <c:f>'MDS example'!$R$32:$R$41</c:f>
              <c:numCache>
                <c:formatCode>General</c:formatCode>
                <c:ptCount val="10"/>
                <c:pt idx="0">
                  <c:v>28.569805885597383</c:v>
                </c:pt>
                <c:pt idx="1">
                  <c:v>25.937320883741886</c:v>
                </c:pt>
                <c:pt idx="2">
                  <c:v>26.819954203366947</c:v>
                </c:pt>
                <c:pt idx="3">
                  <c:v>27.110412144885743</c:v>
                </c:pt>
                <c:pt idx="4">
                  <c:v>1.7957210064760658</c:v>
                </c:pt>
                <c:pt idx="5">
                  <c:v>1.8032396083950644</c:v>
                </c:pt>
                <c:pt idx="6">
                  <c:v>1.9160219475118176</c:v>
                </c:pt>
                <c:pt idx="7">
                  <c:v>58.103749706420231</c:v>
                </c:pt>
                <c:pt idx="8">
                  <c:v>59.920057270002161</c:v>
                </c:pt>
                <c:pt idx="9">
                  <c:v>58.207481832369183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575808"/>
        <c:axId val="243589888"/>
      </c:scatterChart>
      <c:valAx>
        <c:axId val="243575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43589888"/>
        <c:crosses val="autoZero"/>
        <c:crossBetween val="midCat"/>
      </c:valAx>
      <c:valAx>
        <c:axId val="243589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35758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PCA!$BY$28</c:f>
              <c:strCache>
                <c:ptCount val="1"/>
                <c:pt idx="0">
                  <c:v>all obs</c:v>
                </c:pt>
              </c:strCache>
            </c:strRef>
          </c:tx>
          <c:spPr>
            <a:ln w="28575">
              <a:noFill/>
            </a:ln>
          </c:spPr>
          <c:xVal>
            <c:numRef>
              <c:f>PCA!$BX$29:$BX$408</c:f>
              <c:numCache>
                <c:formatCode>General</c:formatCode>
                <c:ptCount val="380"/>
                <c:pt idx="0">
                  <c:v>1.4990741632007101</c:v>
                </c:pt>
                <c:pt idx="1">
                  <c:v>1.3091336449031532</c:v>
                </c:pt>
                <c:pt idx="2">
                  <c:v>1.0956019899950453</c:v>
                </c:pt>
                <c:pt idx="3">
                  <c:v>0.84235678619555932</c:v>
                </c:pt>
                <c:pt idx="4">
                  <c:v>-0.5235126530697739</c:v>
                </c:pt>
                <c:pt idx="5">
                  <c:v>0.36715490926166217</c:v>
                </c:pt>
                <c:pt idx="6">
                  <c:v>-0.41027255268158341</c:v>
                </c:pt>
                <c:pt idx="7">
                  <c:v>1.5424431853955696</c:v>
                </c:pt>
                <c:pt idx="8">
                  <c:v>0.83813374790257189</c:v>
                </c:pt>
                <c:pt idx="9">
                  <c:v>1.6873662981164899</c:v>
                </c:pt>
                <c:pt idx="10">
                  <c:v>0.55700663154665542</c:v>
                </c:pt>
                <c:pt idx="11">
                  <c:v>-2.9696663251610462</c:v>
                </c:pt>
                <c:pt idx="12">
                  <c:v>0.81804953193592678</c:v>
                </c:pt>
                <c:pt idx="13">
                  <c:v>1.1457277124701928</c:v>
                </c:pt>
                <c:pt idx="14">
                  <c:v>1.2114293807879746</c:v>
                </c:pt>
                <c:pt idx="15">
                  <c:v>0.2011400928440524</c:v>
                </c:pt>
                <c:pt idx="16">
                  <c:v>0.24982488908315886</c:v>
                </c:pt>
                <c:pt idx="17">
                  <c:v>1.3650126594638339</c:v>
                </c:pt>
                <c:pt idx="18">
                  <c:v>1.4008256110113066</c:v>
                </c:pt>
                <c:pt idx="19">
                  <c:v>1.328675031374027</c:v>
                </c:pt>
                <c:pt idx="20">
                  <c:v>1.6039222003423697</c:v>
                </c:pt>
                <c:pt idx="21">
                  <c:v>1.7031678558210337</c:v>
                </c:pt>
                <c:pt idx="22">
                  <c:v>0.71628686554147503</c:v>
                </c:pt>
                <c:pt idx="23">
                  <c:v>-0.31124406406430333</c:v>
                </c:pt>
                <c:pt idx="24">
                  <c:v>-0.41282988528697734</c:v>
                </c:pt>
                <c:pt idx="25">
                  <c:v>-1.3622620359421103</c:v>
                </c:pt>
                <c:pt idx="26">
                  <c:v>0.72124239997848716</c:v>
                </c:pt>
                <c:pt idx="27">
                  <c:v>1.3581396697754384</c:v>
                </c:pt>
                <c:pt idx="28">
                  <c:v>-0.6803797979755869</c:v>
                </c:pt>
                <c:pt idx="29">
                  <c:v>1.7059124566256945</c:v>
                </c:pt>
                <c:pt idx="30">
                  <c:v>1.7154702196227654</c:v>
                </c:pt>
                <c:pt idx="31">
                  <c:v>0.62122342693489863</c:v>
                </c:pt>
                <c:pt idx="32">
                  <c:v>0.82075551264219937</c:v>
                </c:pt>
                <c:pt idx="33">
                  <c:v>-1.7782844438250045</c:v>
                </c:pt>
                <c:pt idx="34">
                  <c:v>0.94807199004398157</c:v>
                </c:pt>
                <c:pt idx="35">
                  <c:v>1.9932179281100082</c:v>
                </c:pt>
                <c:pt idx="36">
                  <c:v>0.20129461328893747</c:v>
                </c:pt>
                <c:pt idx="37">
                  <c:v>0.36057037479784271</c:v>
                </c:pt>
                <c:pt idx="38">
                  <c:v>-2.6577138421693975</c:v>
                </c:pt>
                <c:pt idx="39">
                  <c:v>0.97075218315560619</c:v>
                </c:pt>
                <c:pt idx="40">
                  <c:v>1.39009335337882</c:v>
                </c:pt>
                <c:pt idx="41">
                  <c:v>-2.5677238835169054</c:v>
                </c:pt>
                <c:pt idx="42">
                  <c:v>-0.22939952599705798</c:v>
                </c:pt>
                <c:pt idx="43">
                  <c:v>-0.36724681581945395</c:v>
                </c:pt>
                <c:pt idx="44">
                  <c:v>-7.672765675704972E-2</c:v>
                </c:pt>
                <c:pt idx="45">
                  <c:v>-0.26476253412605638</c:v>
                </c:pt>
                <c:pt idx="46">
                  <c:v>0.55175162440299175</c:v>
                </c:pt>
                <c:pt idx="47">
                  <c:v>1.5500079832568743</c:v>
                </c:pt>
                <c:pt idx="48">
                  <c:v>0.91355879957849617</c:v>
                </c:pt>
                <c:pt idx="49">
                  <c:v>0.77677503984815688</c:v>
                </c:pt>
                <c:pt idx="50">
                  <c:v>0.50069182784630251</c:v>
                </c:pt>
                <c:pt idx="51">
                  <c:v>1.2235256487237762</c:v>
                </c:pt>
                <c:pt idx="52">
                  <c:v>1.3925153487050685</c:v>
                </c:pt>
                <c:pt idx="53">
                  <c:v>1.212050482051477</c:v>
                </c:pt>
                <c:pt idx="54">
                  <c:v>1.0843640038508275</c:v>
                </c:pt>
                <c:pt idx="55">
                  <c:v>0.60725198300492922</c:v>
                </c:pt>
                <c:pt idx="56">
                  <c:v>0.80642314374657054</c:v>
                </c:pt>
                <c:pt idx="57">
                  <c:v>2.0100326135820972E-3</c:v>
                </c:pt>
                <c:pt idx="58">
                  <c:v>-0.67245049086541986</c:v>
                </c:pt>
                <c:pt idx="59">
                  <c:v>0.56416397070537705</c:v>
                </c:pt>
                <c:pt idx="60">
                  <c:v>1.1918180014607143</c:v>
                </c:pt>
                <c:pt idx="61">
                  <c:v>1.4547528990347112</c:v>
                </c:pt>
                <c:pt idx="62">
                  <c:v>-0.62303956694129159</c:v>
                </c:pt>
                <c:pt idx="63">
                  <c:v>1.2082573216398751</c:v>
                </c:pt>
                <c:pt idx="64">
                  <c:v>1.215877371994406</c:v>
                </c:pt>
                <c:pt idx="65">
                  <c:v>0.12827749960890689</c:v>
                </c:pt>
                <c:pt idx="66">
                  <c:v>1.0630636004512972</c:v>
                </c:pt>
                <c:pt idx="67">
                  <c:v>0.92396921632579609</c:v>
                </c:pt>
                <c:pt idx="68">
                  <c:v>1.6619945881312785</c:v>
                </c:pt>
                <c:pt idx="69">
                  <c:v>0.96173334293742363</c:v>
                </c:pt>
                <c:pt idx="70">
                  <c:v>-5.4922426643862732</c:v>
                </c:pt>
                <c:pt idx="71">
                  <c:v>0.92011148134581666</c:v>
                </c:pt>
                <c:pt idx="72">
                  <c:v>0.53924701997569502</c:v>
                </c:pt>
                <c:pt idx="73">
                  <c:v>-0.81105818962362319</c:v>
                </c:pt>
                <c:pt idx="74">
                  <c:v>2.2435842313220399E-4</c:v>
                </c:pt>
                <c:pt idx="75">
                  <c:v>-1.1882731752592259</c:v>
                </c:pt>
                <c:pt idx="76">
                  <c:v>-0.41201181912060253</c:v>
                </c:pt>
                <c:pt idx="77">
                  <c:v>0.73953233514009675</c:v>
                </c:pt>
                <c:pt idx="78">
                  <c:v>-3.2556647624348218</c:v>
                </c:pt>
                <c:pt idx="79">
                  <c:v>0.35433863731422433</c:v>
                </c:pt>
                <c:pt idx="80">
                  <c:v>1.2604940930204733</c:v>
                </c:pt>
                <c:pt idx="81">
                  <c:v>0.15178142184161769</c:v>
                </c:pt>
                <c:pt idx="82">
                  <c:v>-0.5692044989020717</c:v>
                </c:pt>
                <c:pt idx="83">
                  <c:v>5.764295581840647E-2</c:v>
                </c:pt>
                <c:pt idx="84">
                  <c:v>-0.54823132575576006</c:v>
                </c:pt>
                <c:pt idx="85">
                  <c:v>0.68159406433263348</c:v>
                </c:pt>
                <c:pt idx="86">
                  <c:v>1.2546171919910609</c:v>
                </c:pt>
                <c:pt idx="87">
                  <c:v>1.3493356561910936</c:v>
                </c:pt>
                <c:pt idx="88">
                  <c:v>0.62532756240134268</c:v>
                </c:pt>
                <c:pt idx="89">
                  <c:v>-0.28974407555897708</c:v>
                </c:pt>
                <c:pt idx="90">
                  <c:v>-0.40081126140393292</c:v>
                </c:pt>
                <c:pt idx="91">
                  <c:v>0.81713665331584029</c:v>
                </c:pt>
                <c:pt idx="92">
                  <c:v>-0.57230776117505344</c:v>
                </c:pt>
                <c:pt idx="93">
                  <c:v>-16.498935084111693</c:v>
                </c:pt>
                <c:pt idx="94">
                  <c:v>-0.37142629531316446</c:v>
                </c:pt>
                <c:pt idx="95">
                  <c:v>0.53350757137035032</c:v>
                </c:pt>
                <c:pt idx="96">
                  <c:v>1.0850155373325066</c:v>
                </c:pt>
                <c:pt idx="97">
                  <c:v>-2.6766558116926622</c:v>
                </c:pt>
                <c:pt idx="98">
                  <c:v>9.3731100137612378E-2</c:v>
                </c:pt>
                <c:pt idx="99">
                  <c:v>1.4562445311529146</c:v>
                </c:pt>
                <c:pt idx="100">
                  <c:v>1.0013227032661458</c:v>
                </c:pt>
                <c:pt idx="101">
                  <c:v>0.68201172169507973</c:v>
                </c:pt>
                <c:pt idx="102">
                  <c:v>0.79789331951816189</c:v>
                </c:pt>
                <c:pt idx="103">
                  <c:v>0.87892132044580684</c:v>
                </c:pt>
                <c:pt idx="104">
                  <c:v>-0.20254806557181931</c:v>
                </c:pt>
                <c:pt idx="105">
                  <c:v>1.0811233269410208</c:v>
                </c:pt>
                <c:pt idx="106">
                  <c:v>0.93480807769532115</c:v>
                </c:pt>
                <c:pt idx="107">
                  <c:v>0.81156890823113592</c:v>
                </c:pt>
                <c:pt idx="108">
                  <c:v>0.31086355007531158</c:v>
                </c:pt>
                <c:pt idx="109">
                  <c:v>1.0879849165041495</c:v>
                </c:pt>
                <c:pt idx="110">
                  <c:v>5.9354014773170836E-2</c:v>
                </c:pt>
                <c:pt idx="111">
                  <c:v>1.2751173534924103</c:v>
                </c:pt>
                <c:pt idx="112">
                  <c:v>7.6107760629955029E-2</c:v>
                </c:pt>
                <c:pt idx="113">
                  <c:v>0.79696588527104639</c:v>
                </c:pt>
                <c:pt idx="114">
                  <c:v>0.85142113785210194</c:v>
                </c:pt>
                <c:pt idx="115">
                  <c:v>1.4225902583612093</c:v>
                </c:pt>
                <c:pt idx="116">
                  <c:v>-0.97152884968160691</c:v>
                </c:pt>
                <c:pt idx="117">
                  <c:v>1.8263531635581522</c:v>
                </c:pt>
                <c:pt idx="118">
                  <c:v>-11.83326673700285</c:v>
                </c:pt>
                <c:pt idx="119">
                  <c:v>-6.2618588350974058E-2</c:v>
                </c:pt>
                <c:pt idx="120">
                  <c:v>1.3201377039779905</c:v>
                </c:pt>
                <c:pt idx="121">
                  <c:v>-1.5013171519921396</c:v>
                </c:pt>
                <c:pt idx="122">
                  <c:v>-0.96227426158011131</c:v>
                </c:pt>
                <c:pt idx="123">
                  <c:v>0.27075580315359721</c:v>
                </c:pt>
                <c:pt idx="124">
                  <c:v>0.97388075699640275</c:v>
                </c:pt>
                <c:pt idx="125">
                  <c:v>0.98927735711039966</c:v>
                </c:pt>
                <c:pt idx="126">
                  <c:v>0.45173493765348571</c:v>
                </c:pt>
                <c:pt idx="127">
                  <c:v>0.85413285756106649</c:v>
                </c:pt>
                <c:pt idx="128">
                  <c:v>1.2121043291515541</c:v>
                </c:pt>
                <c:pt idx="129">
                  <c:v>1.6209009549778612</c:v>
                </c:pt>
                <c:pt idx="130">
                  <c:v>0.54307518253268949</c:v>
                </c:pt>
                <c:pt idx="131">
                  <c:v>0.90714645454183696</c:v>
                </c:pt>
                <c:pt idx="132">
                  <c:v>1.3815995670711445</c:v>
                </c:pt>
                <c:pt idx="133">
                  <c:v>1.7839394728999616</c:v>
                </c:pt>
                <c:pt idx="134">
                  <c:v>-0.3970157335799378</c:v>
                </c:pt>
                <c:pt idx="135">
                  <c:v>0.13379758361633415</c:v>
                </c:pt>
                <c:pt idx="136">
                  <c:v>1.2524697090665706</c:v>
                </c:pt>
                <c:pt idx="137">
                  <c:v>0.40036050734973772</c:v>
                </c:pt>
                <c:pt idx="138">
                  <c:v>0.8046772206540076</c:v>
                </c:pt>
                <c:pt idx="139">
                  <c:v>1.106345552653518</c:v>
                </c:pt>
                <c:pt idx="140">
                  <c:v>1.4663900453988548</c:v>
                </c:pt>
                <c:pt idx="141">
                  <c:v>0.9517730808973659</c:v>
                </c:pt>
                <c:pt idx="142">
                  <c:v>-0.71483224694057956</c:v>
                </c:pt>
                <c:pt idx="143">
                  <c:v>0.71256314773208862</c:v>
                </c:pt>
                <c:pt idx="144">
                  <c:v>0.25103100665703171</c:v>
                </c:pt>
                <c:pt idx="145">
                  <c:v>0.96131518644039138</c:v>
                </c:pt>
                <c:pt idx="146">
                  <c:v>1.0280353653140426</c:v>
                </c:pt>
                <c:pt idx="147">
                  <c:v>-0.15185744068863755</c:v>
                </c:pt>
                <c:pt idx="148">
                  <c:v>0.10679171253998876</c:v>
                </c:pt>
                <c:pt idx="149">
                  <c:v>-1.6783937190189135</c:v>
                </c:pt>
                <c:pt idx="150">
                  <c:v>-1.8234133021412182</c:v>
                </c:pt>
                <c:pt idx="151">
                  <c:v>3.7031560630135019E-2</c:v>
                </c:pt>
                <c:pt idx="152">
                  <c:v>0.48434082174706972</c:v>
                </c:pt>
                <c:pt idx="153">
                  <c:v>-7.6931853992507654E-2</c:v>
                </c:pt>
                <c:pt idx="154">
                  <c:v>0.78372211038712347</c:v>
                </c:pt>
                <c:pt idx="155">
                  <c:v>0.51715403057332532</c:v>
                </c:pt>
                <c:pt idx="156">
                  <c:v>1.2883103655369423</c:v>
                </c:pt>
                <c:pt idx="157">
                  <c:v>0.33237067337899018</c:v>
                </c:pt>
                <c:pt idx="158">
                  <c:v>-1.7637026160768867</c:v>
                </c:pt>
                <c:pt idx="159">
                  <c:v>-0.57751072378606139</c:v>
                </c:pt>
                <c:pt idx="160">
                  <c:v>-0.20578182935343445</c:v>
                </c:pt>
                <c:pt idx="161">
                  <c:v>-0.59154674659454154</c:v>
                </c:pt>
                <c:pt idx="162">
                  <c:v>-43.354049612506287</c:v>
                </c:pt>
                <c:pt idx="163">
                  <c:v>1.0062889614682602</c:v>
                </c:pt>
                <c:pt idx="164">
                  <c:v>0.2579662091428776</c:v>
                </c:pt>
                <c:pt idx="165">
                  <c:v>-0.95531987296130294</c:v>
                </c:pt>
                <c:pt idx="166">
                  <c:v>-0.8432173863575374</c:v>
                </c:pt>
                <c:pt idx="167">
                  <c:v>1.1838390954731388</c:v>
                </c:pt>
                <c:pt idx="168">
                  <c:v>0.69397026990096622</c:v>
                </c:pt>
                <c:pt idx="169">
                  <c:v>1.2011977603889805</c:v>
                </c:pt>
                <c:pt idx="170">
                  <c:v>0.86972207491535247</c:v>
                </c:pt>
                <c:pt idx="171">
                  <c:v>1.6626136320532234</c:v>
                </c:pt>
                <c:pt idx="172">
                  <c:v>1.0281076744091668</c:v>
                </c:pt>
                <c:pt idx="173">
                  <c:v>0.6936931551369121</c:v>
                </c:pt>
                <c:pt idx="174">
                  <c:v>0.80130730364717984</c:v>
                </c:pt>
                <c:pt idx="175">
                  <c:v>0.81907567253715241</c:v>
                </c:pt>
                <c:pt idx="176">
                  <c:v>0.92438415370681071</c:v>
                </c:pt>
                <c:pt idx="177">
                  <c:v>0.68377728141937177</c:v>
                </c:pt>
                <c:pt idx="178">
                  <c:v>0.70480112486879187</c:v>
                </c:pt>
                <c:pt idx="179">
                  <c:v>-0.32207212544307795</c:v>
                </c:pt>
                <c:pt idx="180">
                  <c:v>7.652114573201016E-2</c:v>
                </c:pt>
                <c:pt idx="181">
                  <c:v>0.29309841264283321</c:v>
                </c:pt>
                <c:pt idx="182">
                  <c:v>0.45224570066830283</c:v>
                </c:pt>
                <c:pt idx="183">
                  <c:v>0.99986028637846558</c:v>
                </c:pt>
                <c:pt idx="184">
                  <c:v>-1.34922459811277E-2</c:v>
                </c:pt>
                <c:pt idx="185">
                  <c:v>1.1718151399003709</c:v>
                </c:pt>
                <c:pt idx="186">
                  <c:v>0.52962142599701811</c:v>
                </c:pt>
                <c:pt idx="187">
                  <c:v>0.90175582897068596</c:v>
                </c:pt>
                <c:pt idx="188">
                  <c:v>-6.2510796252092091E-2</c:v>
                </c:pt>
                <c:pt idx="189">
                  <c:v>1.3438303440250012</c:v>
                </c:pt>
                <c:pt idx="190">
                  <c:v>1.6209178463644041</c:v>
                </c:pt>
                <c:pt idx="191">
                  <c:v>-0.54800863044051606</c:v>
                </c:pt>
                <c:pt idx="192">
                  <c:v>0.50370086140595749</c:v>
                </c:pt>
                <c:pt idx="193">
                  <c:v>1.0184806255092227</c:v>
                </c:pt>
                <c:pt idx="194">
                  <c:v>0.31689832987625144</c:v>
                </c:pt>
                <c:pt idx="195">
                  <c:v>0.41102126528536054</c:v>
                </c:pt>
                <c:pt idx="196">
                  <c:v>1.1218951216657658</c:v>
                </c:pt>
                <c:pt idx="197">
                  <c:v>-4.1617536434084643</c:v>
                </c:pt>
                <c:pt idx="198">
                  <c:v>0.70088302257340163</c:v>
                </c:pt>
                <c:pt idx="199">
                  <c:v>0.7722854195676313</c:v>
                </c:pt>
                <c:pt idx="200">
                  <c:v>0.46703924696236887</c:v>
                </c:pt>
                <c:pt idx="201">
                  <c:v>0.8816328977254061</c:v>
                </c:pt>
                <c:pt idx="202">
                  <c:v>0.90562349287986998</c:v>
                </c:pt>
                <c:pt idx="203">
                  <c:v>1.56668060466801</c:v>
                </c:pt>
                <c:pt idx="204">
                  <c:v>-6.3246112890114423</c:v>
                </c:pt>
                <c:pt idx="205">
                  <c:v>1.1401889644843153</c:v>
                </c:pt>
                <c:pt idx="206">
                  <c:v>0.79349329470577923</c:v>
                </c:pt>
                <c:pt idx="207">
                  <c:v>-0.26043602421131823</c:v>
                </c:pt>
                <c:pt idx="208">
                  <c:v>0.99084970365804392</c:v>
                </c:pt>
                <c:pt idx="209">
                  <c:v>-0.41633427361698527</c:v>
                </c:pt>
                <c:pt idx="210">
                  <c:v>1.1809376281095445</c:v>
                </c:pt>
                <c:pt idx="211">
                  <c:v>-12.311851435568256</c:v>
                </c:pt>
                <c:pt idx="212">
                  <c:v>-0.41116807254390952</c:v>
                </c:pt>
                <c:pt idx="213">
                  <c:v>1.0204431125600861</c:v>
                </c:pt>
                <c:pt idx="214">
                  <c:v>1.0205085339105315</c:v>
                </c:pt>
                <c:pt idx="215">
                  <c:v>0.87143498533636832</c:v>
                </c:pt>
                <c:pt idx="216">
                  <c:v>1.3834436160473538</c:v>
                </c:pt>
                <c:pt idx="217">
                  <c:v>1.5587494731461311</c:v>
                </c:pt>
                <c:pt idx="218">
                  <c:v>-0.42629419060423512</c:v>
                </c:pt>
                <c:pt idx="219">
                  <c:v>-0.32918151990736161</c:v>
                </c:pt>
                <c:pt idx="220">
                  <c:v>-0.32777489731046539</c:v>
                </c:pt>
                <c:pt idx="221">
                  <c:v>0.93602041713573825</c:v>
                </c:pt>
                <c:pt idx="222">
                  <c:v>0.38195609317238222</c:v>
                </c:pt>
                <c:pt idx="223">
                  <c:v>4.8469522183928554E-2</c:v>
                </c:pt>
                <c:pt idx="224">
                  <c:v>-2.8151608731835376</c:v>
                </c:pt>
                <c:pt idx="225">
                  <c:v>0.14154062689514429</c:v>
                </c:pt>
                <c:pt idx="226">
                  <c:v>0.43383219841031101</c:v>
                </c:pt>
                <c:pt idx="227">
                  <c:v>0.76865874000361856</c:v>
                </c:pt>
                <c:pt idx="228">
                  <c:v>0.83391957612450018</c:v>
                </c:pt>
                <c:pt idx="229">
                  <c:v>0.72602213278340877</c:v>
                </c:pt>
                <c:pt idx="230">
                  <c:v>0.44458420340571791</c:v>
                </c:pt>
                <c:pt idx="231">
                  <c:v>1.4806635078354342</c:v>
                </c:pt>
                <c:pt idx="232">
                  <c:v>0.22276173482117378</c:v>
                </c:pt>
                <c:pt idx="233">
                  <c:v>1.2032065703301553</c:v>
                </c:pt>
                <c:pt idx="234">
                  <c:v>-9.37890999093608</c:v>
                </c:pt>
                <c:pt idx="235">
                  <c:v>0.89321014073705463</c:v>
                </c:pt>
                <c:pt idx="236">
                  <c:v>-0.21405020609150213</c:v>
                </c:pt>
                <c:pt idx="237">
                  <c:v>1.2610324552154373</c:v>
                </c:pt>
                <c:pt idx="238">
                  <c:v>1.5197509839341798</c:v>
                </c:pt>
                <c:pt idx="239">
                  <c:v>1.2407914555656021</c:v>
                </c:pt>
                <c:pt idx="240">
                  <c:v>0.49895472984951572</c:v>
                </c:pt>
                <c:pt idx="241">
                  <c:v>0.81071504467593891</c:v>
                </c:pt>
                <c:pt idx="242">
                  <c:v>1.6644329727202687</c:v>
                </c:pt>
                <c:pt idx="243">
                  <c:v>1.5316186095693824</c:v>
                </c:pt>
                <c:pt idx="244">
                  <c:v>1.2193999275408967</c:v>
                </c:pt>
                <c:pt idx="245">
                  <c:v>1.3005120604842286</c:v>
                </c:pt>
                <c:pt idx="246">
                  <c:v>-6.247269173050646</c:v>
                </c:pt>
                <c:pt idx="247">
                  <c:v>-12.917361113489784</c:v>
                </c:pt>
                <c:pt idx="248">
                  <c:v>1.6104897202549602</c:v>
                </c:pt>
                <c:pt idx="249">
                  <c:v>0.34579744959722691</c:v>
                </c:pt>
                <c:pt idx="250">
                  <c:v>1.3997722993794481</c:v>
                </c:pt>
                <c:pt idx="251">
                  <c:v>0.91899709291414466</c:v>
                </c:pt>
                <c:pt idx="252">
                  <c:v>1.2050256813416409</c:v>
                </c:pt>
                <c:pt idx="253">
                  <c:v>0.22160399153772267</c:v>
                </c:pt>
                <c:pt idx="254">
                  <c:v>1.5486694934550151</c:v>
                </c:pt>
                <c:pt idx="255">
                  <c:v>1.4744322307453395</c:v>
                </c:pt>
                <c:pt idx="256">
                  <c:v>1.4195247400321773</c:v>
                </c:pt>
                <c:pt idx="257">
                  <c:v>1.6294626041304723</c:v>
                </c:pt>
                <c:pt idx="258">
                  <c:v>1.6568395432826026</c:v>
                </c:pt>
                <c:pt idx="259">
                  <c:v>1.6106197697814653</c:v>
                </c:pt>
                <c:pt idx="260">
                  <c:v>1.3309699744177606E-2</c:v>
                </c:pt>
                <c:pt idx="261">
                  <c:v>1.4912246023588274</c:v>
                </c:pt>
                <c:pt idx="262">
                  <c:v>0.41563938838754133</c:v>
                </c:pt>
                <c:pt idx="263">
                  <c:v>0.83172308172639042</c:v>
                </c:pt>
                <c:pt idx="264">
                  <c:v>-0.18576659006056193</c:v>
                </c:pt>
                <c:pt idx="265">
                  <c:v>0.94319930988586287</c:v>
                </c:pt>
                <c:pt idx="266">
                  <c:v>0.19499900984000401</c:v>
                </c:pt>
                <c:pt idx="267">
                  <c:v>6.2529645651663232E-2</c:v>
                </c:pt>
                <c:pt idx="268">
                  <c:v>0.11435193287327042</c:v>
                </c:pt>
                <c:pt idx="269">
                  <c:v>-0.36928332037107275</c:v>
                </c:pt>
                <c:pt idx="270">
                  <c:v>1.4605735976196244</c:v>
                </c:pt>
                <c:pt idx="271">
                  <c:v>-4.0523071720144124</c:v>
                </c:pt>
                <c:pt idx="272">
                  <c:v>-0.38383831800469992</c:v>
                </c:pt>
                <c:pt idx="273">
                  <c:v>7.9587043080019917E-2</c:v>
                </c:pt>
                <c:pt idx="274">
                  <c:v>0.17988680191087167</c:v>
                </c:pt>
                <c:pt idx="275">
                  <c:v>1.0994381014862749</c:v>
                </c:pt>
                <c:pt idx="276">
                  <c:v>-2.0754905201199194</c:v>
                </c:pt>
                <c:pt idx="277">
                  <c:v>-1.6102034997541628</c:v>
                </c:pt>
                <c:pt idx="278">
                  <c:v>0.45845151139549606</c:v>
                </c:pt>
                <c:pt idx="279">
                  <c:v>-1.0332795505764596</c:v>
                </c:pt>
                <c:pt idx="280">
                  <c:v>-0.6774778908219401</c:v>
                </c:pt>
                <c:pt idx="281">
                  <c:v>-1.2169066298707398</c:v>
                </c:pt>
                <c:pt idx="282">
                  <c:v>-1.1089827956364209</c:v>
                </c:pt>
                <c:pt idx="283">
                  <c:v>2.0239481933645553</c:v>
                </c:pt>
                <c:pt idx="284">
                  <c:v>2.1601486350563643</c:v>
                </c:pt>
                <c:pt idx="285">
                  <c:v>-0.39959926605213258</c:v>
                </c:pt>
                <c:pt idx="286">
                  <c:v>-2.805673453810015</c:v>
                </c:pt>
                <c:pt idx="287">
                  <c:v>1.3967230260125494</c:v>
                </c:pt>
                <c:pt idx="288">
                  <c:v>1.7609490835850554</c:v>
                </c:pt>
                <c:pt idx="289">
                  <c:v>1.1808362782249475</c:v>
                </c:pt>
                <c:pt idx="290">
                  <c:v>1.4764342126657379</c:v>
                </c:pt>
                <c:pt idx="291">
                  <c:v>0.8019716783198203</c:v>
                </c:pt>
                <c:pt idx="292">
                  <c:v>0.63872398730059787</c:v>
                </c:pt>
                <c:pt idx="293">
                  <c:v>0.6205847076536658</c:v>
                </c:pt>
                <c:pt idx="294">
                  <c:v>1.6081616386053215</c:v>
                </c:pt>
                <c:pt idx="295">
                  <c:v>-0.26020481689901004</c:v>
                </c:pt>
                <c:pt idx="296">
                  <c:v>1.4794130910303815</c:v>
                </c:pt>
                <c:pt idx="297">
                  <c:v>1.2692637573311025</c:v>
                </c:pt>
                <c:pt idx="298">
                  <c:v>1.8213317426903617</c:v>
                </c:pt>
                <c:pt idx="299">
                  <c:v>1.207704656623223</c:v>
                </c:pt>
                <c:pt idx="300">
                  <c:v>1.7828139264239955</c:v>
                </c:pt>
                <c:pt idx="301">
                  <c:v>-1.3224666853308564</c:v>
                </c:pt>
                <c:pt idx="302">
                  <c:v>-0.39987023380190734</c:v>
                </c:pt>
                <c:pt idx="303">
                  <c:v>0.4444178091845894</c:v>
                </c:pt>
                <c:pt idx="304">
                  <c:v>1.0928660386866533</c:v>
                </c:pt>
                <c:pt idx="305">
                  <c:v>-0.52558772168298074</c:v>
                </c:pt>
                <c:pt idx="306">
                  <c:v>-2.7834648466294358</c:v>
                </c:pt>
                <c:pt idx="307">
                  <c:v>0.98166388024334128</c:v>
                </c:pt>
                <c:pt idx="308">
                  <c:v>-0.26859450463456092</c:v>
                </c:pt>
                <c:pt idx="309">
                  <c:v>0.58582241129911305</c:v>
                </c:pt>
                <c:pt idx="310">
                  <c:v>-0.53209523427765693</c:v>
                </c:pt>
                <c:pt idx="311">
                  <c:v>0.86208137379249017</c:v>
                </c:pt>
                <c:pt idx="312">
                  <c:v>-0.38751098422456642</c:v>
                </c:pt>
                <c:pt idx="313">
                  <c:v>-0.23314626964658372</c:v>
                </c:pt>
                <c:pt idx="314">
                  <c:v>0.44782853257045185</c:v>
                </c:pt>
                <c:pt idx="315">
                  <c:v>-0.742019485245488</c:v>
                </c:pt>
                <c:pt idx="316">
                  <c:v>8.7727633925802448E-2</c:v>
                </c:pt>
                <c:pt idx="317">
                  <c:v>-0.5650308401031876</c:v>
                </c:pt>
                <c:pt idx="318">
                  <c:v>-0.13449010230288611</c:v>
                </c:pt>
                <c:pt idx="319">
                  <c:v>-0.94157952362958808</c:v>
                </c:pt>
                <c:pt idx="320">
                  <c:v>-2.4405895338350785</c:v>
                </c:pt>
                <c:pt idx="321">
                  <c:v>-0.95352644963710564</c:v>
                </c:pt>
                <c:pt idx="322">
                  <c:v>-3.2492333040617756</c:v>
                </c:pt>
                <c:pt idx="323">
                  <c:v>-1.5182750546774748</c:v>
                </c:pt>
                <c:pt idx="324">
                  <c:v>-1.8016880559513047</c:v>
                </c:pt>
                <c:pt idx="325">
                  <c:v>-2.966970382303717</c:v>
                </c:pt>
                <c:pt idx="326">
                  <c:v>-4.2472030998837784</c:v>
                </c:pt>
                <c:pt idx="327">
                  <c:v>0.24048239044571187</c:v>
                </c:pt>
                <c:pt idx="328">
                  <c:v>-7.0461619761813568</c:v>
                </c:pt>
                <c:pt idx="329">
                  <c:v>-1.7839315065435732</c:v>
                </c:pt>
                <c:pt idx="330">
                  <c:v>-0.12767603061084765</c:v>
                </c:pt>
                <c:pt idx="331">
                  <c:v>-1.4731884335903289</c:v>
                </c:pt>
                <c:pt idx="332">
                  <c:v>1.0915763315856322</c:v>
                </c:pt>
                <c:pt idx="333">
                  <c:v>-4.3293510877253499E-2</c:v>
                </c:pt>
                <c:pt idx="334">
                  <c:v>1.1023796577267162</c:v>
                </c:pt>
                <c:pt idx="335">
                  <c:v>-0.94985694133888698</c:v>
                </c:pt>
                <c:pt idx="336">
                  <c:v>0.94026786766320702</c:v>
                </c:pt>
                <c:pt idx="337">
                  <c:v>4.2635367073306542E-3</c:v>
                </c:pt>
                <c:pt idx="338">
                  <c:v>0.23085168300954714</c:v>
                </c:pt>
                <c:pt idx="339">
                  <c:v>-0.37895886314257049</c:v>
                </c:pt>
                <c:pt idx="340">
                  <c:v>1.2146709192002456</c:v>
                </c:pt>
                <c:pt idx="341">
                  <c:v>1.2695244239227648</c:v>
                </c:pt>
                <c:pt idx="342">
                  <c:v>0.49862692756872701</c:v>
                </c:pt>
                <c:pt idx="343">
                  <c:v>-0.92031033033394416</c:v>
                </c:pt>
                <c:pt idx="344">
                  <c:v>1.3794040885757992</c:v>
                </c:pt>
                <c:pt idx="345">
                  <c:v>1.1863103278801754</c:v>
                </c:pt>
                <c:pt idx="346">
                  <c:v>0.59714707405913492</c:v>
                </c:pt>
                <c:pt idx="347">
                  <c:v>1.7951912518248707</c:v>
                </c:pt>
                <c:pt idx="348">
                  <c:v>-1.4586234689705257</c:v>
                </c:pt>
                <c:pt idx="349">
                  <c:v>0.87889965818520188</c:v>
                </c:pt>
                <c:pt idx="350">
                  <c:v>0.76703808927087236</c:v>
                </c:pt>
                <c:pt idx="351">
                  <c:v>-0.1732588311239327</c:v>
                </c:pt>
                <c:pt idx="352">
                  <c:v>-0.28141100431195387</c:v>
                </c:pt>
                <c:pt idx="353">
                  <c:v>-1.0009391305602602</c:v>
                </c:pt>
                <c:pt idx="354">
                  <c:v>0.44132067857062152</c:v>
                </c:pt>
                <c:pt idx="355">
                  <c:v>1.3778040373850091</c:v>
                </c:pt>
                <c:pt idx="356">
                  <c:v>1.035537548521863</c:v>
                </c:pt>
                <c:pt idx="357">
                  <c:v>-1.3712036180297187</c:v>
                </c:pt>
                <c:pt idx="358">
                  <c:v>1.1152025555576683</c:v>
                </c:pt>
                <c:pt idx="359">
                  <c:v>-2.9650725381696565</c:v>
                </c:pt>
                <c:pt idx="360">
                  <c:v>1.5237542193525282</c:v>
                </c:pt>
                <c:pt idx="361">
                  <c:v>-0.26893285925034</c:v>
                </c:pt>
                <c:pt idx="362">
                  <c:v>1.4584972357189778</c:v>
                </c:pt>
                <c:pt idx="363">
                  <c:v>1.4423808665688265</c:v>
                </c:pt>
                <c:pt idx="364">
                  <c:v>1.6083474749381677</c:v>
                </c:pt>
                <c:pt idx="365">
                  <c:v>1.4814949106376289</c:v>
                </c:pt>
                <c:pt idx="366">
                  <c:v>0.66464121770863505</c:v>
                </c:pt>
                <c:pt idx="367">
                  <c:v>2.7901505266680329E-4</c:v>
                </c:pt>
                <c:pt idx="368">
                  <c:v>-6.2167464224081259</c:v>
                </c:pt>
                <c:pt idx="369">
                  <c:v>-0.76367668229004315</c:v>
                </c:pt>
                <c:pt idx="370">
                  <c:v>1.5863631694112215</c:v>
                </c:pt>
                <c:pt idx="371">
                  <c:v>-2.9851851416471784</c:v>
                </c:pt>
                <c:pt idx="372">
                  <c:v>1.5720518578189646</c:v>
                </c:pt>
                <c:pt idx="373">
                  <c:v>0.96976951655391475</c:v>
                </c:pt>
                <c:pt idx="374">
                  <c:v>1.2591743663011836</c:v>
                </c:pt>
                <c:pt idx="375">
                  <c:v>1.3258508536678328</c:v>
                </c:pt>
                <c:pt idx="376">
                  <c:v>0.35317258593454226</c:v>
                </c:pt>
                <c:pt idx="377">
                  <c:v>1.265275138036319</c:v>
                </c:pt>
                <c:pt idx="378">
                  <c:v>1.3422861821559617</c:v>
                </c:pt>
                <c:pt idx="379">
                  <c:v>0.2788110725743283</c:v>
                </c:pt>
              </c:numCache>
            </c:numRef>
          </c:xVal>
          <c:yVal>
            <c:numRef>
              <c:f>PCA!$BY$29:$BY$408</c:f>
              <c:numCache>
                <c:formatCode>General</c:formatCode>
                <c:ptCount val="380"/>
                <c:pt idx="0">
                  <c:v>-1.5193543141937698</c:v>
                </c:pt>
                <c:pt idx="1">
                  <c:v>-1.3875894289974029</c:v>
                </c:pt>
                <c:pt idx="2">
                  <c:v>-1.4674400233153773</c:v>
                </c:pt>
                <c:pt idx="3">
                  <c:v>-0.47458343529495883</c:v>
                </c:pt>
                <c:pt idx="4">
                  <c:v>-1.8051625106277271</c:v>
                </c:pt>
                <c:pt idx="5">
                  <c:v>-0.8195262988823141</c:v>
                </c:pt>
                <c:pt idx="6">
                  <c:v>0.29765284553844279</c:v>
                </c:pt>
                <c:pt idx="7">
                  <c:v>-1.6986550078231817</c:v>
                </c:pt>
                <c:pt idx="8">
                  <c:v>0.22650696598857767</c:v>
                </c:pt>
                <c:pt idx="9">
                  <c:v>-0.24084505481833479</c:v>
                </c:pt>
                <c:pt idx="10">
                  <c:v>0.44102228390281994</c:v>
                </c:pt>
                <c:pt idx="11">
                  <c:v>1.7412802087504518</c:v>
                </c:pt>
                <c:pt idx="12">
                  <c:v>0.21631378821039687</c:v>
                </c:pt>
                <c:pt idx="13">
                  <c:v>-0.10774420806258413</c:v>
                </c:pt>
                <c:pt idx="14">
                  <c:v>-0.46138224236687714</c:v>
                </c:pt>
                <c:pt idx="15">
                  <c:v>1.4811505513549239</c:v>
                </c:pt>
                <c:pt idx="16">
                  <c:v>1.5209062222518344</c:v>
                </c:pt>
                <c:pt idx="17">
                  <c:v>0.11562041112346551</c:v>
                </c:pt>
                <c:pt idx="18">
                  <c:v>-0.43422467699697187</c:v>
                </c:pt>
                <c:pt idx="19">
                  <c:v>0.11934943857970935</c:v>
                </c:pt>
                <c:pt idx="20">
                  <c:v>-1.2454587960538539</c:v>
                </c:pt>
                <c:pt idx="21">
                  <c:v>-1.0506994784423813</c:v>
                </c:pt>
                <c:pt idx="22">
                  <c:v>-0.65340149366236833</c:v>
                </c:pt>
                <c:pt idx="23">
                  <c:v>2.2743000869955123</c:v>
                </c:pt>
                <c:pt idx="24">
                  <c:v>2.8478314707650889</c:v>
                </c:pt>
                <c:pt idx="25">
                  <c:v>3.3400776570915807</c:v>
                </c:pt>
                <c:pt idx="26">
                  <c:v>-0.64697430681852341</c:v>
                </c:pt>
                <c:pt idx="27">
                  <c:v>-1.9292606498605511E-2</c:v>
                </c:pt>
                <c:pt idx="28">
                  <c:v>0.82843154937741248</c:v>
                </c:pt>
                <c:pt idx="29">
                  <c:v>-1.1608880979283052</c:v>
                </c:pt>
                <c:pt idx="30">
                  <c:v>-1.2912984059040051</c:v>
                </c:pt>
                <c:pt idx="31">
                  <c:v>-2.7213244043738438</c:v>
                </c:pt>
                <c:pt idx="32">
                  <c:v>0.29994983170979633</c:v>
                </c:pt>
                <c:pt idx="33">
                  <c:v>-0.84626583541203637</c:v>
                </c:pt>
                <c:pt idx="34">
                  <c:v>-0.47058965802369473</c:v>
                </c:pt>
                <c:pt idx="35">
                  <c:v>-1.551022121349638</c:v>
                </c:pt>
                <c:pt idx="36">
                  <c:v>-0.24720641531639373</c:v>
                </c:pt>
                <c:pt idx="37">
                  <c:v>0.20899546881983183</c:v>
                </c:pt>
                <c:pt idx="38">
                  <c:v>3.7513376971341819</c:v>
                </c:pt>
                <c:pt idx="39">
                  <c:v>-1.0747526607920319</c:v>
                </c:pt>
                <c:pt idx="40">
                  <c:v>-0.67540576315796019</c:v>
                </c:pt>
                <c:pt idx="41">
                  <c:v>3.7227900552958446</c:v>
                </c:pt>
                <c:pt idx="42">
                  <c:v>0.96572385230859226</c:v>
                </c:pt>
                <c:pt idx="43">
                  <c:v>1.9298791851993888</c:v>
                </c:pt>
                <c:pt idx="44">
                  <c:v>1.4883794525943981</c:v>
                </c:pt>
                <c:pt idx="45">
                  <c:v>-0.54528760066773774</c:v>
                </c:pt>
                <c:pt idx="46">
                  <c:v>-0.72215858357667995</c:v>
                </c:pt>
                <c:pt idx="47">
                  <c:v>-0.48518437064183956</c:v>
                </c:pt>
                <c:pt idx="48">
                  <c:v>-1.0339673734056078</c:v>
                </c:pt>
                <c:pt idx="49">
                  <c:v>-1.9402184060022549</c:v>
                </c:pt>
                <c:pt idx="50">
                  <c:v>-1.5582054865446777</c:v>
                </c:pt>
                <c:pt idx="51">
                  <c:v>-1.5307194545683414</c:v>
                </c:pt>
                <c:pt idx="52">
                  <c:v>-1.4993630552742518</c:v>
                </c:pt>
                <c:pt idx="53">
                  <c:v>-0.46706462855518843</c:v>
                </c:pt>
                <c:pt idx="54">
                  <c:v>-0.87180941622889752</c:v>
                </c:pt>
                <c:pt idx="55">
                  <c:v>-1.5780076710654043</c:v>
                </c:pt>
                <c:pt idx="56">
                  <c:v>-1.3640795822521523</c:v>
                </c:pt>
                <c:pt idx="57">
                  <c:v>-1.7363360946810111</c:v>
                </c:pt>
                <c:pt idx="58">
                  <c:v>4.1122741596384573</c:v>
                </c:pt>
                <c:pt idx="59">
                  <c:v>-1.7873864669036317</c:v>
                </c:pt>
                <c:pt idx="60">
                  <c:v>-0.90412877836266436</c:v>
                </c:pt>
                <c:pt idx="61">
                  <c:v>-0.42952182374153197</c:v>
                </c:pt>
                <c:pt idx="62">
                  <c:v>0.80297307596406053</c:v>
                </c:pt>
                <c:pt idx="63">
                  <c:v>-0.89142613974382134</c:v>
                </c:pt>
                <c:pt idx="64">
                  <c:v>-0.70155207513702256</c:v>
                </c:pt>
                <c:pt idx="65">
                  <c:v>1.396718367737644</c:v>
                </c:pt>
                <c:pt idx="66">
                  <c:v>-1.9216636895417578</c:v>
                </c:pt>
                <c:pt idx="67">
                  <c:v>0.45002281158353119</c:v>
                </c:pt>
                <c:pt idx="68">
                  <c:v>-0.75412074561225007</c:v>
                </c:pt>
                <c:pt idx="69">
                  <c:v>-2.6020312002297179</c:v>
                </c:pt>
                <c:pt idx="70">
                  <c:v>0.39751995424311842</c:v>
                </c:pt>
                <c:pt idx="71">
                  <c:v>-7.1775847023193173E-2</c:v>
                </c:pt>
                <c:pt idx="72">
                  <c:v>0.56389118282955109</c:v>
                </c:pt>
                <c:pt idx="73">
                  <c:v>0.81492012417736259</c:v>
                </c:pt>
                <c:pt idx="74">
                  <c:v>-0.12956816616749872</c:v>
                </c:pt>
                <c:pt idx="75">
                  <c:v>0.36232977563080843</c:v>
                </c:pt>
                <c:pt idx="76">
                  <c:v>-2.3857770225357608</c:v>
                </c:pt>
                <c:pt idx="77">
                  <c:v>-2.1534712602732444</c:v>
                </c:pt>
                <c:pt idx="78">
                  <c:v>0.38102560011447512</c:v>
                </c:pt>
                <c:pt idx="79">
                  <c:v>-2.0173025540429874</c:v>
                </c:pt>
                <c:pt idx="80">
                  <c:v>-0.54089073394494047</c:v>
                </c:pt>
                <c:pt idx="81">
                  <c:v>-1.1859793499755438</c:v>
                </c:pt>
                <c:pt idx="82">
                  <c:v>-2.9931222203191075</c:v>
                </c:pt>
                <c:pt idx="83">
                  <c:v>7.8092780125991718E-2</c:v>
                </c:pt>
                <c:pt idx="84">
                  <c:v>-1.2409137256383129</c:v>
                </c:pt>
                <c:pt idx="85">
                  <c:v>-1.1249293705033792</c:v>
                </c:pt>
                <c:pt idx="86">
                  <c:v>-0.18507846946155843</c:v>
                </c:pt>
                <c:pt idx="87">
                  <c:v>-0.94291271195526005</c:v>
                </c:pt>
                <c:pt idx="88">
                  <c:v>-0.50749607872221314</c:v>
                </c:pt>
                <c:pt idx="89">
                  <c:v>0.15201592750084925</c:v>
                </c:pt>
                <c:pt idx="90">
                  <c:v>-3.0672111069193391</c:v>
                </c:pt>
                <c:pt idx="91">
                  <c:v>-7.6683557392053431E-2</c:v>
                </c:pt>
                <c:pt idx="92">
                  <c:v>1.0186956878077968</c:v>
                </c:pt>
                <c:pt idx="93">
                  <c:v>-1.2484131283221616</c:v>
                </c:pt>
                <c:pt idx="94">
                  <c:v>0.2906052223546699</c:v>
                </c:pt>
                <c:pt idx="95">
                  <c:v>-0.26380624440579592</c:v>
                </c:pt>
                <c:pt idx="96">
                  <c:v>9.4591194482091065E-2</c:v>
                </c:pt>
                <c:pt idx="97">
                  <c:v>5.1180161767948302</c:v>
                </c:pt>
                <c:pt idx="98">
                  <c:v>-0.19791800702373846</c:v>
                </c:pt>
                <c:pt idx="99">
                  <c:v>-0.96168284960355188</c:v>
                </c:pt>
                <c:pt idx="100">
                  <c:v>0.23732097835272675</c:v>
                </c:pt>
                <c:pt idx="101">
                  <c:v>-0.74604847659741436</c:v>
                </c:pt>
                <c:pt idx="102">
                  <c:v>-0.27775346254762379</c:v>
                </c:pt>
                <c:pt idx="103">
                  <c:v>-0.89910569011518604</c:v>
                </c:pt>
                <c:pt idx="104">
                  <c:v>6.8301968323354875E-2</c:v>
                </c:pt>
                <c:pt idx="105">
                  <c:v>-6.6450547479253191E-2</c:v>
                </c:pt>
                <c:pt idx="106">
                  <c:v>-1.2930848053770141</c:v>
                </c:pt>
                <c:pt idx="107">
                  <c:v>1.1400372292145533</c:v>
                </c:pt>
                <c:pt idx="108">
                  <c:v>-1.3400106427676146</c:v>
                </c:pt>
                <c:pt idx="109">
                  <c:v>-0.13920846079489418</c:v>
                </c:pt>
                <c:pt idx="110">
                  <c:v>-1.4001608674619987</c:v>
                </c:pt>
                <c:pt idx="111">
                  <c:v>-3.7193526117617955E-2</c:v>
                </c:pt>
                <c:pt idx="112">
                  <c:v>-0.77070403015880651</c:v>
                </c:pt>
                <c:pt idx="113">
                  <c:v>-0.84262570055105002</c:v>
                </c:pt>
                <c:pt idx="114">
                  <c:v>-0.3917610958014211</c:v>
                </c:pt>
                <c:pt idx="115">
                  <c:v>-0.8254214253349027</c:v>
                </c:pt>
                <c:pt idx="116">
                  <c:v>-3.0641900790401848E-2</c:v>
                </c:pt>
                <c:pt idx="117">
                  <c:v>-1.1039851100666556</c:v>
                </c:pt>
                <c:pt idx="118">
                  <c:v>-1.3823999136022844</c:v>
                </c:pt>
                <c:pt idx="119">
                  <c:v>0.81312934609747889</c:v>
                </c:pt>
                <c:pt idx="120">
                  <c:v>-8.207053131033501E-2</c:v>
                </c:pt>
                <c:pt idx="121">
                  <c:v>1.2025425402482246</c:v>
                </c:pt>
                <c:pt idx="122">
                  <c:v>0.38503731292028126</c:v>
                </c:pt>
                <c:pt idx="123">
                  <c:v>1.0137895278224576</c:v>
                </c:pt>
                <c:pt idx="124">
                  <c:v>0.20503705959108132</c:v>
                </c:pt>
                <c:pt idx="125">
                  <c:v>0.18697924030390828</c:v>
                </c:pt>
                <c:pt idx="126">
                  <c:v>0.14534870119668303</c:v>
                </c:pt>
                <c:pt idx="127">
                  <c:v>0.89271279353119626</c:v>
                </c:pt>
                <c:pt idx="128">
                  <c:v>-8.8758342526546685E-2</c:v>
                </c:pt>
                <c:pt idx="129">
                  <c:v>0.13271582953038386</c:v>
                </c:pt>
                <c:pt idx="130">
                  <c:v>0.73669503800027525</c:v>
                </c:pt>
                <c:pt idx="131">
                  <c:v>-0.52291555131707435</c:v>
                </c:pt>
                <c:pt idx="132">
                  <c:v>-1.4426834148516035</c:v>
                </c:pt>
                <c:pt idx="133">
                  <c:v>-0.26932893043417083</c:v>
                </c:pt>
                <c:pt idx="134">
                  <c:v>-1.0501599423928951</c:v>
                </c:pt>
                <c:pt idx="135">
                  <c:v>-0.90740598668126216</c:v>
                </c:pt>
                <c:pt idx="136">
                  <c:v>-0.88270067888842696</c:v>
                </c:pt>
                <c:pt idx="137">
                  <c:v>-1.6536169166624448</c:v>
                </c:pt>
                <c:pt idx="138">
                  <c:v>-1.7759760650453669</c:v>
                </c:pt>
                <c:pt idx="139">
                  <c:v>-0.83596480530608375</c:v>
                </c:pt>
                <c:pt idx="140">
                  <c:v>-1.2662618910795786</c:v>
                </c:pt>
                <c:pt idx="141">
                  <c:v>-1.0335896353877863</c:v>
                </c:pt>
                <c:pt idx="142">
                  <c:v>-0.59278803906721378</c:v>
                </c:pt>
                <c:pt idx="143">
                  <c:v>-0.3005400439883309</c:v>
                </c:pt>
                <c:pt idx="144">
                  <c:v>0.29277660615165474</c:v>
                </c:pt>
                <c:pt idx="145">
                  <c:v>0.54642828347549033</c:v>
                </c:pt>
                <c:pt idx="146">
                  <c:v>-0.36979146238544569</c:v>
                </c:pt>
                <c:pt idx="147">
                  <c:v>0.30533901582467154</c:v>
                </c:pt>
                <c:pt idx="148">
                  <c:v>1.1947872873104659</c:v>
                </c:pt>
                <c:pt idx="149">
                  <c:v>-0.45147429002454803</c:v>
                </c:pt>
                <c:pt idx="150">
                  <c:v>1.4886690784273446</c:v>
                </c:pt>
                <c:pt idx="151">
                  <c:v>1.3192413798165261</c:v>
                </c:pt>
                <c:pt idx="152">
                  <c:v>1.0494105361317718</c:v>
                </c:pt>
                <c:pt idx="153">
                  <c:v>-0.60028445365310545</c:v>
                </c:pt>
                <c:pt idx="154">
                  <c:v>-9.3861746911428658E-3</c:v>
                </c:pt>
                <c:pt idx="155">
                  <c:v>2.1351573535490638</c:v>
                </c:pt>
                <c:pt idx="156">
                  <c:v>7.5105814775468627E-2</c:v>
                </c:pt>
                <c:pt idx="157">
                  <c:v>0.7864713801119062</c:v>
                </c:pt>
                <c:pt idx="158">
                  <c:v>2.4241319297419412</c:v>
                </c:pt>
                <c:pt idx="159">
                  <c:v>2.289280642800795</c:v>
                </c:pt>
                <c:pt idx="160">
                  <c:v>2.3217906752008717</c:v>
                </c:pt>
                <c:pt idx="161">
                  <c:v>-2.8306028175732873E-2</c:v>
                </c:pt>
                <c:pt idx="162">
                  <c:v>-7.6245566057880909</c:v>
                </c:pt>
                <c:pt idx="163">
                  <c:v>0.84827903613687172</c:v>
                </c:pt>
                <c:pt idx="164">
                  <c:v>0.19265215828303733</c:v>
                </c:pt>
                <c:pt idx="165">
                  <c:v>-0.92256154953687586</c:v>
                </c:pt>
                <c:pt idx="166">
                  <c:v>-0.10992810496013179</c:v>
                </c:pt>
                <c:pt idx="167">
                  <c:v>-0.14688669807906793</c:v>
                </c:pt>
                <c:pt idx="168">
                  <c:v>0.49158420952457366</c:v>
                </c:pt>
                <c:pt idx="169">
                  <c:v>4.028335669562251E-2</c:v>
                </c:pt>
                <c:pt idx="170">
                  <c:v>-0.597467325056525</c:v>
                </c:pt>
                <c:pt idx="171">
                  <c:v>1.2157858734956638E-2</c:v>
                </c:pt>
                <c:pt idx="172">
                  <c:v>-1.0299534116034876</c:v>
                </c:pt>
                <c:pt idx="173">
                  <c:v>-1.0792865338725615</c:v>
                </c:pt>
                <c:pt idx="174">
                  <c:v>1.0667380347043127E-2</c:v>
                </c:pt>
                <c:pt idx="175">
                  <c:v>-0.90808843554065299</c:v>
                </c:pt>
                <c:pt idx="176">
                  <c:v>-0.20059454958762751</c:v>
                </c:pt>
                <c:pt idx="177">
                  <c:v>0.84753036042816632</c:v>
                </c:pt>
                <c:pt idx="178">
                  <c:v>0.31328168125906619</c:v>
                </c:pt>
                <c:pt idx="179">
                  <c:v>0.31106924128004926</c:v>
                </c:pt>
                <c:pt idx="180">
                  <c:v>0.86748296414083859</c:v>
                </c:pt>
                <c:pt idx="181">
                  <c:v>0.44095109996733051</c:v>
                </c:pt>
                <c:pt idx="182">
                  <c:v>0.33956087994782197</c:v>
                </c:pt>
                <c:pt idx="183">
                  <c:v>0.23272787530251632</c:v>
                </c:pt>
                <c:pt idx="184">
                  <c:v>0.60188716509089346</c:v>
                </c:pt>
                <c:pt idx="185">
                  <c:v>-1.8567151324337665</c:v>
                </c:pt>
                <c:pt idx="186">
                  <c:v>-0.28301452130356569</c:v>
                </c:pt>
                <c:pt idx="187">
                  <c:v>0.43021717781332885</c:v>
                </c:pt>
                <c:pt idx="188">
                  <c:v>-0.96347208246591287</c:v>
                </c:pt>
                <c:pt idx="189">
                  <c:v>-0.16960066514113015</c:v>
                </c:pt>
                <c:pt idx="190">
                  <c:v>-0.80616026920847716</c:v>
                </c:pt>
                <c:pt idx="191">
                  <c:v>-2.2056221702674428</c:v>
                </c:pt>
                <c:pt idx="192">
                  <c:v>0.16885300011863724</c:v>
                </c:pt>
                <c:pt idx="193">
                  <c:v>-0.6212621201005083</c:v>
                </c:pt>
                <c:pt idx="194">
                  <c:v>-1.412773986934809</c:v>
                </c:pt>
                <c:pt idx="195">
                  <c:v>0.49546249467031334</c:v>
                </c:pt>
                <c:pt idx="196">
                  <c:v>0.12266909292443383</c:v>
                </c:pt>
                <c:pt idx="197">
                  <c:v>0.30431060065866611</c:v>
                </c:pt>
                <c:pt idx="198">
                  <c:v>-1.3527696520981818</c:v>
                </c:pt>
                <c:pt idx="199">
                  <c:v>3.0920199981558361E-2</c:v>
                </c:pt>
                <c:pt idx="200">
                  <c:v>1.2607910980137738</c:v>
                </c:pt>
                <c:pt idx="201">
                  <c:v>-0.11993981926192059</c:v>
                </c:pt>
                <c:pt idx="202">
                  <c:v>0.91841477201272614</c:v>
                </c:pt>
                <c:pt idx="203">
                  <c:v>-0.76613871339413342</c:v>
                </c:pt>
                <c:pt idx="204">
                  <c:v>-0.12276911943461555</c:v>
                </c:pt>
                <c:pt idx="205">
                  <c:v>-0.68336130605826639</c:v>
                </c:pt>
                <c:pt idx="206">
                  <c:v>-0.1570941116191801</c:v>
                </c:pt>
                <c:pt idx="207">
                  <c:v>1.0023016808274082E-2</c:v>
                </c:pt>
                <c:pt idx="208">
                  <c:v>-0.65689079576416187</c:v>
                </c:pt>
                <c:pt idx="209">
                  <c:v>1.5978181101690505</c:v>
                </c:pt>
                <c:pt idx="210">
                  <c:v>-0.56450197175241734</c:v>
                </c:pt>
                <c:pt idx="211">
                  <c:v>0.49300441649764953</c:v>
                </c:pt>
                <c:pt idx="212">
                  <c:v>-0.36682389215515826</c:v>
                </c:pt>
                <c:pt idx="213">
                  <c:v>-0.91794280331743727</c:v>
                </c:pt>
                <c:pt idx="214">
                  <c:v>-1.5814670982847139</c:v>
                </c:pt>
                <c:pt idx="215">
                  <c:v>0.940742552798573</c:v>
                </c:pt>
                <c:pt idx="216">
                  <c:v>-0.48794613846024676</c:v>
                </c:pt>
                <c:pt idx="217">
                  <c:v>-0.61091441992501383</c:v>
                </c:pt>
                <c:pt idx="218">
                  <c:v>2.032378683057193</c:v>
                </c:pt>
                <c:pt idx="219">
                  <c:v>0.48609248652715181</c:v>
                </c:pt>
                <c:pt idx="220">
                  <c:v>0.21449621084626336</c:v>
                </c:pt>
                <c:pt idx="221">
                  <c:v>0.35936429345789855</c:v>
                </c:pt>
                <c:pt idx="222">
                  <c:v>0.81142963029959447</c:v>
                </c:pt>
                <c:pt idx="223">
                  <c:v>0.7587920298329105</c:v>
                </c:pt>
                <c:pt idx="224">
                  <c:v>0.92366926784443426</c:v>
                </c:pt>
                <c:pt idx="225">
                  <c:v>-0.28826023710304077</c:v>
                </c:pt>
                <c:pt idx="226">
                  <c:v>0.46101951326066665</c:v>
                </c:pt>
                <c:pt idx="227">
                  <c:v>-0.46640468362521825</c:v>
                </c:pt>
                <c:pt idx="228">
                  <c:v>-0.34873757874562511</c:v>
                </c:pt>
                <c:pt idx="229">
                  <c:v>0.21879027082901903</c:v>
                </c:pt>
                <c:pt idx="230">
                  <c:v>-0.44098161950161219</c:v>
                </c:pt>
                <c:pt idx="231">
                  <c:v>-1.1889661008366086</c:v>
                </c:pt>
                <c:pt idx="232">
                  <c:v>-0.7963256660076613</c:v>
                </c:pt>
                <c:pt idx="233">
                  <c:v>-0.44185015319148235</c:v>
                </c:pt>
                <c:pt idx="234">
                  <c:v>1.7783680934691981</c:v>
                </c:pt>
                <c:pt idx="235">
                  <c:v>-0.17219826899481699</c:v>
                </c:pt>
                <c:pt idx="236">
                  <c:v>-0.43655749348484885</c:v>
                </c:pt>
                <c:pt idx="237">
                  <c:v>0.23863081911186851</c:v>
                </c:pt>
                <c:pt idx="238">
                  <c:v>-0.11058637138719185</c:v>
                </c:pt>
                <c:pt idx="239">
                  <c:v>1.5920246103340582E-2</c:v>
                </c:pt>
                <c:pt idx="240">
                  <c:v>-0.18302298402029854</c:v>
                </c:pt>
                <c:pt idx="241">
                  <c:v>-0.41522890292305575</c:v>
                </c:pt>
                <c:pt idx="242">
                  <c:v>-0.92363374381689012</c:v>
                </c:pt>
                <c:pt idx="243">
                  <c:v>-1.3353213858846</c:v>
                </c:pt>
                <c:pt idx="244">
                  <c:v>-0.26810267524660292</c:v>
                </c:pt>
                <c:pt idx="245">
                  <c:v>-7.1896364235139676E-2</c:v>
                </c:pt>
                <c:pt idx="246">
                  <c:v>0.89105879998060522</c:v>
                </c:pt>
                <c:pt idx="247">
                  <c:v>-2.6673492430349152E-2</c:v>
                </c:pt>
                <c:pt idx="248">
                  <c:v>-1.4305181533159981</c:v>
                </c:pt>
                <c:pt idx="249">
                  <c:v>-1.3458818494176494</c:v>
                </c:pt>
                <c:pt idx="250">
                  <c:v>-1.0307124392700524</c:v>
                </c:pt>
                <c:pt idx="251">
                  <c:v>-1.2424998546322688</c:v>
                </c:pt>
                <c:pt idx="252">
                  <c:v>-0.33057714668176208</c:v>
                </c:pt>
                <c:pt idx="253">
                  <c:v>-0.46748936479902214</c:v>
                </c:pt>
                <c:pt idx="254">
                  <c:v>-1.3278273557086753</c:v>
                </c:pt>
                <c:pt idx="255">
                  <c:v>-0.57618073150406623</c:v>
                </c:pt>
                <c:pt idx="256">
                  <c:v>-0.84118291913141485</c:v>
                </c:pt>
                <c:pt idx="257">
                  <c:v>-0.48395833113310838</c:v>
                </c:pt>
                <c:pt idx="258">
                  <c:v>-1.3436699308279039</c:v>
                </c:pt>
                <c:pt idx="259">
                  <c:v>-0.56455460105366673</c:v>
                </c:pt>
                <c:pt idx="260">
                  <c:v>0.12167976723439738</c:v>
                </c:pt>
                <c:pt idx="261">
                  <c:v>-0.72672234104322886</c:v>
                </c:pt>
                <c:pt idx="262">
                  <c:v>-0.79933895781644282</c:v>
                </c:pt>
                <c:pt idx="263">
                  <c:v>-6.0277575514644036E-2</c:v>
                </c:pt>
                <c:pt idx="264">
                  <c:v>1.3066631294300375</c:v>
                </c:pt>
                <c:pt idx="265">
                  <c:v>-0.17507706941976997</c:v>
                </c:pt>
                <c:pt idx="266">
                  <c:v>0.93114140590985295</c:v>
                </c:pt>
                <c:pt idx="267">
                  <c:v>2.7737082669010849</c:v>
                </c:pt>
                <c:pt idx="268">
                  <c:v>0.16671124018781375</c:v>
                </c:pt>
                <c:pt idx="269">
                  <c:v>0.21065744136888193</c:v>
                </c:pt>
                <c:pt idx="270">
                  <c:v>-0.19644872154903367</c:v>
                </c:pt>
                <c:pt idx="271">
                  <c:v>2.2699699509506375</c:v>
                </c:pt>
                <c:pt idx="272">
                  <c:v>0.10844897103068411</c:v>
                </c:pt>
                <c:pt idx="273">
                  <c:v>0.24598538471986603</c:v>
                </c:pt>
                <c:pt idx="274">
                  <c:v>1.2558535266467989</c:v>
                </c:pt>
                <c:pt idx="275">
                  <c:v>0.31699103078038365</c:v>
                </c:pt>
                <c:pt idx="276">
                  <c:v>2.0261915299774551</c:v>
                </c:pt>
                <c:pt idx="277">
                  <c:v>1.335953721408863</c:v>
                </c:pt>
                <c:pt idx="278">
                  <c:v>1.1284895056071789</c:v>
                </c:pt>
                <c:pt idx="279">
                  <c:v>0.8463112533845607</c:v>
                </c:pt>
                <c:pt idx="280">
                  <c:v>-5.2353531830485842E-2</c:v>
                </c:pt>
                <c:pt idx="281">
                  <c:v>-0.39685157397009918</c:v>
                </c:pt>
                <c:pt idx="282">
                  <c:v>0.92959403293951171</c:v>
                </c:pt>
                <c:pt idx="283">
                  <c:v>-1.2956790205609916</c:v>
                </c:pt>
                <c:pt idx="284">
                  <c:v>-1.2758299902050541</c:v>
                </c:pt>
                <c:pt idx="285">
                  <c:v>0.31476675660762171</c:v>
                </c:pt>
                <c:pt idx="286">
                  <c:v>1.8754080553820816</c:v>
                </c:pt>
                <c:pt idx="287">
                  <c:v>-0.82079574211722539</c:v>
                </c:pt>
                <c:pt idx="288">
                  <c:v>-1.0552181267969278</c:v>
                </c:pt>
                <c:pt idx="289">
                  <c:v>-0.98958980568834309</c:v>
                </c:pt>
                <c:pt idx="290">
                  <c:v>-0.81246913171112656</c:v>
                </c:pt>
                <c:pt idx="291">
                  <c:v>-0.14954473743245239</c:v>
                </c:pt>
                <c:pt idx="292">
                  <c:v>0.30048056282625851</c:v>
                </c:pt>
                <c:pt idx="293">
                  <c:v>7.8324260683622818E-2</c:v>
                </c:pt>
                <c:pt idx="294">
                  <c:v>-0.84746545329563105</c:v>
                </c:pt>
                <c:pt idx="295">
                  <c:v>2.498574969693546</c:v>
                </c:pt>
                <c:pt idx="296">
                  <c:v>-0.55490914740492991</c:v>
                </c:pt>
                <c:pt idx="297">
                  <c:v>-0.56139445885536454</c:v>
                </c:pt>
                <c:pt idx="298">
                  <c:v>-1.1303655840936371</c:v>
                </c:pt>
                <c:pt idx="299">
                  <c:v>-0.38571982045109759</c:v>
                </c:pt>
                <c:pt idx="300">
                  <c:v>-0.84215070011119142</c:v>
                </c:pt>
                <c:pt idx="301">
                  <c:v>-0.37787032497423306</c:v>
                </c:pt>
                <c:pt idx="302">
                  <c:v>4.0481596965038733</c:v>
                </c:pt>
                <c:pt idx="303">
                  <c:v>-0.10844644872713755</c:v>
                </c:pt>
                <c:pt idx="304">
                  <c:v>-5.9718379312456389E-2</c:v>
                </c:pt>
                <c:pt idx="305">
                  <c:v>1.0505498659981041</c:v>
                </c:pt>
                <c:pt idx="306">
                  <c:v>0.58129200252723257</c:v>
                </c:pt>
                <c:pt idx="307">
                  <c:v>-1.3953043927192914</c:v>
                </c:pt>
                <c:pt idx="308">
                  <c:v>0.22608388417394917</c:v>
                </c:pt>
                <c:pt idx="309">
                  <c:v>0.18492086059124613</c:v>
                </c:pt>
                <c:pt idx="310">
                  <c:v>1.2257847288526094</c:v>
                </c:pt>
                <c:pt idx="311">
                  <c:v>-0.17500224340915457</c:v>
                </c:pt>
                <c:pt idx="312">
                  <c:v>0.5579167627889976</c:v>
                </c:pt>
                <c:pt idx="313">
                  <c:v>0.91131976778705548</c:v>
                </c:pt>
                <c:pt idx="314">
                  <c:v>0.91117755019086721</c:v>
                </c:pt>
                <c:pt idx="315">
                  <c:v>0.63871542654141655</c:v>
                </c:pt>
                <c:pt idx="316">
                  <c:v>1.5545800877747844</c:v>
                </c:pt>
                <c:pt idx="317">
                  <c:v>-0.51455018917277684</c:v>
                </c:pt>
                <c:pt idx="318">
                  <c:v>9.2906817766661334E-2</c:v>
                </c:pt>
                <c:pt idx="319">
                  <c:v>0.9245297384907738</c:v>
                </c:pt>
                <c:pt idx="320">
                  <c:v>6.7093303692203676</c:v>
                </c:pt>
                <c:pt idx="321">
                  <c:v>1.2893368614368579</c:v>
                </c:pt>
                <c:pt idx="322">
                  <c:v>1.6278305626175607</c:v>
                </c:pt>
                <c:pt idx="323">
                  <c:v>1.1975402210688508</c:v>
                </c:pt>
                <c:pt idx="324">
                  <c:v>3.0960055874172747</c:v>
                </c:pt>
                <c:pt idx="325">
                  <c:v>7.4613394376869938E-2</c:v>
                </c:pt>
                <c:pt idx="326">
                  <c:v>3.0270384930120859</c:v>
                </c:pt>
                <c:pt idx="327">
                  <c:v>1.8318027506717365</c:v>
                </c:pt>
                <c:pt idx="328">
                  <c:v>3.6358860760421923</c:v>
                </c:pt>
                <c:pt idx="329">
                  <c:v>4.9886694455824934</c:v>
                </c:pt>
                <c:pt idx="330">
                  <c:v>1.6170500341657583</c:v>
                </c:pt>
                <c:pt idx="331">
                  <c:v>1.10007073801816</c:v>
                </c:pt>
                <c:pt idx="332">
                  <c:v>0.1148411389251347</c:v>
                </c:pt>
                <c:pt idx="333">
                  <c:v>0.21485789589828558</c:v>
                </c:pt>
                <c:pt idx="334">
                  <c:v>0.54277119522636619</c:v>
                </c:pt>
                <c:pt idx="335">
                  <c:v>0.70201640797120024</c:v>
                </c:pt>
                <c:pt idx="336">
                  <c:v>2.4165297653174565E-2</c:v>
                </c:pt>
                <c:pt idx="337">
                  <c:v>9.7402916457543037E-2</c:v>
                </c:pt>
                <c:pt idx="338">
                  <c:v>0.19879625920085986</c:v>
                </c:pt>
                <c:pt idx="339">
                  <c:v>-0.9505667888513778</c:v>
                </c:pt>
                <c:pt idx="340">
                  <c:v>-4.7815378781422141E-2</c:v>
                </c:pt>
                <c:pt idx="341">
                  <c:v>-0.50579307360106984</c:v>
                </c:pt>
                <c:pt idx="342">
                  <c:v>-3.3926765260652483E-2</c:v>
                </c:pt>
                <c:pt idx="343">
                  <c:v>1.4217093660413036</c:v>
                </c:pt>
                <c:pt idx="344">
                  <c:v>-0.13634836434537978</c:v>
                </c:pt>
                <c:pt idx="345">
                  <c:v>-1.6894849501015883</c:v>
                </c:pt>
                <c:pt idx="346">
                  <c:v>1.6375592009018682</c:v>
                </c:pt>
                <c:pt idx="347">
                  <c:v>-1.2201479252525695</c:v>
                </c:pt>
                <c:pt idx="348">
                  <c:v>1.2331794753100436</c:v>
                </c:pt>
                <c:pt idx="349">
                  <c:v>-0.13960965853494045</c:v>
                </c:pt>
                <c:pt idx="350">
                  <c:v>-0.80857020293528636</c:v>
                </c:pt>
                <c:pt idx="351">
                  <c:v>0.81268477525712668</c:v>
                </c:pt>
                <c:pt idx="352">
                  <c:v>1.2781864311541531</c:v>
                </c:pt>
                <c:pt idx="353">
                  <c:v>3.0647234303966977</c:v>
                </c:pt>
                <c:pt idx="354">
                  <c:v>1.5668152488976286</c:v>
                </c:pt>
                <c:pt idx="355">
                  <c:v>-0.14502802506249796</c:v>
                </c:pt>
                <c:pt idx="356">
                  <c:v>0.72616478570354981</c:v>
                </c:pt>
                <c:pt idx="357">
                  <c:v>0.62712206229870804</c:v>
                </c:pt>
                <c:pt idx="358">
                  <c:v>-9.3483785848159945E-2</c:v>
                </c:pt>
                <c:pt idx="359">
                  <c:v>8.1981172459548759</c:v>
                </c:pt>
                <c:pt idx="360">
                  <c:v>-0.62764372427002435</c:v>
                </c:pt>
                <c:pt idx="361">
                  <c:v>0.11000969785880689</c:v>
                </c:pt>
                <c:pt idx="362">
                  <c:v>-1.0574928104299421</c:v>
                </c:pt>
                <c:pt idx="363">
                  <c:v>-0.64555969150069192</c:v>
                </c:pt>
                <c:pt idx="364">
                  <c:v>-0.79232237376063064</c:v>
                </c:pt>
                <c:pt idx="365">
                  <c:v>-0.22231694013414338</c:v>
                </c:pt>
                <c:pt idx="366">
                  <c:v>-0.97240473840344988</c:v>
                </c:pt>
                <c:pt idx="367">
                  <c:v>0.11557861833789958</c:v>
                </c:pt>
                <c:pt idx="368">
                  <c:v>0.4084001196249763</c:v>
                </c:pt>
                <c:pt idx="369">
                  <c:v>-1.3041531551301249</c:v>
                </c:pt>
                <c:pt idx="370">
                  <c:v>-1.9453327781385494</c:v>
                </c:pt>
                <c:pt idx="371">
                  <c:v>1.2261378183657146</c:v>
                </c:pt>
                <c:pt idx="372">
                  <c:v>-1.0698344157724329</c:v>
                </c:pt>
                <c:pt idx="373">
                  <c:v>-0.93470975762780639</c:v>
                </c:pt>
                <c:pt idx="374">
                  <c:v>-0.12634224666096994</c:v>
                </c:pt>
                <c:pt idx="375">
                  <c:v>-1.2350018901935138</c:v>
                </c:pt>
                <c:pt idx="376">
                  <c:v>-0.36119283311538275</c:v>
                </c:pt>
                <c:pt idx="377">
                  <c:v>-0.37421355652836807</c:v>
                </c:pt>
                <c:pt idx="378">
                  <c:v>-0.5221866295229286</c:v>
                </c:pt>
                <c:pt idx="379">
                  <c:v>1.1286548303980479</c:v>
                </c:pt>
              </c:numCache>
            </c:numRef>
          </c:yVal>
          <c:smooth val="0"/>
        </c:ser>
        <c:ser>
          <c:idx val="1"/>
          <c:order val="1"/>
          <c:tx>
            <c:v>core cities</c:v>
          </c:tx>
          <c:spPr>
            <a:ln w="28575">
              <a:noFill/>
            </a:ln>
          </c:spPr>
          <c:xVal>
            <c:numRef>
              <c:f>PCA!$BX$29:$BX$408</c:f>
              <c:numCache>
                <c:formatCode>General</c:formatCode>
                <c:ptCount val="380"/>
                <c:pt idx="0">
                  <c:v>1.4990741632007101</c:v>
                </c:pt>
                <c:pt idx="1">
                  <c:v>1.3091336449031532</c:v>
                </c:pt>
                <c:pt idx="2">
                  <c:v>1.0956019899950453</c:v>
                </c:pt>
                <c:pt idx="3">
                  <c:v>0.84235678619555932</c:v>
                </c:pt>
                <c:pt idx="4">
                  <c:v>-0.5235126530697739</c:v>
                </c:pt>
                <c:pt idx="5">
                  <c:v>0.36715490926166217</c:v>
                </c:pt>
                <c:pt idx="6">
                  <c:v>-0.41027255268158341</c:v>
                </c:pt>
                <c:pt idx="7">
                  <c:v>1.5424431853955696</c:v>
                </c:pt>
                <c:pt idx="8">
                  <c:v>0.83813374790257189</c:v>
                </c:pt>
                <c:pt idx="9">
                  <c:v>1.6873662981164899</c:v>
                </c:pt>
                <c:pt idx="10">
                  <c:v>0.55700663154665542</c:v>
                </c:pt>
                <c:pt idx="11">
                  <c:v>-2.9696663251610462</c:v>
                </c:pt>
                <c:pt idx="12">
                  <c:v>0.81804953193592678</c:v>
                </c:pt>
                <c:pt idx="13">
                  <c:v>1.1457277124701928</c:v>
                </c:pt>
                <c:pt idx="14">
                  <c:v>1.2114293807879746</c:v>
                </c:pt>
                <c:pt idx="15">
                  <c:v>0.2011400928440524</c:v>
                </c:pt>
                <c:pt idx="16">
                  <c:v>0.24982488908315886</c:v>
                </c:pt>
                <c:pt idx="17">
                  <c:v>1.3650126594638339</c:v>
                </c:pt>
                <c:pt idx="18">
                  <c:v>1.4008256110113066</c:v>
                </c:pt>
                <c:pt idx="19">
                  <c:v>1.328675031374027</c:v>
                </c:pt>
                <c:pt idx="20">
                  <c:v>1.6039222003423697</c:v>
                </c:pt>
                <c:pt idx="21">
                  <c:v>1.7031678558210337</c:v>
                </c:pt>
                <c:pt idx="22">
                  <c:v>0.71628686554147503</c:v>
                </c:pt>
                <c:pt idx="23">
                  <c:v>-0.31124406406430333</c:v>
                </c:pt>
                <c:pt idx="24">
                  <c:v>-0.41282988528697734</c:v>
                </c:pt>
                <c:pt idx="25">
                  <c:v>-1.3622620359421103</c:v>
                </c:pt>
                <c:pt idx="26">
                  <c:v>0.72124239997848716</c:v>
                </c:pt>
                <c:pt idx="27">
                  <c:v>1.3581396697754384</c:v>
                </c:pt>
                <c:pt idx="28">
                  <c:v>-0.6803797979755869</c:v>
                </c:pt>
                <c:pt idx="29">
                  <c:v>1.7059124566256945</c:v>
                </c:pt>
                <c:pt idx="30">
                  <c:v>1.7154702196227654</c:v>
                </c:pt>
                <c:pt idx="31">
                  <c:v>0.62122342693489863</c:v>
                </c:pt>
                <c:pt idx="32">
                  <c:v>0.82075551264219937</c:v>
                </c:pt>
                <c:pt idx="33">
                  <c:v>-1.7782844438250045</c:v>
                </c:pt>
                <c:pt idx="34">
                  <c:v>0.94807199004398157</c:v>
                </c:pt>
                <c:pt idx="35">
                  <c:v>1.9932179281100082</c:v>
                </c:pt>
                <c:pt idx="36">
                  <c:v>0.20129461328893747</c:v>
                </c:pt>
                <c:pt idx="37">
                  <c:v>0.36057037479784271</c:v>
                </c:pt>
                <c:pt idx="38">
                  <c:v>-2.6577138421693975</c:v>
                </c:pt>
                <c:pt idx="39">
                  <c:v>0.97075218315560619</c:v>
                </c:pt>
                <c:pt idx="40">
                  <c:v>1.39009335337882</c:v>
                </c:pt>
                <c:pt idx="41">
                  <c:v>-2.5677238835169054</c:v>
                </c:pt>
                <c:pt idx="42">
                  <c:v>-0.22939952599705798</c:v>
                </c:pt>
                <c:pt idx="43">
                  <c:v>-0.36724681581945395</c:v>
                </c:pt>
                <c:pt idx="44">
                  <c:v>-7.672765675704972E-2</c:v>
                </c:pt>
                <c:pt idx="45">
                  <c:v>-0.26476253412605638</c:v>
                </c:pt>
                <c:pt idx="46">
                  <c:v>0.55175162440299175</c:v>
                </c:pt>
                <c:pt idx="47">
                  <c:v>1.5500079832568743</c:v>
                </c:pt>
                <c:pt idx="48">
                  <c:v>0.91355879957849617</c:v>
                </c:pt>
                <c:pt idx="49">
                  <c:v>0.77677503984815688</c:v>
                </c:pt>
                <c:pt idx="50">
                  <c:v>0.50069182784630251</c:v>
                </c:pt>
                <c:pt idx="51">
                  <c:v>1.2235256487237762</c:v>
                </c:pt>
                <c:pt idx="52">
                  <c:v>1.3925153487050685</c:v>
                </c:pt>
                <c:pt idx="53">
                  <c:v>1.212050482051477</c:v>
                </c:pt>
                <c:pt idx="54">
                  <c:v>1.0843640038508275</c:v>
                </c:pt>
                <c:pt idx="55">
                  <c:v>0.60725198300492922</c:v>
                </c:pt>
                <c:pt idx="56">
                  <c:v>0.80642314374657054</c:v>
                </c:pt>
                <c:pt idx="57">
                  <c:v>2.0100326135820972E-3</c:v>
                </c:pt>
                <c:pt idx="58">
                  <c:v>-0.67245049086541986</c:v>
                </c:pt>
                <c:pt idx="59">
                  <c:v>0.56416397070537705</c:v>
                </c:pt>
                <c:pt idx="60">
                  <c:v>1.1918180014607143</c:v>
                </c:pt>
                <c:pt idx="61">
                  <c:v>1.4547528990347112</c:v>
                </c:pt>
                <c:pt idx="62">
                  <c:v>-0.62303956694129159</c:v>
                </c:pt>
                <c:pt idx="63">
                  <c:v>1.2082573216398751</c:v>
                </c:pt>
                <c:pt idx="64">
                  <c:v>1.215877371994406</c:v>
                </c:pt>
                <c:pt idx="65">
                  <c:v>0.12827749960890689</c:v>
                </c:pt>
                <c:pt idx="66">
                  <c:v>1.0630636004512972</c:v>
                </c:pt>
                <c:pt idx="67">
                  <c:v>0.92396921632579609</c:v>
                </c:pt>
                <c:pt idx="68">
                  <c:v>1.6619945881312785</c:v>
                </c:pt>
                <c:pt idx="69">
                  <c:v>0.96173334293742363</c:v>
                </c:pt>
                <c:pt idx="70">
                  <c:v>-5.4922426643862732</c:v>
                </c:pt>
                <c:pt idx="71">
                  <c:v>0.92011148134581666</c:v>
                </c:pt>
                <c:pt idx="72">
                  <c:v>0.53924701997569502</c:v>
                </c:pt>
                <c:pt idx="73">
                  <c:v>-0.81105818962362319</c:v>
                </c:pt>
                <c:pt idx="74">
                  <c:v>2.2435842313220399E-4</c:v>
                </c:pt>
                <c:pt idx="75">
                  <c:v>-1.1882731752592259</c:v>
                </c:pt>
                <c:pt idx="76">
                  <c:v>-0.41201181912060253</c:v>
                </c:pt>
                <c:pt idx="77">
                  <c:v>0.73953233514009675</c:v>
                </c:pt>
                <c:pt idx="78">
                  <c:v>-3.2556647624348218</c:v>
                </c:pt>
                <c:pt idx="79">
                  <c:v>0.35433863731422433</c:v>
                </c:pt>
                <c:pt idx="80">
                  <c:v>1.2604940930204733</c:v>
                </c:pt>
                <c:pt idx="81">
                  <c:v>0.15178142184161769</c:v>
                </c:pt>
                <c:pt idx="82">
                  <c:v>-0.5692044989020717</c:v>
                </c:pt>
                <c:pt idx="83">
                  <c:v>5.764295581840647E-2</c:v>
                </c:pt>
                <c:pt idx="84">
                  <c:v>-0.54823132575576006</c:v>
                </c:pt>
                <c:pt idx="85">
                  <c:v>0.68159406433263348</c:v>
                </c:pt>
                <c:pt idx="86">
                  <c:v>1.2546171919910609</c:v>
                </c:pt>
                <c:pt idx="87">
                  <c:v>1.3493356561910936</c:v>
                </c:pt>
                <c:pt idx="88">
                  <c:v>0.62532756240134268</c:v>
                </c:pt>
                <c:pt idx="89">
                  <c:v>-0.28974407555897708</c:v>
                </c:pt>
                <c:pt idx="90">
                  <c:v>-0.40081126140393292</c:v>
                </c:pt>
                <c:pt idx="91">
                  <c:v>0.81713665331584029</c:v>
                </c:pt>
                <c:pt idx="92">
                  <c:v>-0.57230776117505344</c:v>
                </c:pt>
                <c:pt idx="93">
                  <c:v>-16.498935084111693</c:v>
                </c:pt>
                <c:pt idx="94">
                  <c:v>-0.37142629531316446</c:v>
                </c:pt>
                <c:pt idx="95">
                  <c:v>0.53350757137035032</c:v>
                </c:pt>
                <c:pt idx="96">
                  <c:v>1.0850155373325066</c:v>
                </c:pt>
                <c:pt idx="97">
                  <c:v>-2.6766558116926622</c:v>
                </c:pt>
                <c:pt idx="98">
                  <c:v>9.3731100137612378E-2</c:v>
                </c:pt>
                <c:pt idx="99">
                  <c:v>1.4562445311529146</c:v>
                </c:pt>
                <c:pt idx="100">
                  <c:v>1.0013227032661458</c:v>
                </c:pt>
                <c:pt idx="101">
                  <c:v>0.68201172169507973</c:v>
                </c:pt>
                <c:pt idx="102">
                  <c:v>0.79789331951816189</c:v>
                </c:pt>
                <c:pt idx="103">
                  <c:v>0.87892132044580684</c:v>
                </c:pt>
                <c:pt idx="104">
                  <c:v>-0.20254806557181931</c:v>
                </c:pt>
                <c:pt idx="105">
                  <c:v>1.0811233269410208</c:v>
                </c:pt>
                <c:pt idx="106">
                  <c:v>0.93480807769532115</c:v>
                </c:pt>
                <c:pt idx="107">
                  <c:v>0.81156890823113592</c:v>
                </c:pt>
                <c:pt idx="108">
                  <c:v>0.31086355007531158</c:v>
                </c:pt>
                <c:pt idx="109">
                  <c:v>1.0879849165041495</c:v>
                </c:pt>
                <c:pt idx="110">
                  <c:v>5.9354014773170836E-2</c:v>
                </c:pt>
                <c:pt idx="111">
                  <c:v>1.2751173534924103</c:v>
                </c:pt>
                <c:pt idx="112">
                  <c:v>7.6107760629955029E-2</c:v>
                </c:pt>
                <c:pt idx="113">
                  <c:v>0.79696588527104639</c:v>
                </c:pt>
                <c:pt idx="114">
                  <c:v>0.85142113785210194</c:v>
                </c:pt>
                <c:pt idx="115">
                  <c:v>1.4225902583612093</c:v>
                </c:pt>
                <c:pt idx="116">
                  <c:v>-0.97152884968160691</c:v>
                </c:pt>
                <c:pt idx="117">
                  <c:v>1.8263531635581522</c:v>
                </c:pt>
                <c:pt idx="118">
                  <c:v>-11.83326673700285</c:v>
                </c:pt>
                <c:pt idx="119">
                  <c:v>-6.2618588350974058E-2</c:v>
                </c:pt>
                <c:pt idx="120">
                  <c:v>1.3201377039779905</c:v>
                </c:pt>
                <c:pt idx="121">
                  <c:v>-1.5013171519921396</c:v>
                </c:pt>
                <c:pt idx="122">
                  <c:v>-0.96227426158011131</c:v>
                </c:pt>
                <c:pt idx="123">
                  <c:v>0.27075580315359721</c:v>
                </c:pt>
                <c:pt idx="124">
                  <c:v>0.97388075699640275</c:v>
                </c:pt>
                <c:pt idx="125">
                  <c:v>0.98927735711039966</c:v>
                </c:pt>
                <c:pt idx="126">
                  <c:v>0.45173493765348571</c:v>
                </c:pt>
                <c:pt idx="127">
                  <c:v>0.85413285756106649</c:v>
                </c:pt>
                <c:pt idx="128">
                  <c:v>1.2121043291515541</c:v>
                </c:pt>
                <c:pt idx="129">
                  <c:v>1.6209009549778612</c:v>
                </c:pt>
                <c:pt idx="130">
                  <c:v>0.54307518253268949</c:v>
                </c:pt>
                <c:pt idx="131">
                  <c:v>0.90714645454183696</c:v>
                </c:pt>
                <c:pt idx="132">
                  <c:v>1.3815995670711445</c:v>
                </c:pt>
                <c:pt idx="133">
                  <c:v>1.7839394728999616</c:v>
                </c:pt>
                <c:pt idx="134">
                  <c:v>-0.3970157335799378</c:v>
                </c:pt>
                <c:pt idx="135">
                  <c:v>0.13379758361633415</c:v>
                </c:pt>
                <c:pt idx="136">
                  <c:v>1.2524697090665706</c:v>
                </c:pt>
                <c:pt idx="137">
                  <c:v>0.40036050734973772</c:v>
                </c:pt>
                <c:pt idx="138">
                  <c:v>0.8046772206540076</c:v>
                </c:pt>
                <c:pt idx="139">
                  <c:v>1.106345552653518</c:v>
                </c:pt>
                <c:pt idx="140">
                  <c:v>1.4663900453988548</c:v>
                </c:pt>
                <c:pt idx="141">
                  <c:v>0.9517730808973659</c:v>
                </c:pt>
                <c:pt idx="142">
                  <c:v>-0.71483224694057956</c:v>
                </c:pt>
                <c:pt idx="143">
                  <c:v>0.71256314773208862</c:v>
                </c:pt>
                <c:pt idx="144">
                  <c:v>0.25103100665703171</c:v>
                </c:pt>
                <c:pt idx="145">
                  <c:v>0.96131518644039138</c:v>
                </c:pt>
                <c:pt idx="146">
                  <c:v>1.0280353653140426</c:v>
                </c:pt>
                <c:pt idx="147">
                  <c:v>-0.15185744068863755</c:v>
                </c:pt>
                <c:pt idx="148">
                  <c:v>0.10679171253998876</c:v>
                </c:pt>
                <c:pt idx="149">
                  <c:v>-1.6783937190189135</c:v>
                </c:pt>
                <c:pt idx="150">
                  <c:v>-1.8234133021412182</c:v>
                </c:pt>
                <c:pt idx="151">
                  <c:v>3.7031560630135019E-2</c:v>
                </c:pt>
                <c:pt idx="152">
                  <c:v>0.48434082174706972</c:v>
                </c:pt>
                <c:pt idx="153">
                  <c:v>-7.6931853992507654E-2</c:v>
                </c:pt>
                <c:pt idx="154">
                  <c:v>0.78372211038712347</c:v>
                </c:pt>
                <c:pt idx="155">
                  <c:v>0.51715403057332532</c:v>
                </c:pt>
                <c:pt idx="156">
                  <c:v>1.2883103655369423</c:v>
                </c:pt>
                <c:pt idx="157">
                  <c:v>0.33237067337899018</c:v>
                </c:pt>
                <c:pt idx="158">
                  <c:v>-1.7637026160768867</c:v>
                </c:pt>
                <c:pt idx="159">
                  <c:v>-0.57751072378606139</c:v>
                </c:pt>
                <c:pt idx="160">
                  <c:v>-0.20578182935343445</c:v>
                </c:pt>
                <c:pt idx="161">
                  <c:v>-0.59154674659454154</c:v>
                </c:pt>
                <c:pt idx="162">
                  <c:v>-43.354049612506287</c:v>
                </c:pt>
                <c:pt idx="163">
                  <c:v>1.0062889614682602</c:v>
                </c:pt>
                <c:pt idx="164">
                  <c:v>0.2579662091428776</c:v>
                </c:pt>
                <c:pt idx="165">
                  <c:v>-0.95531987296130294</c:v>
                </c:pt>
                <c:pt idx="166">
                  <c:v>-0.8432173863575374</c:v>
                </c:pt>
                <c:pt idx="167">
                  <c:v>1.1838390954731388</c:v>
                </c:pt>
                <c:pt idx="168">
                  <c:v>0.69397026990096622</c:v>
                </c:pt>
                <c:pt idx="169">
                  <c:v>1.2011977603889805</c:v>
                </c:pt>
                <c:pt idx="170">
                  <c:v>0.86972207491535247</c:v>
                </c:pt>
                <c:pt idx="171">
                  <c:v>1.6626136320532234</c:v>
                </c:pt>
                <c:pt idx="172">
                  <c:v>1.0281076744091668</c:v>
                </c:pt>
                <c:pt idx="173">
                  <c:v>0.6936931551369121</c:v>
                </c:pt>
                <c:pt idx="174">
                  <c:v>0.80130730364717984</c:v>
                </c:pt>
                <c:pt idx="175">
                  <c:v>0.81907567253715241</c:v>
                </c:pt>
                <c:pt idx="176">
                  <c:v>0.92438415370681071</c:v>
                </c:pt>
                <c:pt idx="177">
                  <c:v>0.68377728141937177</c:v>
                </c:pt>
                <c:pt idx="178">
                  <c:v>0.70480112486879187</c:v>
                </c:pt>
                <c:pt idx="179">
                  <c:v>-0.32207212544307795</c:v>
                </c:pt>
                <c:pt idx="180">
                  <c:v>7.652114573201016E-2</c:v>
                </c:pt>
                <c:pt idx="181">
                  <c:v>0.29309841264283321</c:v>
                </c:pt>
                <c:pt idx="182">
                  <c:v>0.45224570066830283</c:v>
                </c:pt>
                <c:pt idx="183">
                  <c:v>0.99986028637846558</c:v>
                </c:pt>
                <c:pt idx="184">
                  <c:v>-1.34922459811277E-2</c:v>
                </c:pt>
                <c:pt idx="185">
                  <c:v>1.1718151399003709</c:v>
                </c:pt>
                <c:pt idx="186">
                  <c:v>0.52962142599701811</c:v>
                </c:pt>
                <c:pt idx="187">
                  <c:v>0.90175582897068596</c:v>
                </c:pt>
                <c:pt idx="188">
                  <c:v>-6.2510796252092091E-2</c:v>
                </c:pt>
                <c:pt idx="189">
                  <c:v>1.3438303440250012</c:v>
                </c:pt>
                <c:pt idx="190">
                  <c:v>1.6209178463644041</c:v>
                </c:pt>
                <c:pt idx="191">
                  <c:v>-0.54800863044051606</c:v>
                </c:pt>
                <c:pt idx="192">
                  <c:v>0.50370086140595749</c:v>
                </c:pt>
                <c:pt idx="193">
                  <c:v>1.0184806255092227</c:v>
                </c:pt>
                <c:pt idx="194">
                  <c:v>0.31689832987625144</c:v>
                </c:pt>
                <c:pt idx="195">
                  <c:v>0.41102126528536054</c:v>
                </c:pt>
                <c:pt idx="196">
                  <c:v>1.1218951216657658</c:v>
                </c:pt>
                <c:pt idx="197">
                  <c:v>-4.1617536434084643</c:v>
                </c:pt>
                <c:pt idx="198">
                  <c:v>0.70088302257340163</c:v>
                </c:pt>
                <c:pt idx="199">
                  <c:v>0.7722854195676313</c:v>
                </c:pt>
                <c:pt idx="200">
                  <c:v>0.46703924696236887</c:v>
                </c:pt>
                <c:pt idx="201">
                  <c:v>0.8816328977254061</c:v>
                </c:pt>
                <c:pt idx="202">
                  <c:v>0.90562349287986998</c:v>
                </c:pt>
                <c:pt idx="203">
                  <c:v>1.56668060466801</c:v>
                </c:pt>
                <c:pt idx="204">
                  <c:v>-6.3246112890114423</c:v>
                </c:pt>
                <c:pt idx="205">
                  <c:v>1.1401889644843153</c:v>
                </c:pt>
                <c:pt idx="206">
                  <c:v>0.79349329470577923</c:v>
                </c:pt>
                <c:pt idx="207">
                  <c:v>-0.26043602421131823</c:v>
                </c:pt>
                <c:pt idx="208">
                  <c:v>0.99084970365804392</c:v>
                </c:pt>
                <c:pt idx="209">
                  <c:v>-0.41633427361698527</c:v>
                </c:pt>
                <c:pt idx="210">
                  <c:v>1.1809376281095445</c:v>
                </c:pt>
                <c:pt idx="211">
                  <c:v>-12.311851435568256</c:v>
                </c:pt>
                <c:pt idx="212">
                  <c:v>-0.41116807254390952</c:v>
                </c:pt>
                <c:pt idx="213">
                  <c:v>1.0204431125600861</c:v>
                </c:pt>
                <c:pt idx="214">
                  <c:v>1.0205085339105315</c:v>
                </c:pt>
                <c:pt idx="215">
                  <c:v>0.87143498533636832</c:v>
                </c:pt>
                <c:pt idx="216">
                  <c:v>1.3834436160473538</c:v>
                </c:pt>
                <c:pt idx="217">
                  <c:v>1.5587494731461311</c:v>
                </c:pt>
                <c:pt idx="218">
                  <c:v>-0.42629419060423512</c:v>
                </c:pt>
                <c:pt idx="219">
                  <c:v>-0.32918151990736161</c:v>
                </c:pt>
                <c:pt idx="220">
                  <c:v>-0.32777489731046539</c:v>
                </c:pt>
                <c:pt idx="221">
                  <c:v>0.93602041713573825</c:v>
                </c:pt>
                <c:pt idx="222">
                  <c:v>0.38195609317238222</c:v>
                </c:pt>
                <c:pt idx="223">
                  <c:v>4.8469522183928554E-2</c:v>
                </c:pt>
                <c:pt idx="224">
                  <c:v>-2.8151608731835376</c:v>
                </c:pt>
                <c:pt idx="225">
                  <c:v>0.14154062689514429</c:v>
                </c:pt>
                <c:pt idx="226">
                  <c:v>0.43383219841031101</c:v>
                </c:pt>
                <c:pt idx="227">
                  <c:v>0.76865874000361856</c:v>
                </c:pt>
                <c:pt idx="228">
                  <c:v>0.83391957612450018</c:v>
                </c:pt>
                <c:pt idx="229">
                  <c:v>0.72602213278340877</c:v>
                </c:pt>
                <c:pt idx="230">
                  <c:v>0.44458420340571791</c:v>
                </c:pt>
                <c:pt idx="231">
                  <c:v>1.4806635078354342</c:v>
                </c:pt>
                <c:pt idx="232">
                  <c:v>0.22276173482117378</c:v>
                </c:pt>
                <c:pt idx="233">
                  <c:v>1.2032065703301553</c:v>
                </c:pt>
                <c:pt idx="234">
                  <c:v>-9.37890999093608</c:v>
                </c:pt>
                <c:pt idx="235">
                  <c:v>0.89321014073705463</c:v>
                </c:pt>
                <c:pt idx="236">
                  <c:v>-0.21405020609150213</c:v>
                </c:pt>
                <c:pt idx="237">
                  <c:v>1.2610324552154373</c:v>
                </c:pt>
                <c:pt idx="238">
                  <c:v>1.5197509839341798</c:v>
                </c:pt>
                <c:pt idx="239">
                  <c:v>1.2407914555656021</c:v>
                </c:pt>
                <c:pt idx="240">
                  <c:v>0.49895472984951572</c:v>
                </c:pt>
                <c:pt idx="241">
                  <c:v>0.81071504467593891</c:v>
                </c:pt>
                <c:pt idx="242">
                  <c:v>1.6644329727202687</c:v>
                </c:pt>
                <c:pt idx="243">
                  <c:v>1.5316186095693824</c:v>
                </c:pt>
                <c:pt idx="244">
                  <c:v>1.2193999275408967</c:v>
                </c:pt>
                <c:pt idx="245">
                  <c:v>1.3005120604842286</c:v>
                </c:pt>
                <c:pt idx="246">
                  <c:v>-6.247269173050646</c:v>
                </c:pt>
                <c:pt idx="247">
                  <c:v>-12.917361113489784</c:v>
                </c:pt>
                <c:pt idx="248">
                  <c:v>1.6104897202549602</c:v>
                </c:pt>
                <c:pt idx="249">
                  <c:v>0.34579744959722691</c:v>
                </c:pt>
                <c:pt idx="250">
                  <c:v>1.3997722993794481</c:v>
                </c:pt>
                <c:pt idx="251">
                  <c:v>0.91899709291414466</c:v>
                </c:pt>
                <c:pt idx="252">
                  <c:v>1.2050256813416409</c:v>
                </c:pt>
                <c:pt idx="253">
                  <c:v>0.22160399153772267</c:v>
                </c:pt>
                <c:pt idx="254">
                  <c:v>1.5486694934550151</c:v>
                </c:pt>
                <c:pt idx="255">
                  <c:v>1.4744322307453395</c:v>
                </c:pt>
                <c:pt idx="256">
                  <c:v>1.4195247400321773</c:v>
                </c:pt>
                <c:pt idx="257">
                  <c:v>1.6294626041304723</c:v>
                </c:pt>
                <c:pt idx="258">
                  <c:v>1.6568395432826026</c:v>
                </c:pt>
                <c:pt idx="259">
                  <c:v>1.6106197697814653</c:v>
                </c:pt>
                <c:pt idx="260">
                  <c:v>1.3309699744177606E-2</c:v>
                </c:pt>
                <c:pt idx="261">
                  <c:v>1.4912246023588274</c:v>
                </c:pt>
                <c:pt idx="262">
                  <c:v>0.41563938838754133</c:v>
                </c:pt>
                <c:pt idx="263">
                  <c:v>0.83172308172639042</c:v>
                </c:pt>
                <c:pt idx="264">
                  <c:v>-0.18576659006056193</c:v>
                </c:pt>
                <c:pt idx="265">
                  <c:v>0.94319930988586287</c:v>
                </c:pt>
                <c:pt idx="266">
                  <c:v>0.19499900984000401</c:v>
                </c:pt>
                <c:pt idx="267">
                  <c:v>6.2529645651663232E-2</c:v>
                </c:pt>
                <c:pt idx="268">
                  <c:v>0.11435193287327042</c:v>
                </c:pt>
                <c:pt idx="269">
                  <c:v>-0.36928332037107275</c:v>
                </c:pt>
                <c:pt idx="270">
                  <c:v>1.4605735976196244</c:v>
                </c:pt>
                <c:pt idx="271">
                  <c:v>-4.0523071720144124</c:v>
                </c:pt>
                <c:pt idx="272">
                  <c:v>-0.38383831800469992</c:v>
                </c:pt>
                <c:pt idx="273">
                  <c:v>7.9587043080019917E-2</c:v>
                </c:pt>
                <c:pt idx="274">
                  <c:v>0.17988680191087167</c:v>
                </c:pt>
                <c:pt idx="275">
                  <c:v>1.0994381014862749</c:v>
                </c:pt>
                <c:pt idx="276">
                  <c:v>-2.0754905201199194</c:v>
                </c:pt>
                <c:pt idx="277">
                  <c:v>-1.6102034997541628</c:v>
                </c:pt>
                <c:pt idx="278">
                  <c:v>0.45845151139549606</c:v>
                </c:pt>
                <c:pt idx="279">
                  <c:v>-1.0332795505764596</c:v>
                </c:pt>
                <c:pt idx="280">
                  <c:v>-0.6774778908219401</c:v>
                </c:pt>
                <c:pt idx="281">
                  <c:v>-1.2169066298707398</c:v>
                </c:pt>
                <c:pt idx="282">
                  <c:v>-1.1089827956364209</c:v>
                </c:pt>
                <c:pt idx="283">
                  <c:v>2.0239481933645553</c:v>
                </c:pt>
                <c:pt idx="284">
                  <c:v>2.1601486350563643</c:v>
                </c:pt>
                <c:pt idx="285">
                  <c:v>-0.39959926605213258</c:v>
                </c:pt>
                <c:pt idx="286">
                  <c:v>-2.805673453810015</c:v>
                </c:pt>
                <c:pt idx="287">
                  <c:v>1.3967230260125494</c:v>
                </c:pt>
                <c:pt idx="288">
                  <c:v>1.7609490835850554</c:v>
                </c:pt>
                <c:pt idx="289">
                  <c:v>1.1808362782249475</c:v>
                </c:pt>
                <c:pt idx="290">
                  <c:v>1.4764342126657379</c:v>
                </c:pt>
                <c:pt idx="291">
                  <c:v>0.8019716783198203</c:v>
                </c:pt>
                <c:pt idx="292">
                  <c:v>0.63872398730059787</c:v>
                </c:pt>
                <c:pt idx="293">
                  <c:v>0.6205847076536658</c:v>
                </c:pt>
                <c:pt idx="294">
                  <c:v>1.6081616386053215</c:v>
                </c:pt>
                <c:pt idx="295">
                  <c:v>-0.26020481689901004</c:v>
                </c:pt>
                <c:pt idx="296">
                  <c:v>1.4794130910303815</c:v>
                </c:pt>
                <c:pt idx="297">
                  <c:v>1.2692637573311025</c:v>
                </c:pt>
                <c:pt idx="298">
                  <c:v>1.8213317426903617</c:v>
                </c:pt>
                <c:pt idx="299">
                  <c:v>1.207704656623223</c:v>
                </c:pt>
                <c:pt idx="300">
                  <c:v>1.7828139264239955</c:v>
                </c:pt>
                <c:pt idx="301">
                  <c:v>-1.3224666853308564</c:v>
                </c:pt>
                <c:pt idx="302">
                  <c:v>-0.39987023380190734</c:v>
                </c:pt>
                <c:pt idx="303">
                  <c:v>0.4444178091845894</c:v>
                </c:pt>
                <c:pt idx="304">
                  <c:v>1.0928660386866533</c:v>
                </c:pt>
                <c:pt idx="305">
                  <c:v>-0.52558772168298074</c:v>
                </c:pt>
                <c:pt idx="306">
                  <c:v>-2.7834648466294358</c:v>
                </c:pt>
                <c:pt idx="307">
                  <c:v>0.98166388024334128</c:v>
                </c:pt>
                <c:pt idx="308">
                  <c:v>-0.26859450463456092</c:v>
                </c:pt>
                <c:pt idx="309">
                  <c:v>0.58582241129911305</c:v>
                </c:pt>
                <c:pt idx="310">
                  <c:v>-0.53209523427765693</c:v>
                </c:pt>
                <c:pt idx="311">
                  <c:v>0.86208137379249017</c:v>
                </c:pt>
                <c:pt idx="312">
                  <c:v>-0.38751098422456642</c:v>
                </c:pt>
                <c:pt idx="313">
                  <c:v>-0.23314626964658372</c:v>
                </c:pt>
                <c:pt idx="314">
                  <c:v>0.44782853257045185</c:v>
                </c:pt>
                <c:pt idx="315">
                  <c:v>-0.742019485245488</c:v>
                </c:pt>
                <c:pt idx="316">
                  <c:v>8.7727633925802448E-2</c:v>
                </c:pt>
                <c:pt idx="317">
                  <c:v>-0.5650308401031876</c:v>
                </c:pt>
                <c:pt idx="318">
                  <c:v>-0.13449010230288611</c:v>
                </c:pt>
                <c:pt idx="319">
                  <c:v>-0.94157952362958808</c:v>
                </c:pt>
                <c:pt idx="320">
                  <c:v>-2.4405895338350785</c:v>
                </c:pt>
                <c:pt idx="321">
                  <c:v>-0.95352644963710564</c:v>
                </c:pt>
                <c:pt idx="322">
                  <c:v>-3.2492333040617756</c:v>
                </c:pt>
                <c:pt idx="323">
                  <c:v>-1.5182750546774748</c:v>
                </c:pt>
                <c:pt idx="324">
                  <c:v>-1.8016880559513047</c:v>
                </c:pt>
                <c:pt idx="325">
                  <c:v>-2.966970382303717</c:v>
                </c:pt>
                <c:pt idx="326">
                  <c:v>-4.2472030998837784</c:v>
                </c:pt>
                <c:pt idx="327">
                  <c:v>0.24048239044571187</c:v>
                </c:pt>
                <c:pt idx="328">
                  <c:v>-7.0461619761813568</c:v>
                </c:pt>
                <c:pt idx="329">
                  <c:v>-1.7839315065435732</c:v>
                </c:pt>
                <c:pt idx="330">
                  <c:v>-0.12767603061084765</c:v>
                </c:pt>
                <c:pt idx="331">
                  <c:v>-1.4731884335903289</c:v>
                </c:pt>
                <c:pt idx="332">
                  <c:v>1.0915763315856322</c:v>
                </c:pt>
                <c:pt idx="333">
                  <c:v>-4.3293510877253499E-2</c:v>
                </c:pt>
                <c:pt idx="334">
                  <c:v>1.1023796577267162</c:v>
                </c:pt>
                <c:pt idx="335">
                  <c:v>-0.94985694133888698</c:v>
                </c:pt>
                <c:pt idx="336">
                  <c:v>0.94026786766320702</c:v>
                </c:pt>
                <c:pt idx="337">
                  <c:v>4.2635367073306542E-3</c:v>
                </c:pt>
                <c:pt idx="338">
                  <c:v>0.23085168300954714</c:v>
                </c:pt>
                <c:pt idx="339">
                  <c:v>-0.37895886314257049</c:v>
                </c:pt>
                <c:pt idx="340">
                  <c:v>1.2146709192002456</c:v>
                </c:pt>
                <c:pt idx="341">
                  <c:v>1.2695244239227648</c:v>
                </c:pt>
                <c:pt idx="342">
                  <c:v>0.49862692756872701</c:v>
                </c:pt>
                <c:pt idx="343">
                  <c:v>-0.92031033033394416</c:v>
                </c:pt>
                <c:pt idx="344">
                  <c:v>1.3794040885757992</c:v>
                </c:pt>
                <c:pt idx="345">
                  <c:v>1.1863103278801754</c:v>
                </c:pt>
                <c:pt idx="346">
                  <c:v>0.59714707405913492</c:v>
                </c:pt>
                <c:pt idx="347">
                  <c:v>1.7951912518248707</c:v>
                </c:pt>
                <c:pt idx="348">
                  <c:v>-1.4586234689705257</c:v>
                </c:pt>
                <c:pt idx="349">
                  <c:v>0.87889965818520188</c:v>
                </c:pt>
                <c:pt idx="350">
                  <c:v>0.76703808927087236</c:v>
                </c:pt>
                <c:pt idx="351">
                  <c:v>-0.1732588311239327</c:v>
                </c:pt>
                <c:pt idx="352">
                  <c:v>-0.28141100431195387</c:v>
                </c:pt>
                <c:pt idx="353">
                  <c:v>-1.0009391305602602</c:v>
                </c:pt>
                <c:pt idx="354">
                  <c:v>0.44132067857062152</c:v>
                </c:pt>
                <c:pt idx="355">
                  <c:v>1.3778040373850091</c:v>
                </c:pt>
                <c:pt idx="356">
                  <c:v>1.035537548521863</c:v>
                </c:pt>
                <c:pt idx="357">
                  <c:v>-1.3712036180297187</c:v>
                </c:pt>
                <c:pt idx="358">
                  <c:v>1.1152025555576683</c:v>
                </c:pt>
                <c:pt idx="359">
                  <c:v>-2.9650725381696565</c:v>
                </c:pt>
                <c:pt idx="360">
                  <c:v>1.5237542193525282</c:v>
                </c:pt>
                <c:pt idx="361">
                  <c:v>-0.26893285925034</c:v>
                </c:pt>
                <c:pt idx="362">
                  <c:v>1.4584972357189778</c:v>
                </c:pt>
                <c:pt idx="363">
                  <c:v>1.4423808665688265</c:v>
                </c:pt>
                <c:pt idx="364">
                  <c:v>1.6083474749381677</c:v>
                </c:pt>
                <c:pt idx="365">
                  <c:v>1.4814949106376289</c:v>
                </c:pt>
                <c:pt idx="366">
                  <c:v>0.66464121770863505</c:v>
                </c:pt>
                <c:pt idx="367">
                  <c:v>2.7901505266680329E-4</c:v>
                </c:pt>
                <c:pt idx="368">
                  <c:v>-6.2167464224081259</c:v>
                </c:pt>
                <c:pt idx="369">
                  <c:v>-0.76367668229004315</c:v>
                </c:pt>
                <c:pt idx="370">
                  <c:v>1.5863631694112215</c:v>
                </c:pt>
                <c:pt idx="371">
                  <c:v>-2.9851851416471784</c:v>
                </c:pt>
                <c:pt idx="372">
                  <c:v>1.5720518578189646</c:v>
                </c:pt>
                <c:pt idx="373">
                  <c:v>0.96976951655391475</c:v>
                </c:pt>
                <c:pt idx="374">
                  <c:v>1.2591743663011836</c:v>
                </c:pt>
                <c:pt idx="375">
                  <c:v>1.3258508536678328</c:v>
                </c:pt>
                <c:pt idx="376">
                  <c:v>0.35317258593454226</c:v>
                </c:pt>
                <c:pt idx="377">
                  <c:v>1.265275138036319</c:v>
                </c:pt>
                <c:pt idx="378">
                  <c:v>1.3422861821559617</c:v>
                </c:pt>
                <c:pt idx="379">
                  <c:v>0.2788110725743283</c:v>
                </c:pt>
              </c:numCache>
            </c:numRef>
          </c:xVal>
          <c:yVal>
            <c:numRef>
              <c:f>PCA!$BZ$29:$BZ$408</c:f>
              <c:numCache>
                <c:formatCode>General</c:formatCode>
                <c:ptCount val="38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1.7412802087504518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0.39751995424311842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-1.2484131283221616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-1.3823999136022844</c:v>
                </c:pt>
                <c:pt idx="119">
                  <c:v>#N/A</c:v>
                </c:pt>
                <c:pt idx="120">
                  <c:v>#N/A</c:v>
                </c:pt>
                <c:pt idx="121">
                  <c:v>1.2025425402482246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1.4886690784273446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2.4241319297419412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0.30431060065866611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0.49300441649764953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0.92366926784443426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-2.6673492430349152E-2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1.8754080553820816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-0.38571982045109759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-0.10844644872713755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3.6358860760421923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0.4084001196249763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520640"/>
        <c:axId val="245522816"/>
      </c:scatterChart>
      <c:valAx>
        <c:axId val="245520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Prin_comp1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45522816"/>
        <c:crosses val="autoZero"/>
        <c:crossBetween val="midCat"/>
      </c:valAx>
      <c:valAx>
        <c:axId val="245522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Prin_comp2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4552064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5" Type="http://schemas.openxmlformats.org/officeDocument/2006/relationships/chart" Target="../charts/chart2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22</xdr:row>
      <xdr:rowOff>137160</xdr:rowOff>
    </xdr:from>
    <xdr:to>
      <xdr:col>6</xdr:col>
      <xdr:colOff>327660</xdr:colOff>
      <xdr:row>25</xdr:row>
      <xdr:rowOff>106680</xdr:rowOff>
    </xdr:to>
    <xdr:pic>
      <xdr:nvPicPr>
        <xdr:cNvPr id="3" name="Obraz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7900" y="2514600"/>
          <a:ext cx="1737360" cy="518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228600</xdr:colOff>
      <xdr:row>11</xdr:row>
      <xdr:rowOff>60960</xdr:rowOff>
    </xdr:from>
    <xdr:to>
      <xdr:col>6</xdr:col>
      <xdr:colOff>312420</xdr:colOff>
      <xdr:row>13</xdr:row>
      <xdr:rowOff>60960</xdr:rowOff>
    </xdr:to>
    <xdr:pic>
      <xdr:nvPicPr>
        <xdr:cNvPr id="4" name="Obraz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2072640"/>
          <a:ext cx="130302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76200</xdr:colOff>
      <xdr:row>16</xdr:row>
      <xdr:rowOff>152400</xdr:rowOff>
    </xdr:from>
    <xdr:to>
      <xdr:col>7</xdr:col>
      <xdr:colOff>45720</xdr:colOff>
      <xdr:row>18</xdr:row>
      <xdr:rowOff>152400</xdr:rowOff>
    </xdr:to>
    <xdr:pic>
      <xdr:nvPicPr>
        <xdr:cNvPr id="6" name="Obraz 5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0" y="3078480"/>
          <a:ext cx="179832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331470</xdr:colOff>
      <xdr:row>16</xdr:row>
      <xdr:rowOff>129540</xdr:rowOff>
    </xdr:from>
    <xdr:to>
      <xdr:col>34</xdr:col>
      <xdr:colOff>26670</xdr:colOff>
      <xdr:row>23</xdr:row>
      <xdr:rowOff>312420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60960</xdr:colOff>
      <xdr:row>1</xdr:row>
      <xdr:rowOff>76200</xdr:rowOff>
    </xdr:from>
    <xdr:to>
      <xdr:col>41</xdr:col>
      <xdr:colOff>76200</xdr:colOff>
      <xdr:row>9</xdr:row>
      <xdr:rowOff>129540</xdr:rowOff>
    </xdr:to>
    <xdr:sp macro="" textlink="">
      <xdr:nvSpPr>
        <xdr:cNvPr id="3" name="AutoShape 14"/>
        <xdr:cNvSpPr>
          <a:spLocks noChangeArrowheads="1"/>
        </xdr:cNvSpPr>
      </xdr:nvSpPr>
      <xdr:spPr bwMode="auto">
        <a:xfrm>
          <a:off x="16710660" y="259080"/>
          <a:ext cx="8549640" cy="1516380"/>
        </a:xfrm>
        <a:prstGeom prst="wedgeRoundRectCallout">
          <a:avLst>
            <a:gd name="adj1" fmla="val -46463"/>
            <a:gd name="adj2" fmla="val 74639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C99FF" mc:Ignorable="a14" a14:legacySpreadsheetColorIndex="46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pl-PL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= PRZESUNIĘCIE (start, count_rows, count_columns, height, width)</a:t>
          </a:r>
        </a:p>
        <a:p>
          <a:pPr algn="l" rtl="0">
            <a:defRPr sz="1000"/>
          </a:pPr>
          <a:r>
            <a:rPr lang="pl-PL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- the function dynamically defines the range taken into account -&gt; the result must become an argument of another function, eg SUM ()</a:t>
          </a:r>
        </a:p>
        <a:p>
          <a:pPr algn="l" rtl="0">
            <a:defRPr sz="1000"/>
          </a:pPr>
          <a:r>
            <a:rPr lang="pl-PL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- if you do not know how many numbers are added to the range, the height or width is defined with the ILE.LICZB(). eg ILE.LICZB(A: A)</a:t>
          </a:r>
        </a:p>
        <a:p>
          <a:pPr algn="l" rtl="0">
            <a:defRPr sz="1000"/>
          </a:pPr>
          <a:r>
            <a:rPr lang="pl-PL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- The second and third arguments move the reference to the cell on the "chess horse" principle - when height = 1 and width = 1 or omitted, the result is one cell</a:t>
          </a:r>
        </a:p>
      </xdr:txBody>
    </xdr:sp>
    <xdr:clientData/>
  </xdr:twoCellAnchor>
  <xdr:twoCellAnchor>
    <xdr:from>
      <xdr:col>13</xdr:col>
      <xdr:colOff>7620</xdr:colOff>
      <xdr:row>5</xdr:row>
      <xdr:rowOff>7620</xdr:rowOff>
    </xdr:from>
    <xdr:to>
      <xdr:col>15</xdr:col>
      <xdr:colOff>129540</xdr:colOff>
      <xdr:row>7</xdr:row>
      <xdr:rowOff>7620</xdr:rowOff>
    </xdr:to>
    <xdr:pic>
      <xdr:nvPicPr>
        <xdr:cNvPr id="4" name="Obraz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922020"/>
          <a:ext cx="130302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502920</xdr:colOff>
      <xdr:row>44</xdr:row>
      <xdr:rowOff>99060</xdr:rowOff>
    </xdr:from>
    <xdr:to>
      <xdr:col>25</xdr:col>
      <xdr:colOff>472440</xdr:colOff>
      <xdr:row>46</xdr:row>
      <xdr:rowOff>99060</xdr:rowOff>
    </xdr:to>
    <xdr:pic>
      <xdr:nvPicPr>
        <xdr:cNvPr id="5" name="Obraz 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76020" y="11986260"/>
          <a:ext cx="179832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67</xdr:row>
      <xdr:rowOff>0</xdr:rowOff>
    </xdr:from>
    <xdr:to>
      <xdr:col>16</xdr:col>
      <xdr:colOff>556260</xdr:colOff>
      <xdr:row>69</xdr:row>
      <xdr:rowOff>152400</xdr:rowOff>
    </xdr:to>
    <xdr:pic>
      <xdr:nvPicPr>
        <xdr:cNvPr id="6" name="Obraz 5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8105120"/>
          <a:ext cx="1737360" cy="518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201930</xdr:colOff>
      <xdr:row>31</xdr:row>
      <xdr:rowOff>7620</xdr:rowOff>
    </xdr:from>
    <xdr:to>
      <xdr:col>27</xdr:col>
      <xdr:colOff>506730</xdr:colOff>
      <xdr:row>38</xdr:row>
      <xdr:rowOff>190500</xdr:rowOff>
    </xdr:to>
    <xdr:graphicFrame macro="">
      <xdr:nvGraphicFramePr>
        <xdr:cNvPr id="7" name="Wykres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403860</xdr:colOff>
      <xdr:row>10</xdr:row>
      <xdr:rowOff>160020</xdr:rowOff>
    </xdr:from>
    <xdr:to>
      <xdr:col>32</xdr:col>
      <xdr:colOff>266700</xdr:colOff>
      <xdr:row>16</xdr:row>
      <xdr:rowOff>121920</xdr:rowOff>
    </xdr:to>
    <xdr:sp macro="" textlink="">
      <xdr:nvSpPr>
        <xdr:cNvPr id="8" name="Objaśnienie owalne 7"/>
        <xdr:cNvSpPr/>
      </xdr:nvSpPr>
      <xdr:spPr>
        <a:xfrm>
          <a:off x="16215360" y="1988820"/>
          <a:ext cx="3520440" cy="1424940"/>
        </a:xfrm>
        <a:prstGeom prst="wedgeEllipseCallout">
          <a:avLst>
            <a:gd name="adj1" fmla="val -77976"/>
            <a:gd name="adj2" fmla="val -63674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l-PL" sz="1100" b="1"/>
            <a:t>Warning! In some studies at this stage, it is proposed to compare the mean, not the individual observations, which "kills" the variation in the sample.</a:t>
          </a:r>
          <a:endParaRPr lang="pl-P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121920</xdr:colOff>
      <xdr:row>23</xdr:row>
      <xdr:rowOff>167640</xdr:rowOff>
    </xdr:from>
    <xdr:to>
      <xdr:col>19</xdr:col>
      <xdr:colOff>205740</xdr:colOff>
      <xdr:row>27</xdr:row>
      <xdr:rowOff>60960</xdr:rowOff>
    </xdr:to>
    <xdr:sp macro="" textlink="">
      <xdr:nvSpPr>
        <xdr:cNvPr id="2" name="Strzałka w prawo 1"/>
        <xdr:cNvSpPr/>
      </xdr:nvSpPr>
      <xdr:spPr>
        <a:xfrm>
          <a:off x="11094720" y="3642360"/>
          <a:ext cx="693420" cy="74676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38</xdr:col>
      <xdr:colOff>259080</xdr:colOff>
      <xdr:row>23</xdr:row>
      <xdr:rowOff>152400</xdr:rowOff>
    </xdr:from>
    <xdr:to>
      <xdr:col>39</xdr:col>
      <xdr:colOff>342900</xdr:colOff>
      <xdr:row>27</xdr:row>
      <xdr:rowOff>45720</xdr:rowOff>
    </xdr:to>
    <xdr:sp macro="" textlink="">
      <xdr:nvSpPr>
        <xdr:cNvPr id="3" name="Strzałka w prawo 2"/>
        <xdr:cNvSpPr/>
      </xdr:nvSpPr>
      <xdr:spPr>
        <a:xfrm>
          <a:off x="20985480" y="3642360"/>
          <a:ext cx="693420" cy="6248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56</xdr:col>
      <xdr:colOff>152400</xdr:colOff>
      <xdr:row>23</xdr:row>
      <xdr:rowOff>175260</xdr:rowOff>
    </xdr:from>
    <xdr:to>
      <xdr:col>57</xdr:col>
      <xdr:colOff>236220</xdr:colOff>
      <xdr:row>27</xdr:row>
      <xdr:rowOff>68580</xdr:rowOff>
    </xdr:to>
    <xdr:sp macro="" textlink="">
      <xdr:nvSpPr>
        <xdr:cNvPr id="4" name="Strzałka w prawo 3"/>
        <xdr:cNvSpPr/>
      </xdr:nvSpPr>
      <xdr:spPr>
        <a:xfrm>
          <a:off x="34290000" y="3649980"/>
          <a:ext cx="693420" cy="6248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70</xdr:col>
      <xdr:colOff>190500</xdr:colOff>
      <xdr:row>24</xdr:row>
      <xdr:rowOff>15240</xdr:rowOff>
    </xdr:from>
    <xdr:to>
      <xdr:col>71</xdr:col>
      <xdr:colOff>274320</xdr:colOff>
      <xdr:row>27</xdr:row>
      <xdr:rowOff>91440</xdr:rowOff>
    </xdr:to>
    <xdr:sp macro="" textlink="">
      <xdr:nvSpPr>
        <xdr:cNvPr id="5" name="Strzałka w prawo 4"/>
        <xdr:cNvSpPr/>
      </xdr:nvSpPr>
      <xdr:spPr>
        <a:xfrm>
          <a:off x="42969180" y="3672840"/>
          <a:ext cx="693420" cy="6248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78</xdr:col>
      <xdr:colOff>601980</xdr:colOff>
      <xdr:row>28</xdr:row>
      <xdr:rowOff>53340</xdr:rowOff>
    </xdr:from>
    <xdr:to>
      <xdr:col>87</xdr:col>
      <xdr:colOff>541020</xdr:colOff>
      <xdr:row>47</xdr:row>
      <xdr:rowOff>144780</xdr:rowOff>
    </xdr:to>
    <xdr:graphicFrame macro="">
      <xdr:nvGraphicFramePr>
        <xdr:cNvPr id="9" name="Wykres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78</xdr:col>
      <xdr:colOff>434340</xdr:colOff>
      <xdr:row>17</xdr:row>
      <xdr:rowOff>106680</xdr:rowOff>
    </xdr:from>
    <xdr:to>
      <xdr:col>82</xdr:col>
      <xdr:colOff>220980</xdr:colOff>
      <xdr:row>22</xdr:row>
      <xdr:rowOff>167640</xdr:rowOff>
    </xdr:to>
    <xdr:sp macro="" textlink="">
      <xdr:nvSpPr>
        <xdr:cNvPr id="10" name="Objaśnienie prostokątne 9"/>
        <xdr:cNvSpPr/>
      </xdr:nvSpPr>
      <xdr:spPr>
        <a:xfrm>
          <a:off x="48089820" y="2484120"/>
          <a:ext cx="2225040" cy="975360"/>
        </a:xfrm>
        <a:prstGeom prst="wedgeRectCallout">
          <a:avLst>
            <a:gd name="adj1" fmla="val -60901"/>
            <a:gd name="adj2" fmla="val 11640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We plot princ_comp1 &amp; princ_comp2</a:t>
          </a:r>
          <a:r>
            <a:rPr lang="pl-PL" sz="1100" baseline="0"/>
            <a:t> on scatterplot</a:t>
          </a:r>
        </a:p>
        <a:p>
          <a:pPr algn="l"/>
          <a:r>
            <a:rPr lang="pl-PL" sz="1100" baseline="0"/>
            <a:t>We add next series(red) for core-cities</a:t>
          </a:r>
          <a:endParaRPr lang="pl-PL" sz="1100"/>
        </a:p>
      </xdr:txBody>
    </xdr:sp>
    <xdr:clientData/>
  </xdr:twoCellAnchor>
  <xdr:twoCellAnchor>
    <xdr:from>
      <xdr:col>62</xdr:col>
      <xdr:colOff>335280</xdr:colOff>
      <xdr:row>64</xdr:row>
      <xdr:rowOff>121920</xdr:rowOff>
    </xdr:from>
    <xdr:to>
      <xdr:col>67</xdr:col>
      <xdr:colOff>502920</xdr:colOff>
      <xdr:row>74</xdr:row>
      <xdr:rowOff>68580</xdr:rowOff>
    </xdr:to>
    <xdr:sp macro="" textlink="">
      <xdr:nvSpPr>
        <xdr:cNvPr id="11" name="Objaśnienie prostokątne zaokrąglone 10"/>
        <xdr:cNvSpPr/>
      </xdr:nvSpPr>
      <xdr:spPr>
        <a:xfrm>
          <a:off x="38237160" y="11094720"/>
          <a:ext cx="3215640" cy="1775460"/>
        </a:xfrm>
        <a:prstGeom prst="wedgeRoundRectCallout">
          <a:avLst>
            <a:gd name="adj1" fmla="val -72018"/>
            <a:gd name="adj2" fmla="val 31170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To make analysis</a:t>
          </a:r>
          <a:r>
            <a:rPr lang="pl-PL" sz="1100" baseline="0"/>
            <a:t> in two dimensions we have selected only two vectors. In fact, it explains only 72% of variance. </a:t>
          </a:r>
        </a:p>
        <a:p>
          <a:pPr algn="l"/>
          <a:endParaRPr lang="pl-PL" sz="1100" baseline="0"/>
        </a:p>
        <a:p>
          <a:pPr algn="l"/>
          <a:r>
            <a:rPr lang="pl-PL" sz="1100" baseline="0"/>
            <a:t>Much better would be to take e.g. 6 vectors to explain 96% of variance - but plotting is then complicated.</a:t>
          </a:r>
          <a:endParaRPr lang="pl-PL" sz="1100"/>
        </a:p>
      </xdr:txBody>
    </xdr:sp>
    <xdr:clientData/>
  </xdr:twoCellAnchor>
  <xdr:twoCellAnchor>
    <xdr:from>
      <xdr:col>74</xdr:col>
      <xdr:colOff>312420</xdr:colOff>
      <xdr:row>13</xdr:row>
      <xdr:rowOff>30480</xdr:rowOff>
    </xdr:from>
    <xdr:to>
      <xdr:col>77</xdr:col>
      <xdr:colOff>396240</xdr:colOff>
      <xdr:row>19</xdr:row>
      <xdr:rowOff>68580</xdr:rowOff>
    </xdr:to>
    <xdr:sp macro="" textlink="">
      <xdr:nvSpPr>
        <xdr:cNvPr id="12" name="Objaśnienie prostokątne zaokrąglone 11"/>
        <xdr:cNvSpPr/>
      </xdr:nvSpPr>
      <xdr:spPr>
        <a:xfrm>
          <a:off x="45529500" y="1676400"/>
          <a:ext cx="1912620" cy="1135380"/>
        </a:xfrm>
        <a:prstGeom prst="wedgeRoundRectCallout">
          <a:avLst>
            <a:gd name="adj1" fmla="val 39661"/>
            <a:gd name="adj2" fmla="val 103440"/>
            <a:gd name="adj3" fmla="val 16667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Matrix of components Y is calculated as multiplication of matrices:</a:t>
          </a:r>
          <a:r>
            <a:rPr lang="pl-PL" sz="1100" baseline="0"/>
            <a:t> X (data) and W (eigenvectors)</a:t>
          </a:r>
          <a:endParaRPr lang="pl-PL" sz="1100"/>
        </a:p>
      </xdr:txBody>
    </xdr:sp>
    <xdr:clientData/>
  </xdr:twoCellAnchor>
  <xdr:twoCellAnchor>
    <xdr:from>
      <xdr:col>58</xdr:col>
      <xdr:colOff>198120</xdr:colOff>
      <xdr:row>15</xdr:row>
      <xdr:rowOff>76200</xdr:rowOff>
    </xdr:from>
    <xdr:to>
      <xdr:col>62</xdr:col>
      <xdr:colOff>350520</xdr:colOff>
      <xdr:row>20</xdr:row>
      <xdr:rowOff>38100</xdr:rowOff>
    </xdr:to>
    <xdr:sp macro="" textlink="">
      <xdr:nvSpPr>
        <xdr:cNvPr id="13" name="Objaśnienie prostokątne 12"/>
        <xdr:cNvSpPr/>
      </xdr:nvSpPr>
      <xdr:spPr>
        <a:xfrm>
          <a:off x="35554920" y="2087880"/>
          <a:ext cx="2697480" cy="876300"/>
        </a:xfrm>
        <a:prstGeom prst="wedgeRectCallout">
          <a:avLst>
            <a:gd name="adj1" fmla="val -19362"/>
            <a:gd name="adj2" fmla="val 7989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We copy the solution from R.</a:t>
          </a:r>
          <a:r>
            <a:rPr lang="pl-PL" sz="1100" baseline="0"/>
            <a:t> </a:t>
          </a:r>
        </a:p>
        <a:p>
          <a:pPr algn="l"/>
          <a:r>
            <a:rPr lang="pl-PL" sz="1100" baseline="0"/>
            <a:t>Excel has no built-in function for eigenvectors and einegvalues (except extra plug-ins available in the internet).</a:t>
          </a:r>
          <a:endParaRPr lang="pl-PL" sz="1100"/>
        </a:p>
      </xdr:txBody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32"/>
  <sheetViews>
    <sheetView tabSelected="1" workbookViewId="0">
      <selection activeCell="C23" sqref="C23"/>
    </sheetView>
  </sheetViews>
  <sheetFormatPr defaultRowHeight="14.4" x14ac:dyDescent="0.3"/>
  <cols>
    <col min="1" max="16384" width="8.88671875" style="1"/>
  </cols>
  <sheetData>
    <row r="3" spans="2:2" x14ac:dyDescent="0.3">
      <c r="B3" s="2" t="s">
        <v>176</v>
      </c>
    </row>
    <row r="6" spans="2:2" x14ac:dyDescent="0.3">
      <c r="B6" s="1" t="s">
        <v>178</v>
      </c>
    </row>
    <row r="7" spans="2:2" x14ac:dyDescent="0.3">
      <c r="B7" s="1" t="s">
        <v>177</v>
      </c>
    </row>
    <row r="9" spans="2:2" x14ac:dyDescent="0.3">
      <c r="B9" s="1" t="s">
        <v>179</v>
      </c>
    </row>
    <row r="10" spans="2:2" x14ac:dyDescent="0.3">
      <c r="B10" s="1" t="s">
        <v>180</v>
      </c>
    </row>
    <row r="16" spans="2:2" x14ac:dyDescent="0.3">
      <c r="B16" s="1" t="s">
        <v>181</v>
      </c>
    </row>
    <row r="18" spans="2:9" x14ac:dyDescent="0.3">
      <c r="I18" s="3"/>
    </row>
    <row r="19" spans="2:9" x14ac:dyDescent="0.3">
      <c r="E19"/>
    </row>
    <row r="21" spans="2:9" x14ac:dyDescent="0.3">
      <c r="B21" s="1" t="s">
        <v>183</v>
      </c>
    </row>
    <row r="22" spans="2:9" x14ac:dyDescent="0.3">
      <c r="B22" s="1" t="s">
        <v>182</v>
      </c>
    </row>
    <row r="23" spans="2:9" x14ac:dyDescent="0.3">
      <c r="E23"/>
    </row>
    <row r="24" spans="2:9" x14ac:dyDescent="0.3">
      <c r="H24" s="1" t="s">
        <v>184</v>
      </c>
    </row>
    <row r="25" spans="2:9" x14ac:dyDescent="0.3">
      <c r="H25" s="1" t="s">
        <v>185</v>
      </c>
    </row>
    <row r="28" spans="2:9" x14ac:dyDescent="0.3">
      <c r="B28" s="1" t="s">
        <v>186</v>
      </c>
      <c r="E28"/>
    </row>
    <row r="32" spans="2:9" x14ac:dyDescent="0.3">
      <c r="B32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L115"/>
  <sheetViews>
    <sheetView topLeftCell="A72" workbookViewId="0">
      <selection activeCell="A80" sqref="A80"/>
    </sheetView>
  </sheetViews>
  <sheetFormatPr defaultRowHeight="14.4" x14ac:dyDescent="0.3"/>
  <cols>
    <col min="1" max="1" width="8.88671875" style="8"/>
    <col min="2" max="11" width="8.88671875" style="6"/>
    <col min="12" max="12" width="10.77734375" style="6" customWidth="1"/>
    <col min="13" max="14" width="8.88671875" style="6"/>
    <col min="15" max="15" width="8.33203125" style="6" customWidth="1"/>
    <col min="16" max="16" width="10.33203125" style="6" customWidth="1"/>
    <col min="17" max="25" width="8.88671875" style="6"/>
    <col min="26" max="26" width="10.77734375" style="6" customWidth="1"/>
    <col min="27" max="27" width="8.88671875" style="6"/>
    <col min="28" max="28" width="10.33203125" style="6" customWidth="1"/>
    <col min="29" max="16384" width="8.88671875" style="6"/>
  </cols>
  <sheetData>
    <row r="3" spans="2:26" x14ac:dyDescent="0.3">
      <c r="O3" s="5" t="s">
        <v>74</v>
      </c>
      <c r="P3" s="10" t="s">
        <v>204</v>
      </c>
    </row>
    <row r="5" spans="2:26" x14ac:dyDescent="0.3">
      <c r="Q5" s="8" t="s">
        <v>205</v>
      </c>
    </row>
    <row r="6" spans="2:26" x14ac:dyDescent="0.3">
      <c r="Q6" s="8" t="s">
        <v>206</v>
      </c>
    </row>
    <row r="7" spans="2:26" x14ac:dyDescent="0.3">
      <c r="B7" s="10" t="s">
        <v>187</v>
      </c>
      <c r="C7" s="9"/>
      <c r="Q7" s="8" t="s">
        <v>210</v>
      </c>
    </row>
    <row r="8" spans="2:26" x14ac:dyDescent="0.3">
      <c r="C8" s="8"/>
      <c r="H8" s="8"/>
      <c r="Q8" s="8" t="s">
        <v>207</v>
      </c>
    </row>
    <row r="9" spans="2:26" x14ac:dyDescent="0.3">
      <c r="B9" s="10" t="s">
        <v>188</v>
      </c>
      <c r="C9" s="8"/>
      <c r="Q9" s="8" t="s">
        <v>208</v>
      </c>
    </row>
    <row r="10" spans="2:26" x14ac:dyDescent="0.3">
      <c r="B10" s="8" t="s">
        <v>189</v>
      </c>
      <c r="C10" s="8"/>
      <c r="N10" s="14" t="s">
        <v>212</v>
      </c>
      <c r="O10" s="14">
        <f>ROWS(C16:L115)</f>
        <v>100</v>
      </c>
      <c r="Q10" s="8" t="s">
        <v>211</v>
      </c>
    </row>
    <row r="11" spans="2:26" x14ac:dyDescent="0.3">
      <c r="B11" s="8" t="s">
        <v>190</v>
      </c>
      <c r="C11" s="8"/>
      <c r="N11" s="14" t="s">
        <v>213</v>
      </c>
      <c r="O11" s="14">
        <f t="array" ref="O11">ROWS(TRANSPOSE(C16:L115))</f>
        <v>10</v>
      </c>
      <c r="Q11" s="8" t="s">
        <v>209</v>
      </c>
    </row>
    <row r="12" spans="2:26" x14ac:dyDescent="0.3">
      <c r="B12" s="8" t="s">
        <v>191</v>
      </c>
      <c r="C12" s="8"/>
    </row>
    <row r="13" spans="2:26" x14ac:dyDescent="0.3">
      <c r="O13" s="13" t="s">
        <v>214</v>
      </c>
    </row>
    <row r="14" spans="2:26" x14ac:dyDescent="0.3">
      <c r="B14" s="54" t="s">
        <v>193</v>
      </c>
      <c r="C14" s="55">
        <f ca="1">ROUND(RAND()*2+3,0)</f>
        <v>5</v>
      </c>
      <c r="D14" s="55">
        <f t="shared" ref="D14:F14" ca="1" si="0">ROUND(RAND()*2+3,0)</f>
        <v>5</v>
      </c>
      <c r="E14" s="55">
        <f t="shared" ca="1" si="0"/>
        <v>4</v>
      </c>
      <c r="F14" s="55">
        <f t="shared" ca="1" si="0"/>
        <v>3</v>
      </c>
      <c r="G14" s="55">
        <f ca="1">ROUND(RAND()*3,0)</f>
        <v>3</v>
      </c>
      <c r="H14" s="55">
        <f t="shared" ref="H14:I14" ca="1" si="1">ROUND(RAND()*3,0)</f>
        <v>1</v>
      </c>
      <c r="I14" s="55">
        <f t="shared" ca="1" si="1"/>
        <v>1</v>
      </c>
      <c r="J14" s="55">
        <f ca="1">ROUND(RAND()*4+5,0)</f>
        <v>5</v>
      </c>
      <c r="K14" s="55">
        <f t="shared" ref="K14:L14" ca="1" si="2">ROUND(RAND()*4+5,0)</f>
        <v>5</v>
      </c>
      <c r="L14" s="55">
        <f t="shared" ca="1" si="2"/>
        <v>9</v>
      </c>
      <c r="Q14" s="11">
        <v>1</v>
      </c>
      <c r="R14" s="11">
        <v>2</v>
      </c>
      <c r="S14" s="11">
        <v>3</v>
      </c>
      <c r="T14" s="11">
        <v>4</v>
      </c>
      <c r="U14" s="11">
        <v>5</v>
      </c>
      <c r="V14" s="11">
        <v>6</v>
      </c>
      <c r="W14" s="11">
        <v>7</v>
      </c>
      <c r="X14" s="11">
        <v>8</v>
      </c>
      <c r="Y14" s="11">
        <v>9</v>
      </c>
      <c r="Z14" s="11">
        <v>10</v>
      </c>
    </row>
    <row r="15" spans="2:26" ht="43.2" x14ac:dyDescent="0.3">
      <c r="B15" s="5" t="s">
        <v>192</v>
      </c>
      <c r="C15" s="7" t="s">
        <v>194</v>
      </c>
      <c r="D15" s="7" t="s">
        <v>195</v>
      </c>
      <c r="E15" s="7" t="s">
        <v>196</v>
      </c>
      <c r="F15" s="7" t="s">
        <v>197</v>
      </c>
      <c r="G15" s="7" t="s">
        <v>198</v>
      </c>
      <c r="H15" s="7" t="s">
        <v>199</v>
      </c>
      <c r="I15" s="7" t="s">
        <v>200</v>
      </c>
      <c r="J15" s="7" t="s">
        <v>201</v>
      </c>
      <c r="K15" s="7" t="s">
        <v>202</v>
      </c>
      <c r="L15" s="7" t="s">
        <v>203</v>
      </c>
      <c r="P15" s="11"/>
      <c r="Q15" s="12" t="s">
        <v>194</v>
      </c>
      <c r="R15" s="12" t="s">
        <v>195</v>
      </c>
      <c r="S15" s="12" t="s">
        <v>196</v>
      </c>
      <c r="T15" s="12" t="s">
        <v>197</v>
      </c>
      <c r="U15" s="12" t="s">
        <v>198</v>
      </c>
      <c r="V15" s="12" t="s">
        <v>199</v>
      </c>
      <c r="W15" s="12" t="s">
        <v>200</v>
      </c>
      <c r="X15" s="12" t="s">
        <v>201</v>
      </c>
      <c r="Y15" s="12" t="s">
        <v>202</v>
      </c>
      <c r="Z15" s="12" t="s">
        <v>203</v>
      </c>
    </row>
    <row r="16" spans="2:26" ht="28.8" x14ac:dyDescent="0.3">
      <c r="B16" s="5">
        <v>1</v>
      </c>
      <c r="C16" s="6">
        <v>3</v>
      </c>
      <c r="D16" s="6">
        <v>3</v>
      </c>
      <c r="E16" s="6">
        <v>5</v>
      </c>
      <c r="F16" s="6">
        <v>3</v>
      </c>
      <c r="G16" s="6">
        <v>2</v>
      </c>
      <c r="H16" s="6">
        <v>3</v>
      </c>
      <c r="I16" s="6">
        <v>1</v>
      </c>
      <c r="J16" s="6">
        <v>6</v>
      </c>
      <c r="K16" s="6">
        <v>6</v>
      </c>
      <c r="L16" s="6">
        <v>7</v>
      </c>
      <c r="O16" s="11">
        <v>1</v>
      </c>
      <c r="P16" s="12" t="s">
        <v>194</v>
      </c>
      <c r="Q16" s="11">
        <f t="shared" ref="Q16:Z25" ca="1" si="3">SUMXMY2(OFFSET($C$16,0,$O16-1,$O$10),OFFSET($C$16,0,Q$14-1,$O$10))^0.5</f>
        <v>0</v>
      </c>
      <c r="R16" s="11">
        <f t="shared" ca="1" si="3"/>
        <v>10.440306508910551</v>
      </c>
      <c r="S16" s="11">
        <f t="shared" ca="1" si="3"/>
        <v>9.1104335791442992</v>
      </c>
      <c r="T16" s="11">
        <f t="shared" ca="1" si="3"/>
        <v>9.2736184954957039</v>
      </c>
      <c r="U16" s="11">
        <f t="shared" ca="1" si="3"/>
        <v>28.354893757515651</v>
      </c>
      <c r="V16" s="11">
        <f t="shared" ca="1" si="3"/>
        <v>27.313000567495326</v>
      </c>
      <c r="W16" s="11">
        <f t="shared" ca="1" si="3"/>
        <v>28.390139133156779</v>
      </c>
      <c r="X16" s="11">
        <f t="shared" ca="1" si="3"/>
        <v>32.572994949804659</v>
      </c>
      <c r="Y16" s="11">
        <f t="shared" ca="1" si="3"/>
        <v>32.726136343907143</v>
      </c>
      <c r="Z16" s="11">
        <f t="shared" ca="1" si="3"/>
        <v>34.84250278036869</v>
      </c>
    </row>
    <row r="17" spans="2:26" ht="28.8" x14ac:dyDescent="0.3">
      <c r="B17" s="5">
        <v>2</v>
      </c>
      <c r="C17" s="6">
        <v>3</v>
      </c>
      <c r="D17" s="6">
        <v>5</v>
      </c>
      <c r="E17" s="6">
        <v>4</v>
      </c>
      <c r="F17" s="6">
        <v>5</v>
      </c>
      <c r="G17" s="6">
        <v>1</v>
      </c>
      <c r="H17" s="6">
        <v>1</v>
      </c>
      <c r="I17" s="6">
        <v>3</v>
      </c>
      <c r="J17" s="6">
        <v>6</v>
      </c>
      <c r="K17" s="6">
        <v>6</v>
      </c>
      <c r="L17" s="6">
        <v>7</v>
      </c>
      <c r="O17" s="11">
        <v>2</v>
      </c>
      <c r="P17" s="12" t="s">
        <v>195</v>
      </c>
      <c r="Q17" s="11">
        <f t="shared" ca="1" si="3"/>
        <v>10.440306508910551</v>
      </c>
      <c r="R17" s="11">
        <f t="shared" ca="1" si="3"/>
        <v>0</v>
      </c>
      <c r="S17" s="11">
        <f t="shared" ca="1" si="3"/>
        <v>10.583005244258363</v>
      </c>
      <c r="T17" s="11">
        <f t="shared" ca="1" si="3"/>
        <v>9.9498743710661994</v>
      </c>
      <c r="U17" s="11">
        <f t="shared" ca="1" si="3"/>
        <v>27.440845468024488</v>
      </c>
      <c r="V17" s="11">
        <f t="shared" ca="1" si="3"/>
        <v>26.627053911388696</v>
      </c>
      <c r="W17" s="11">
        <f t="shared" ca="1" si="3"/>
        <v>27.404379212089442</v>
      </c>
      <c r="X17" s="11">
        <f t="shared" ca="1" si="3"/>
        <v>34.146742157927747</v>
      </c>
      <c r="Y17" s="11">
        <f t="shared" ca="1" si="3"/>
        <v>34.322004603461025</v>
      </c>
      <c r="Z17" s="11">
        <f t="shared" ca="1" si="3"/>
        <v>35.566838487557476</v>
      </c>
    </row>
    <row r="18" spans="2:26" ht="28.8" x14ac:dyDescent="0.3">
      <c r="B18" s="5">
        <v>3</v>
      </c>
      <c r="C18" s="6">
        <v>5</v>
      </c>
      <c r="D18" s="6">
        <v>3</v>
      </c>
      <c r="E18" s="6">
        <v>3</v>
      </c>
      <c r="F18" s="6">
        <v>4</v>
      </c>
      <c r="G18" s="6">
        <v>0</v>
      </c>
      <c r="H18" s="6">
        <v>0</v>
      </c>
      <c r="I18" s="6">
        <v>1</v>
      </c>
      <c r="J18" s="6">
        <v>5</v>
      </c>
      <c r="K18" s="6">
        <v>9</v>
      </c>
      <c r="L18" s="6">
        <v>5</v>
      </c>
      <c r="O18" s="11">
        <v>3</v>
      </c>
      <c r="P18" s="12" t="s">
        <v>196</v>
      </c>
      <c r="Q18" s="11">
        <f t="shared" ca="1" si="3"/>
        <v>9.1104335791442992</v>
      </c>
      <c r="R18" s="11">
        <f t="shared" ca="1" si="3"/>
        <v>10.583005244258363</v>
      </c>
      <c r="S18" s="11">
        <f t="shared" ca="1" si="3"/>
        <v>0</v>
      </c>
      <c r="T18" s="11">
        <f t="shared" ca="1" si="3"/>
        <v>10.148891565092219</v>
      </c>
      <c r="U18" s="11">
        <f t="shared" ca="1" si="3"/>
        <v>27.073972741361768</v>
      </c>
      <c r="V18" s="11">
        <f t="shared" ca="1" si="3"/>
        <v>25.98076211353316</v>
      </c>
      <c r="W18" s="11">
        <f t="shared" ca="1" si="3"/>
        <v>27.03701166919155</v>
      </c>
      <c r="X18" s="11">
        <f t="shared" ca="1" si="3"/>
        <v>33.105890714493697</v>
      </c>
      <c r="Y18" s="11">
        <f t="shared" ca="1" si="3"/>
        <v>33.941125496954278</v>
      </c>
      <c r="Z18" s="11">
        <f t="shared" ca="1" si="3"/>
        <v>34.942810419312295</v>
      </c>
    </row>
    <row r="19" spans="2:26" ht="28.8" x14ac:dyDescent="0.3">
      <c r="B19" s="5">
        <v>4</v>
      </c>
      <c r="C19" s="6">
        <v>5</v>
      </c>
      <c r="D19" s="6">
        <v>5</v>
      </c>
      <c r="E19" s="6">
        <v>4</v>
      </c>
      <c r="F19" s="6">
        <v>4</v>
      </c>
      <c r="G19" s="6">
        <v>0</v>
      </c>
      <c r="H19" s="6">
        <v>0</v>
      </c>
      <c r="I19" s="6">
        <v>0</v>
      </c>
      <c r="J19" s="6">
        <v>6</v>
      </c>
      <c r="K19" s="6">
        <v>8</v>
      </c>
      <c r="L19" s="6">
        <v>7</v>
      </c>
      <c r="O19" s="11">
        <v>4</v>
      </c>
      <c r="P19" s="12" t="s">
        <v>197</v>
      </c>
      <c r="Q19" s="11">
        <f t="shared" ca="1" si="3"/>
        <v>9.2736184954957039</v>
      </c>
      <c r="R19" s="11">
        <f t="shared" ca="1" si="3"/>
        <v>9.9498743710661994</v>
      </c>
      <c r="S19" s="11">
        <f t="shared" ca="1" si="3"/>
        <v>10.148891565092219</v>
      </c>
      <c r="T19" s="11">
        <f t="shared" ca="1" si="3"/>
        <v>0</v>
      </c>
      <c r="U19" s="11">
        <f t="shared" ca="1" si="3"/>
        <v>27.055498516937366</v>
      </c>
      <c r="V19" s="11">
        <f t="shared" ca="1" si="3"/>
        <v>26.343879744638983</v>
      </c>
      <c r="W19" s="11">
        <f t="shared" ca="1" si="3"/>
        <v>26.570660511172846</v>
      </c>
      <c r="X19" s="11">
        <f t="shared" ca="1" si="3"/>
        <v>33.541019662496844</v>
      </c>
      <c r="Y19" s="11">
        <f t="shared" ca="1" si="3"/>
        <v>33.600595232822883</v>
      </c>
      <c r="Z19" s="11">
        <f t="shared" ca="1" si="3"/>
        <v>35.185224171518364</v>
      </c>
    </row>
    <row r="20" spans="2:26" ht="28.8" x14ac:dyDescent="0.3">
      <c r="B20" s="5">
        <v>5</v>
      </c>
      <c r="C20" s="6">
        <v>4</v>
      </c>
      <c r="D20" s="6">
        <v>5</v>
      </c>
      <c r="E20" s="6">
        <v>5</v>
      </c>
      <c r="F20" s="6">
        <v>3</v>
      </c>
      <c r="G20" s="6">
        <v>1</v>
      </c>
      <c r="H20" s="6">
        <v>1</v>
      </c>
      <c r="I20" s="6">
        <v>2</v>
      </c>
      <c r="J20" s="6">
        <v>8</v>
      </c>
      <c r="K20" s="6">
        <v>8</v>
      </c>
      <c r="L20" s="6">
        <v>5</v>
      </c>
      <c r="O20" s="11">
        <v>5</v>
      </c>
      <c r="P20" s="12" t="s">
        <v>198</v>
      </c>
      <c r="Q20" s="11">
        <f t="shared" ca="1" si="3"/>
        <v>28.354893757515651</v>
      </c>
      <c r="R20" s="11">
        <f t="shared" ca="1" si="3"/>
        <v>27.440845468024488</v>
      </c>
      <c r="S20" s="11">
        <f t="shared" ca="1" si="3"/>
        <v>27.073972741361768</v>
      </c>
      <c r="T20" s="11">
        <f t="shared" ca="1" si="3"/>
        <v>27.055498516937366</v>
      </c>
      <c r="U20" s="11">
        <f t="shared" ca="1" si="3"/>
        <v>0</v>
      </c>
      <c r="V20" s="11">
        <f t="shared" ca="1" si="3"/>
        <v>13.416407864998739</v>
      </c>
      <c r="W20" s="11">
        <f t="shared" ca="1" si="3"/>
        <v>14.212670403551895</v>
      </c>
      <c r="X20" s="11">
        <f t="shared" ca="1" si="3"/>
        <v>57.297469403107151</v>
      </c>
      <c r="Y20" s="11">
        <f t="shared" ca="1" si="3"/>
        <v>57.489129407219238</v>
      </c>
      <c r="Z20" s="11">
        <f t="shared" ca="1" si="3"/>
        <v>58.600341295934449</v>
      </c>
    </row>
    <row r="21" spans="2:26" ht="28.8" x14ac:dyDescent="0.3">
      <c r="B21" s="5">
        <v>6</v>
      </c>
      <c r="C21" s="6">
        <v>5</v>
      </c>
      <c r="D21" s="6">
        <v>3</v>
      </c>
      <c r="E21" s="6">
        <v>4</v>
      </c>
      <c r="F21" s="6">
        <v>5</v>
      </c>
      <c r="G21" s="6">
        <v>2</v>
      </c>
      <c r="H21" s="6">
        <v>3</v>
      </c>
      <c r="I21" s="6">
        <v>2</v>
      </c>
      <c r="J21" s="6">
        <v>8</v>
      </c>
      <c r="K21" s="6">
        <v>8</v>
      </c>
      <c r="L21" s="6">
        <v>8</v>
      </c>
      <c r="O21" s="11">
        <v>6</v>
      </c>
      <c r="P21" s="12" t="s">
        <v>199</v>
      </c>
      <c r="Q21" s="11">
        <f t="shared" ca="1" si="3"/>
        <v>27.313000567495326</v>
      </c>
      <c r="R21" s="11">
        <f t="shared" ca="1" si="3"/>
        <v>26.627053911388696</v>
      </c>
      <c r="S21" s="11">
        <f t="shared" ca="1" si="3"/>
        <v>25.98076211353316</v>
      </c>
      <c r="T21" s="11">
        <f t="shared" ca="1" si="3"/>
        <v>26.343879744638983</v>
      </c>
      <c r="U21" s="11">
        <f t="shared" ca="1" si="3"/>
        <v>13.416407864998739</v>
      </c>
      <c r="V21" s="11">
        <f t="shared" ca="1" si="3"/>
        <v>0</v>
      </c>
      <c r="W21" s="11">
        <f t="shared" ca="1" si="3"/>
        <v>12</v>
      </c>
      <c r="X21" s="11">
        <f t="shared" ca="1" si="3"/>
        <v>55.97320787662612</v>
      </c>
      <c r="Y21" s="11">
        <f t="shared" ca="1" si="3"/>
        <v>56.753854494650845</v>
      </c>
      <c r="Z21" s="11">
        <f t="shared" ca="1" si="3"/>
        <v>57.480431452799657</v>
      </c>
    </row>
    <row r="22" spans="2:26" ht="28.8" x14ac:dyDescent="0.3">
      <c r="B22" s="5">
        <v>7</v>
      </c>
      <c r="C22" s="6">
        <v>3</v>
      </c>
      <c r="D22" s="6">
        <v>4</v>
      </c>
      <c r="E22" s="6">
        <v>4</v>
      </c>
      <c r="F22" s="6">
        <v>4</v>
      </c>
      <c r="G22" s="6">
        <v>1</v>
      </c>
      <c r="H22" s="6">
        <v>1</v>
      </c>
      <c r="I22" s="6">
        <v>1</v>
      </c>
      <c r="J22" s="6">
        <v>6</v>
      </c>
      <c r="K22" s="6">
        <v>5</v>
      </c>
      <c r="L22" s="6">
        <v>8</v>
      </c>
      <c r="O22" s="11">
        <v>7</v>
      </c>
      <c r="P22" s="12" t="s">
        <v>200</v>
      </c>
      <c r="Q22" s="11">
        <f t="shared" ca="1" si="3"/>
        <v>28.390139133156779</v>
      </c>
      <c r="R22" s="11">
        <f t="shared" ca="1" si="3"/>
        <v>27.404379212089442</v>
      </c>
      <c r="S22" s="11">
        <f t="shared" ca="1" si="3"/>
        <v>27.03701166919155</v>
      </c>
      <c r="T22" s="11">
        <f t="shared" ca="1" si="3"/>
        <v>26.570660511172846</v>
      </c>
      <c r="U22" s="11">
        <f t="shared" ca="1" si="3"/>
        <v>14.212670403551895</v>
      </c>
      <c r="V22" s="11">
        <f t="shared" ca="1" si="3"/>
        <v>12</v>
      </c>
      <c r="W22" s="11">
        <f t="shared" ca="1" si="3"/>
        <v>0</v>
      </c>
      <c r="X22" s="11">
        <f t="shared" ca="1" si="3"/>
        <v>57.070132293521098</v>
      </c>
      <c r="Y22" s="11">
        <f t="shared" ca="1" si="3"/>
        <v>57.766772456144714</v>
      </c>
      <c r="Z22" s="11">
        <f t="shared" ca="1" si="3"/>
        <v>58.634460857076192</v>
      </c>
    </row>
    <row r="23" spans="2:26" ht="28.8" x14ac:dyDescent="0.3">
      <c r="B23" s="5">
        <v>8</v>
      </c>
      <c r="C23" s="6">
        <v>4</v>
      </c>
      <c r="D23" s="6">
        <v>4</v>
      </c>
      <c r="E23" s="6">
        <v>4</v>
      </c>
      <c r="F23" s="6">
        <v>3</v>
      </c>
      <c r="G23" s="6">
        <v>3</v>
      </c>
      <c r="H23" s="6">
        <v>1</v>
      </c>
      <c r="I23" s="6">
        <v>2</v>
      </c>
      <c r="J23" s="6">
        <v>7</v>
      </c>
      <c r="K23" s="6">
        <v>9</v>
      </c>
      <c r="L23" s="6">
        <v>7</v>
      </c>
      <c r="O23" s="11">
        <v>8</v>
      </c>
      <c r="P23" s="12" t="s">
        <v>201</v>
      </c>
      <c r="Q23" s="11">
        <f t="shared" ca="1" si="3"/>
        <v>32.572994949804659</v>
      </c>
      <c r="R23" s="11">
        <f t="shared" ca="1" si="3"/>
        <v>34.146742157927747</v>
      </c>
      <c r="S23" s="11">
        <f t="shared" ca="1" si="3"/>
        <v>33.105890714493697</v>
      </c>
      <c r="T23" s="11">
        <f t="shared" ca="1" si="3"/>
        <v>33.541019662496844</v>
      </c>
      <c r="U23" s="11">
        <f t="shared" ca="1" si="3"/>
        <v>57.297469403107151</v>
      </c>
      <c r="V23" s="11">
        <f t="shared" ca="1" si="3"/>
        <v>55.97320787662612</v>
      </c>
      <c r="W23" s="11">
        <f t="shared" ca="1" si="3"/>
        <v>57.070132293521098</v>
      </c>
      <c r="X23" s="11">
        <f t="shared" ca="1" si="3"/>
        <v>0</v>
      </c>
      <c r="Y23" s="11">
        <f t="shared" ca="1" si="3"/>
        <v>17.262676501632068</v>
      </c>
      <c r="Z23" s="11">
        <f t="shared" ca="1" si="3"/>
        <v>19</v>
      </c>
    </row>
    <row r="24" spans="2:26" ht="28.8" x14ac:dyDescent="0.3">
      <c r="B24" s="5">
        <v>9</v>
      </c>
      <c r="C24" s="6">
        <v>3</v>
      </c>
      <c r="D24" s="6">
        <v>4</v>
      </c>
      <c r="E24" s="6">
        <v>3</v>
      </c>
      <c r="F24" s="6">
        <v>5</v>
      </c>
      <c r="G24" s="6">
        <v>0</v>
      </c>
      <c r="H24" s="6">
        <v>1</v>
      </c>
      <c r="I24" s="6">
        <v>2</v>
      </c>
      <c r="J24" s="6">
        <v>8</v>
      </c>
      <c r="K24" s="6">
        <v>7</v>
      </c>
      <c r="L24" s="6">
        <v>5</v>
      </c>
      <c r="O24" s="11">
        <v>9</v>
      </c>
      <c r="P24" s="12" t="s">
        <v>202</v>
      </c>
      <c r="Q24" s="11">
        <f t="shared" ca="1" si="3"/>
        <v>32.726136343907143</v>
      </c>
      <c r="R24" s="11">
        <f t="shared" ca="1" si="3"/>
        <v>34.322004603461025</v>
      </c>
      <c r="S24" s="11">
        <f t="shared" ca="1" si="3"/>
        <v>33.941125496954278</v>
      </c>
      <c r="T24" s="11">
        <f t="shared" ca="1" si="3"/>
        <v>33.600595232822883</v>
      </c>
      <c r="U24" s="11">
        <f t="shared" ca="1" si="3"/>
        <v>57.489129407219238</v>
      </c>
      <c r="V24" s="11">
        <f t="shared" ca="1" si="3"/>
        <v>56.753854494650845</v>
      </c>
      <c r="W24" s="11">
        <f t="shared" ca="1" si="3"/>
        <v>57.766772456144714</v>
      </c>
      <c r="X24" s="11">
        <f t="shared" ca="1" si="3"/>
        <v>17.262676501632068</v>
      </c>
      <c r="Y24" s="11">
        <f t="shared" ca="1" si="3"/>
        <v>0</v>
      </c>
      <c r="Z24" s="11">
        <f t="shared" ca="1" si="3"/>
        <v>20.124611797498108</v>
      </c>
    </row>
    <row r="25" spans="2:26" ht="28.8" x14ac:dyDescent="0.3">
      <c r="B25" s="5">
        <v>10</v>
      </c>
      <c r="C25" s="6">
        <v>5</v>
      </c>
      <c r="D25" s="6">
        <v>4</v>
      </c>
      <c r="E25" s="6">
        <v>5</v>
      </c>
      <c r="F25" s="6">
        <v>3</v>
      </c>
      <c r="G25" s="6">
        <v>1</v>
      </c>
      <c r="H25" s="6">
        <v>2</v>
      </c>
      <c r="I25" s="6">
        <v>3</v>
      </c>
      <c r="J25" s="6">
        <v>8</v>
      </c>
      <c r="K25" s="6">
        <v>7</v>
      </c>
      <c r="L25" s="6">
        <v>8</v>
      </c>
      <c r="O25" s="11">
        <v>10</v>
      </c>
      <c r="P25" s="12" t="s">
        <v>203</v>
      </c>
      <c r="Q25" s="11">
        <f t="shared" ca="1" si="3"/>
        <v>34.84250278036869</v>
      </c>
      <c r="R25" s="11">
        <f t="shared" ca="1" si="3"/>
        <v>35.566838487557476</v>
      </c>
      <c r="S25" s="11">
        <f t="shared" ca="1" si="3"/>
        <v>34.942810419312295</v>
      </c>
      <c r="T25" s="11">
        <f t="shared" ca="1" si="3"/>
        <v>35.185224171518364</v>
      </c>
      <c r="U25" s="11">
        <f t="shared" ca="1" si="3"/>
        <v>58.600341295934449</v>
      </c>
      <c r="V25" s="11">
        <f t="shared" ca="1" si="3"/>
        <v>57.480431452799657</v>
      </c>
      <c r="W25" s="11">
        <f t="shared" ca="1" si="3"/>
        <v>58.634460857076192</v>
      </c>
      <c r="X25" s="11">
        <f t="shared" ca="1" si="3"/>
        <v>19</v>
      </c>
      <c r="Y25" s="11">
        <f t="shared" ca="1" si="3"/>
        <v>20.124611797498108</v>
      </c>
      <c r="Z25" s="11">
        <f t="shared" ca="1" si="3"/>
        <v>0</v>
      </c>
    </row>
    <row r="26" spans="2:26" x14ac:dyDescent="0.3">
      <c r="B26" s="5">
        <v>11</v>
      </c>
      <c r="C26" s="6">
        <v>5</v>
      </c>
      <c r="D26" s="6">
        <v>5</v>
      </c>
      <c r="E26" s="6">
        <v>5</v>
      </c>
      <c r="F26" s="6">
        <v>5</v>
      </c>
      <c r="G26" s="6">
        <v>1</v>
      </c>
      <c r="H26" s="6">
        <v>2</v>
      </c>
      <c r="I26" s="6">
        <v>3</v>
      </c>
      <c r="J26" s="6">
        <v>8</v>
      </c>
      <c r="K26" s="6">
        <v>6</v>
      </c>
      <c r="L26" s="6">
        <v>8</v>
      </c>
    </row>
    <row r="27" spans="2:26" x14ac:dyDescent="0.3">
      <c r="B27" s="5">
        <v>12</v>
      </c>
      <c r="C27" s="6">
        <v>3</v>
      </c>
      <c r="D27" s="6">
        <v>3</v>
      </c>
      <c r="E27" s="6">
        <v>4</v>
      </c>
      <c r="F27" s="6">
        <v>4</v>
      </c>
      <c r="G27" s="6">
        <v>1</v>
      </c>
      <c r="H27" s="6">
        <v>2</v>
      </c>
      <c r="I27" s="6">
        <v>1</v>
      </c>
      <c r="J27" s="6">
        <v>7</v>
      </c>
      <c r="K27" s="6">
        <v>8</v>
      </c>
      <c r="L27" s="6">
        <v>9</v>
      </c>
    </row>
    <row r="28" spans="2:26" x14ac:dyDescent="0.3">
      <c r="B28" s="5">
        <v>13</v>
      </c>
      <c r="C28" s="6">
        <v>5</v>
      </c>
      <c r="D28" s="6">
        <v>4</v>
      </c>
      <c r="E28" s="6">
        <v>4</v>
      </c>
      <c r="F28" s="6">
        <v>5</v>
      </c>
      <c r="G28" s="6">
        <v>1</v>
      </c>
      <c r="H28" s="6">
        <v>1</v>
      </c>
      <c r="I28" s="6">
        <v>3</v>
      </c>
      <c r="J28" s="6">
        <v>7</v>
      </c>
      <c r="K28" s="6">
        <v>8</v>
      </c>
      <c r="L28" s="6">
        <v>8</v>
      </c>
      <c r="O28" s="5" t="s">
        <v>215</v>
      </c>
      <c r="P28" s="8" t="s">
        <v>216</v>
      </c>
    </row>
    <row r="29" spans="2:26" x14ac:dyDescent="0.3">
      <c r="B29" s="5">
        <v>14</v>
      </c>
      <c r="C29" s="6">
        <v>3</v>
      </c>
      <c r="D29" s="6">
        <v>4</v>
      </c>
      <c r="E29" s="6">
        <v>3</v>
      </c>
      <c r="F29" s="6">
        <v>3</v>
      </c>
      <c r="G29" s="6">
        <v>1</v>
      </c>
      <c r="H29" s="6">
        <v>2</v>
      </c>
      <c r="I29" s="6">
        <v>1</v>
      </c>
      <c r="J29" s="6">
        <v>6</v>
      </c>
      <c r="K29" s="6">
        <v>5</v>
      </c>
      <c r="L29" s="6">
        <v>8</v>
      </c>
      <c r="P29" s="8" t="s">
        <v>217</v>
      </c>
    </row>
    <row r="30" spans="2:26" x14ac:dyDescent="0.3">
      <c r="B30" s="5">
        <v>15</v>
      </c>
      <c r="C30" s="6">
        <v>4</v>
      </c>
      <c r="D30" s="6">
        <v>4</v>
      </c>
      <c r="E30" s="6">
        <v>4</v>
      </c>
      <c r="F30" s="6">
        <v>4</v>
      </c>
      <c r="G30" s="6">
        <v>1</v>
      </c>
      <c r="H30" s="6">
        <v>3</v>
      </c>
      <c r="I30" s="6">
        <v>2</v>
      </c>
      <c r="J30" s="6">
        <v>8</v>
      </c>
      <c r="K30" s="6">
        <v>8</v>
      </c>
      <c r="L30" s="6">
        <v>7</v>
      </c>
    </row>
    <row r="31" spans="2:26" x14ac:dyDescent="0.3">
      <c r="B31" s="5">
        <v>16</v>
      </c>
      <c r="C31" s="6">
        <v>3</v>
      </c>
      <c r="D31" s="6">
        <v>3</v>
      </c>
      <c r="E31" s="6">
        <v>4</v>
      </c>
      <c r="F31" s="6">
        <v>4</v>
      </c>
      <c r="G31" s="6">
        <v>3</v>
      </c>
      <c r="H31" s="6">
        <v>1</v>
      </c>
      <c r="I31" s="6">
        <v>0</v>
      </c>
      <c r="J31" s="6">
        <v>6</v>
      </c>
      <c r="K31" s="6">
        <v>6</v>
      </c>
      <c r="L31" s="6">
        <v>7</v>
      </c>
      <c r="Q31" s="6" t="s">
        <v>6</v>
      </c>
      <c r="R31" s="6" t="s">
        <v>7</v>
      </c>
    </row>
    <row r="32" spans="2:26" ht="28.8" x14ac:dyDescent="0.3">
      <c r="B32" s="5">
        <v>17</v>
      </c>
      <c r="C32" s="6">
        <v>4</v>
      </c>
      <c r="D32" s="6">
        <v>3</v>
      </c>
      <c r="E32" s="6">
        <v>4</v>
      </c>
      <c r="F32" s="6">
        <v>5</v>
      </c>
      <c r="G32" s="6">
        <v>2</v>
      </c>
      <c r="H32" s="6">
        <v>1</v>
      </c>
      <c r="I32" s="6">
        <v>3</v>
      </c>
      <c r="J32" s="6">
        <v>7</v>
      </c>
      <c r="K32" s="6">
        <v>7</v>
      </c>
      <c r="L32" s="6">
        <v>7</v>
      </c>
      <c r="P32" s="12" t="s">
        <v>194</v>
      </c>
      <c r="Q32" s="11">
        <v>2.8742366576902274</v>
      </c>
      <c r="R32" s="11">
        <v>28.569805885597383</v>
      </c>
    </row>
    <row r="33" spans="2:18" ht="28.8" x14ac:dyDescent="0.3">
      <c r="B33" s="5">
        <v>18</v>
      </c>
      <c r="C33" s="6">
        <v>3</v>
      </c>
      <c r="D33" s="6">
        <v>4</v>
      </c>
      <c r="E33" s="6">
        <v>3</v>
      </c>
      <c r="F33" s="6">
        <v>4</v>
      </c>
      <c r="G33" s="6">
        <v>1</v>
      </c>
      <c r="H33" s="6">
        <v>1</v>
      </c>
      <c r="I33" s="6">
        <v>1</v>
      </c>
      <c r="J33" s="6">
        <v>8</v>
      </c>
      <c r="K33" s="6">
        <v>8</v>
      </c>
      <c r="L33" s="6">
        <v>8</v>
      </c>
      <c r="P33" s="12" t="s">
        <v>195</v>
      </c>
      <c r="Q33" s="11">
        <v>6.2022401709721011</v>
      </c>
      <c r="R33" s="11">
        <v>25.937320883741886</v>
      </c>
    </row>
    <row r="34" spans="2:18" ht="28.8" x14ac:dyDescent="0.3">
      <c r="B34" s="5">
        <v>19</v>
      </c>
      <c r="C34" s="6">
        <v>5</v>
      </c>
      <c r="D34" s="6">
        <v>3</v>
      </c>
      <c r="E34" s="6">
        <v>4</v>
      </c>
      <c r="F34" s="6">
        <v>4</v>
      </c>
      <c r="G34" s="6">
        <v>0</v>
      </c>
      <c r="H34" s="6">
        <v>1</v>
      </c>
      <c r="I34" s="6">
        <v>0</v>
      </c>
      <c r="J34" s="6">
        <v>7</v>
      </c>
      <c r="K34" s="6">
        <v>8</v>
      </c>
      <c r="L34" s="6">
        <v>5</v>
      </c>
      <c r="P34" s="12" t="s">
        <v>196</v>
      </c>
      <c r="Q34" s="11">
        <v>15.646709555453185</v>
      </c>
      <c r="R34" s="11">
        <v>26.819954203366947</v>
      </c>
    </row>
    <row r="35" spans="2:18" ht="28.8" x14ac:dyDescent="0.3">
      <c r="B35" s="5">
        <v>20</v>
      </c>
      <c r="C35" s="6">
        <v>4</v>
      </c>
      <c r="D35" s="6">
        <v>3</v>
      </c>
      <c r="E35" s="6">
        <v>3</v>
      </c>
      <c r="F35" s="6">
        <v>4</v>
      </c>
      <c r="G35" s="6">
        <v>2</v>
      </c>
      <c r="H35" s="6">
        <v>2</v>
      </c>
      <c r="I35" s="6">
        <v>2</v>
      </c>
      <c r="J35" s="6">
        <v>6</v>
      </c>
      <c r="K35" s="6">
        <v>5</v>
      </c>
      <c r="L35" s="6">
        <v>8</v>
      </c>
      <c r="P35" s="12" t="s">
        <v>197</v>
      </c>
      <c r="Q35" s="11">
        <v>10.899502380158955</v>
      </c>
      <c r="R35" s="11">
        <v>27.110412144885743</v>
      </c>
    </row>
    <row r="36" spans="2:18" ht="28.8" x14ac:dyDescent="0.3">
      <c r="B36" s="5">
        <v>21</v>
      </c>
      <c r="C36" s="6">
        <v>5</v>
      </c>
      <c r="D36" s="6">
        <v>5</v>
      </c>
      <c r="E36" s="6">
        <v>4</v>
      </c>
      <c r="F36" s="6">
        <v>3</v>
      </c>
      <c r="G36" s="6">
        <v>0</v>
      </c>
      <c r="H36" s="6">
        <v>1</v>
      </c>
      <c r="I36" s="6">
        <v>0</v>
      </c>
      <c r="J36" s="6">
        <v>8</v>
      </c>
      <c r="K36" s="6">
        <v>5</v>
      </c>
      <c r="L36" s="6">
        <v>7</v>
      </c>
      <c r="P36" s="12" t="s">
        <v>198</v>
      </c>
      <c r="Q36" s="11">
        <v>1.3498634367774693</v>
      </c>
      <c r="R36" s="11">
        <v>1.7957210064760658</v>
      </c>
    </row>
    <row r="37" spans="2:18" ht="28.8" x14ac:dyDescent="0.3">
      <c r="B37" s="5">
        <v>22</v>
      </c>
      <c r="C37" s="6">
        <v>4</v>
      </c>
      <c r="D37" s="6">
        <v>3</v>
      </c>
      <c r="E37" s="6">
        <v>4</v>
      </c>
      <c r="F37" s="6">
        <v>3</v>
      </c>
      <c r="G37" s="6">
        <v>1</v>
      </c>
      <c r="H37" s="6">
        <v>3</v>
      </c>
      <c r="I37" s="6">
        <v>0</v>
      </c>
      <c r="J37" s="6">
        <v>8</v>
      </c>
      <c r="K37" s="6">
        <v>9</v>
      </c>
      <c r="L37" s="6">
        <v>5</v>
      </c>
      <c r="P37" s="12" t="s">
        <v>199</v>
      </c>
      <c r="Q37" s="11">
        <v>10.555102591192059</v>
      </c>
      <c r="R37" s="11">
        <v>1.8032396083950644</v>
      </c>
    </row>
    <row r="38" spans="2:18" ht="28.8" x14ac:dyDescent="0.3">
      <c r="B38" s="5">
        <v>23</v>
      </c>
      <c r="C38" s="6">
        <v>4</v>
      </c>
      <c r="D38" s="6">
        <v>5</v>
      </c>
      <c r="E38" s="6">
        <v>5</v>
      </c>
      <c r="F38" s="6">
        <v>4</v>
      </c>
      <c r="G38" s="6">
        <v>1</v>
      </c>
      <c r="H38" s="6">
        <v>3</v>
      </c>
      <c r="I38" s="6">
        <v>3</v>
      </c>
      <c r="J38" s="6">
        <v>7</v>
      </c>
      <c r="K38" s="6">
        <v>8</v>
      </c>
      <c r="L38" s="6">
        <v>6</v>
      </c>
      <c r="P38" s="12" t="s">
        <v>200</v>
      </c>
      <c r="Q38" s="11">
        <v>18.270278606930791</v>
      </c>
      <c r="R38" s="11">
        <v>1.9160219475118176</v>
      </c>
    </row>
    <row r="39" spans="2:18" ht="28.8" x14ac:dyDescent="0.3">
      <c r="B39" s="5">
        <v>24</v>
      </c>
      <c r="C39" s="6">
        <v>3</v>
      </c>
      <c r="D39" s="6">
        <v>4</v>
      </c>
      <c r="E39" s="6">
        <v>4</v>
      </c>
      <c r="F39" s="6">
        <v>3</v>
      </c>
      <c r="G39" s="6">
        <v>0</v>
      </c>
      <c r="H39" s="6">
        <v>3</v>
      </c>
      <c r="I39" s="6">
        <v>2</v>
      </c>
      <c r="J39" s="6">
        <v>9</v>
      </c>
      <c r="K39" s="6">
        <v>6</v>
      </c>
      <c r="L39" s="6">
        <v>8</v>
      </c>
      <c r="P39" s="12" t="s">
        <v>201</v>
      </c>
      <c r="Q39" s="11">
        <v>0</v>
      </c>
      <c r="R39" s="11">
        <v>58.103749706420231</v>
      </c>
    </row>
    <row r="40" spans="2:18" ht="28.8" x14ac:dyDescent="0.3">
      <c r="B40" s="5">
        <v>25</v>
      </c>
      <c r="C40" s="6">
        <v>5</v>
      </c>
      <c r="D40" s="6">
        <v>4</v>
      </c>
      <c r="E40" s="6">
        <v>4</v>
      </c>
      <c r="F40" s="6">
        <v>4</v>
      </c>
      <c r="G40" s="6">
        <v>0</v>
      </c>
      <c r="H40" s="6">
        <v>1</v>
      </c>
      <c r="I40" s="6">
        <v>2</v>
      </c>
      <c r="J40" s="6">
        <v>7</v>
      </c>
      <c r="K40" s="6">
        <v>8</v>
      </c>
      <c r="L40" s="6">
        <v>5</v>
      </c>
      <c r="P40" s="12" t="s">
        <v>202</v>
      </c>
      <c r="Q40" s="11">
        <v>10.62611918076397</v>
      </c>
      <c r="R40" s="11">
        <v>59.920057270002161</v>
      </c>
    </row>
    <row r="41" spans="2:18" ht="28.8" x14ac:dyDescent="0.3">
      <c r="B41" s="5">
        <v>26</v>
      </c>
      <c r="C41" s="6">
        <v>4</v>
      </c>
      <c r="D41" s="6">
        <v>3</v>
      </c>
      <c r="E41" s="6">
        <v>4</v>
      </c>
      <c r="F41" s="6">
        <v>4</v>
      </c>
      <c r="G41" s="6">
        <v>1</v>
      </c>
      <c r="H41" s="6">
        <v>2</v>
      </c>
      <c r="I41" s="6">
        <v>2</v>
      </c>
      <c r="J41" s="6">
        <v>9</v>
      </c>
      <c r="K41" s="6">
        <v>6</v>
      </c>
      <c r="L41" s="6">
        <v>9</v>
      </c>
      <c r="P41" s="12" t="s">
        <v>203</v>
      </c>
      <c r="Q41" s="11">
        <v>24.191325699172385</v>
      </c>
      <c r="R41" s="11">
        <v>58.207481832369183</v>
      </c>
    </row>
    <row r="42" spans="2:18" x14ac:dyDescent="0.3">
      <c r="B42" s="5">
        <v>27</v>
      </c>
      <c r="C42" s="6">
        <v>4</v>
      </c>
      <c r="D42" s="6">
        <v>4</v>
      </c>
      <c r="E42" s="6">
        <v>4</v>
      </c>
      <c r="F42" s="6">
        <v>4</v>
      </c>
      <c r="G42" s="6">
        <v>2</v>
      </c>
      <c r="H42" s="6">
        <v>1</v>
      </c>
      <c r="I42" s="6">
        <v>2</v>
      </c>
      <c r="J42" s="6">
        <v>8</v>
      </c>
      <c r="K42" s="6">
        <v>6</v>
      </c>
      <c r="L42" s="6">
        <v>8</v>
      </c>
    </row>
    <row r="43" spans="2:18" x14ac:dyDescent="0.3">
      <c r="B43" s="5">
        <v>28</v>
      </c>
      <c r="C43" s="6">
        <v>5</v>
      </c>
      <c r="D43" s="6">
        <v>3</v>
      </c>
      <c r="E43" s="6">
        <v>4</v>
      </c>
      <c r="F43" s="6">
        <v>4</v>
      </c>
      <c r="G43" s="6">
        <v>1</v>
      </c>
      <c r="H43" s="6">
        <v>2</v>
      </c>
      <c r="I43" s="6">
        <v>1</v>
      </c>
      <c r="J43" s="6">
        <v>9</v>
      </c>
      <c r="K43" s="6">
        <v>7</v>
      </c>
      <c r="L43" s="6">
        <v>9</v>
      </c>
    </row>
    <row r="44" spans="2:18" x14ac:dyDescent="0.3">
      <c r="B44" s="5">
        <v>29</v>
      </c>
      <c r="C44" s="6">
        <v>4</v>
      </c>
      <c r="D44" s="6">
        <v>3</v>
      </c>
      <c r="E44" s="6">
        <v>4</v>
      </c>
      <c r="F44" s="6">
        <v>4</v>
      </c>
      <c r="G44" s="6">
        <v>2</v>
      </c>
      <c r="H44" s="6">
        <v>3</v>
      </c>
      <c r="I44" s="6">
        <v>1</v>
      </c>
      <c r="J44" s="6">
        <v>8</v>
      </c>
      <c r="K44" s="6">
        <v>8</v>
      </c>
      <c r="L44" s="6">
        <v>5</v>
      </c>
      <c r="O44" s="5" t="s">
        <v>218</v>
      </c>
      <c r="P44" s="56" t="s">
        <v>219</v>
      </c>
    </row>
    <row r="45" spans="2:18" x14ac:dyDescent="0.3">
      <c r="B45" s="5">
        <v>30</v>
      </c>
      <c r="C45" s="6">
        <v>4</v>
      </c>
      <c r="D45" s="6">
        <v>4</v>
      </c>
      <c r="E45" s="6">
        <v>4</v>
      </c>
      <c r="F45" s="6">
        <v>4</v>
      </c>
      <c r="G45" s="6">
        <v>3</v>
      </c>
      <c r="H45" s="6">
        <v>3</v>
      </c>
      <c r="I45" s="6">
        <v>1</v>
      </c>
      <c r="J45" s="6">
        <v>6</v>
      </c>
      <c r="K45" s="6">
        <v>7</v>
      </c>
      <c r="L45" s="6">
        <v>7</v>
      </c>
      <c r="P45" s="9" t="s">
        <v>220</v>
      </c>
    </row>
    <row r="46" spans="2:18" x14ac:dyDescent="0.3">
      <c r="B46" s="5">
        <v>31</v>
      </c>
      <c r="C46" s="6">
        <v>3</v>
      </c>
      <c r="D46" s="6">
        <v>4</v>
      </c>
      <c r="E46" s="6">
        <v>5</v>
      </c>
      <c r="F46" s="6">
        <v>5</v>
      </c>
      <c r="G46" s="6">
        <v>2</v>
      </c>
      <c r="H46" s="6">
        <v>3</v>
      </c>
      <c r="I46" s="6">
        <v>3</v>
      </c>
      <c r="J46" s="6">
        <v>7</v>
      </c>
      <c r="K46" s="6">
        <v>5</v>
      </c>
      <c r="L46" s="6">
        <v>9</v>
      </c>
      <c r="P46" s="9" t="s">
        <v>221</v>
      </c>
    </row>
    <row r="47" spans="2:18" x14ac:dyDescent="0.3">
      <c r="B47" s="5">
        <v>32</v>
      </c>
      <c r="C47" s="6">
        <v>3</v>
      </c>
      <c r="D47" s="6">
        <v>5</v>
      </c>
      <c r="E47" s="6">
        <v>4</v>
      </c>
      <c r="F47" s="6">
        <v>4</v>
      </c>
      <c r="G47" s="6">
        <v>2</v>
      </c>
      <c r="H47" s="6">
        <v>1</v>
      </c>
      <c r="I47" s="6">
        <v>1</v>
      </c>
      <c r="J47" s="6">
        <v>6</v>
      </c>
      <c r="K47" s="6">
        <v>9</v>
      </c>
      <c r="L47" s="6">
        <v>6</v>
      </c>
      <c r="P47" s="9" t="s">
        <v>225</v>
      </c>
    </row>
    <row r="48" spans="2:18" x14ac:dyDescent="0.3">
      <c r="B48" s="5">
        <v>33</v>
      </c>
      <c r="C48" s="6">
        <v>5</v>
      </c>
      <c r="D48" s="6">
        <v>4</v>
      </c>
      <c r="E48" s="6">
        <v>5</v>
      </c>
      <c r="F48" s="6">
        <v>4</v>
      </c>
      <c r="G48" s="6">
        <v>2</v>
      </c>
      <c r="H48" s="6">
        <v>0</v>
      </c>
      <c r="I48" s="6">
        <v>0</v>
      </c>
      <c r="J48" s="6">
        <v>8</v>
      </c>
      <c r="K48" s="6">
        <v>8</v>
      </c>
      <c r="L48" s="6">
        <v>7</v>
      </c>
      <c r="P48" s="9" t="s">
        <v>222</v>
      </c>
    </row>
    <row r="49" spans="2:26" x14ac:dyDescent="0.3">
      <c r="B49" s="5">
        <v>34</v>
      </c>
      <c r="C49" s="6">
        <v>4</v>
      </c>
      <c r="D49" s="6">
        <v>4</v>
      </c>
      <c r="E49" s="6">
        <v>3</v>
      </c>
      <c r="F49" s="6">
        <v>5</v>
      </c>
      <c r="G49" s="6">
        <v>1</v>
      </c>
      <c r="H49" s="6">
        <v>0</v>
      </c>
      <c r="I49" s="6">
        <v>0</v>
      </c>
      <c r="J49" s="6">
        <v>7</v>
      </c>
      <c r="K49" s="6">
        <v>8</v>
      </c>
      <c r="L49" s="6">
        <v>7</v>
      </c>
      <c r="P49" s="9" t="s">
        <v>223</v>
      </c>
    </row>
    <row r="50" spans="2:26" x14ac:dyDescent="0.3">
      <c r="B50" s="5">
        <v>35</v>
      </c>
      <c r="C50" s="6">
        <v>5</v>
      </c>
      <c r="D50" s="6">
        <v>4</v>
      </c>
      <c r="E50" s="6">
        <v>4</v>
      </c>
      <c r="F50" s="6">
        <v>4</v>
      </c>
      <c r="G50" s="6">
        <v>0</v>
      </c>
      <c r="H50" s="6">
        <v>2</v>
      </c>
      <c r="I50" s="6">
        <v>1</v>
      </c>
      <c r="J50" s="6">
        <v>6</v>
      </c>
      <c r="K50" s="6">
        <v>7</v>
      </c>
      <c r="L50" s="6">
        <v>7</v>
      </c>
      <c r="P50" s="9" t="s">
        <v>224</v>
      </c>
    </row>
    <row r="51" spans="2:26" x14ac:dyDescent="0.3">
      <c r="B51" s="5">
        <v>36</v>
      </c>
      <c r="C51" s="6">
        <v>5</v>
      </c>
      <c r="D51" s="6">
        <v>5</v>
      </c>
      <c r="E51" s="6">
        <v>5</v>
      </c>
      <c r="F51" s="6">
        <v>3</v>
      </c>
      <c r="G51" s="6">
        <v>1</v>
      </c>
      <c r="H51" s="6">
        <v>1</v>
      </c>
      <c r="I51" s="6">
        <v>0</v>
      </c>
      <c r="J51" s="6">
        <v>6</v>
      </c>
      <c r="K51" s="6">
        <v>5</v>
      </c>
      <c r="L51" s="6">
        <v>8</v>
      </c>
    </row>
    <row r="52" spans="2:26" x14ac:dyDescent="0.3">
      <c r="B52" s="5">
        <v>37</v>
      </c>
      <c r="C52" s="6">
        <v>3</v>
      </c>
      <c r="D52" s="6">
        <v>3</v>
      </c>
      <c r="E52" s="6">
        <v>3</v>
      </c>
      <c r="F52" s="6">
        <v>4</v>
      </c>
      <c r="G52" s="6">
        <v>1</v>
      </c>
      <c r="H52" s="6">
        <v>2</v>
      </c>
      <c r="I52" s="6">
        <v>1</v>
      </c>
      <c r="J52" s="6">
        <v>5</v>
      </c>
      <c r="K52" s="6">
        <v>6</v>
      </c>
      <c r="L52" s="6">
        <v>9</v>
      </c>
      <c r="O52" s="13" t="s">
        <v>226</v>
      </c>
    </row>
    <row r="53" spans="2:26" x14ac:dyDescent="0.3">
      <c r="B53" s="5">
        <v>38</v>
      </c>
      <c r="C53" s="6">
        <v>3</v>
      </c>
      <c r="D53" s="6">
        <v>4</v>
      </c>
      <c r="E53" s="6">
        <v>4</v>
      </c>
      <c r="F53" s="6">
        <v>4</v>
      </c>
      <c r="G53" s="6">
        <v>0</v>
      </c>
      <c r="H53" s="6">
        <v>1</v>
      </c>
      <c r="I53" s="6">
        <v>3</v>
      </c>
      <c r="J53" s="6">
        <v>8</v>
      </c>
      <c r="K53" s="6">
        <v>7</v>
      </c>
      <c r="L53" s="6">
        <v>5</v>
      </c>
      <c r="Q53" s="11">
        <v>1</v>
      </c>
      <c r="R53" s="11">
        <v>2</v>
      </c>
      <c r="S53" s="11">
        <v>3</v>
      </c>
      <c r="T53" s="11">
        <v>4</v>
      </c>
      <c r="U53" s="11">
        <v>5</v>
      </c>
      <c r="V53" s="11">
        <v>6</v>
      </c>
      <c r="W53" s="11">
        <v>7</v>
      </c>
      <c r="X53" s="11">
        <v>8</v>
      </c>
      <c r="Y53" s="11">
        <v>9</v>
      </c>
      <c r="Z53" s="11">
        <v>10</v>
      </c>
    </row>
    <row r="54" spans="2:26" ht="43.2" x14ac:dyDescent="0.3">
      <c r="B54" s="5">
        <v>39</v>
      </c>
      <c r="C54" s="6">
        <v>3</v>
      </c>
      <c r="D54" s="6">
        <v>5</v>
      </c>
      <c r="E54" s="6">
        <v>4</v>
      </c>
      <c r="F54" s="6">
        <v>3</v>
      </c>
      <c r="G54" s="6">
        <v>1</v>
      </c>
      <c r="H54" s="6">
        <v>3</v>
      </c>
      <c r="I54" s="6">
        <v>3</v>
      </c>
      <c r="J54" s="6">
        <v>8</v>
      </c>
      <c r="K54" s="6">
        <v>6</v>
      </c>
      <c r="L54" s="6">
        <v>8</v>
      </c>
      <c r="P54" s="11"/>
      <c r="Q54" s="12" t="s">
        <v>194</v>
      </c>
      <c r="R54" s="12" t="s">
        <v>195</v>
      </c>
      <c r="S54" s="12" t="s">
        <v>196</v>
      </c>
      <c r="T54" s="12" t="s">
        <v>197</v>
      </c>
      <c r="U54" s="12" t="s">
        <v>198</v>
      </c>
      <c r="V54" s="12" t="s">
        <v>199</v>
      </c>
      <c r="W54" s="12" t="s">
        <v>200</v>
      </c>
      <c r="X54" s="12" t="s">
        <v>201</v>
      </c>
      <c r="Y54" s="12" t="s">
        <v>202</v>
      </c>
      <c r="Z54" s="12" t="s">
        <v>203</v>
      </c>
    </row>
    <row r="55" spans="2:26" ht="28.8" x14ac:dyDescent="0.3">
      <c r="B55" s="5">
        <v>40</v>
      </c>
      <c r="C55" s="6">
        <v>4</v>
      </c>
      <c r="D55" s="6">
        <v>4</v>
      </c>
      <c r="E55" s="6">
        <v>3</v>
      </c>
      <c r="F55" s="6">
        <v>5</v>
      </c>
      <c r="G55" s="6">
        <v>2</v>
      </c>
      <c r="H55" s="6">
        <v>3</v>
      </c>
      <c r="I55" s="6">
        <v>1</v>
      </c>
      <c r="J55" s="6">
        <v>8</v>
      </c>
      <c r="K55" s="6">
        <v>6</v>
      </c>
      <c r="L55" s="6">
        <v>7</v>
      </c>
      <c r="O55" s="11">
        <v>1</v>
      </c>
      <c r="P55" s="12" t="s">
        <v>194</v>
      </c>
      <c r="Q55" s="11">
        <f t="shared" ref="Q55:Z64" ca="1" si="4">SQRT((OFFSET($Q$32,Q$53-1,0)-OFFSET($Q$32,$O55-1,0))^2+(OFFSET($R$32,Q$53-1,0)-OFFSET($R$32,$O55-1,0))^2)</f>
        <v>0</v>
      </c>
      <c r="R55" s="11">
        <f t="shared" ca="1" si="4"/>
        <v>4.2432987956789736</v>
      </c>
      <c r="S55" s="11">
        <f t="shared" ca="1" si="4"/>
        <v>12.891782065870256</v>
      </c>
      <c r="T55" s="11">
        <f t="shared" ca="1" si="4"/>
        <v>8.1568817575504813</v>
      </c>
      <c r="U55" s="11">
        <f t="shared" ca="1" si="4"/>
        <v>26.817444599197529</v>
      </c>
      <c r="V55" s="11">
        <f t="shared" ca="1" si="4"/>
        <v>27.846809004988227</v>
      </c>
      <c r="W55" s="11">
        <f t="shared" ca="1" si="4"/>
        <v>30.780875652276745</v>
      </c>
      <c r="X55" s="11">
        <f t="shared" ca="1" si="4"/>
        <v>29.673474248492212</v>
      </c>
      <c r="Y55" s="11">
        <f t="shared" ca="1" si="4"/>
        <v>32.294425904742603</v>
      </c>
      <c r="Z55" s="11">
        <f t="shared" ca="1" si="4"/>
        <v>36.507672080376949</v>
      </c>
    </row>
    <row r="56" spans="2:26" ht="28.8" x14ac:dyDescent="0.3">
      <c r="B56" s="5">
        <v>41</v>
      </c>
      <c r="C56" s="6">
        <v>4</v>
      </c>
      <c r="D56" s="6">
        <v>4</v>
      </c>
      <c r="E56" s="6">
        <v>3</v>
      </c>
      <c r="F56" s="6">
        <v>4</v>
      </c>
      <c r="G56" s="6">
        <v>2</v>
      </c>
      <c r="H56" s="6">
        <v>1</v>
      </c>
      <c r="I56" s="6">
        <v>0</v>
      </c>
      <c r="J56" s="6">
        <v>9</v>
      </c>
      <c r="K56" s="6">
        <v>8</v>
      </c>
      <c r="L56" s="6">
        <v>8</v>
      </c>
      <c r="O56" s="11">
        <v>2</v>
      </c>
      <c r="P56" s="12" t="s">
        <v>195</v>
      </c>
      <c r="Q56" s="11">
        <f t="shared" ca="1" si="4"/>
        <v>4.2432987956789736</v>
      </c>
      <c r="R56" s="11">
        <f t="shared" ca="1" si="4"/>
        <v>0</v>
      </c>
      <c r="S56" s="11">
        <f t="shared" ca="1" si="4"/>
        <v>9.4856229912068972</v>
      </c>
      <c r="T56" s="11">
        <f t="shared" ca="1" si="4"/>
        <v>4.8415302713942676</v>
      </c>
      <c r="U56" s="11">
        <f t="shared" ca="1" si="4"/>
        <v>24.624426990379991</v>
      </c>
      <c r="V56" s="11">
        <f t="shared" ca="1" si="4"/>
        <v>24.523484463966561</v>
      </c>
      <c r="W56" s="11">
        <f t="shared" ca="1" si="4"/>
        <v>26.882342797373596</v>
      </c>
      <c r="X56" s="11">
        <f t="shared" ca="1" si="4"/>
        <v>32.758921324470563</v>
      </c>
      <c r="Y56" s="11">
        <f t="shared" ca="1" si="4"/>
        <v>34.269477349258402</v>
      </c>
      <c r="Z56" s="11">
        <f t="shared" ca="1" si="4"/>
        <v>36.945506977049526</v>
      </c>
    </row>
    <row r="57" spans="2:26" ht="28.8" x14ac:dyDescent="0.3">
      <c r="B57" s="5">
        <v>42</v>
      </c>
      <c r="C57" s="6">
        <v>3</v>
      </c>
      <c r="D57" s="6">
        <v>4</v>
      </c>
      <c r="E57" s="6">
        <v>3</v>
      </c>
      <c r="F57" s="6">
        <v>4</v>
      </c>
      <c r="G57" s="6">
        <v>1</v>
      </c>
      <c r="H57" s="6">
        <v>1</v>
      </c>
      <c r="I57" s="6">
        <v>0</v>
      </c>
      <c r="J57" s="6">
        <v>7</v>
      </c>
      <c r="K57" s="6">
        <v>8</v>
      </c>
      <c r="L57" s="6">
        <v>9</v>
      </c>
      <c r="O57" s="11">
        <v>3</v>
      </c>
      <c r="P57" s="12" t="s">
        <v>196</v>
      </c>
      <c r="Q57" s="11">
        <f t="shared" ca="1" si="4"/>
        <v>12.891782065870256</v>
      </c>
      <c r="R57" s="11">
        <f t="shared" ca="1" si="4"/>
        <v>9.4856229912068972</v>
      </c>
      <c r="S57" s="11">
        <f t="shared" ca="1" si="4"/>
        <v>0</v>
      </c>
      <c r="T57" s="11">
        <f t="shared" ca="1" si="4"/>
        <v>4.7560847112889357</v>
      </c>
      <c r="U57" s="11">
        <f t="shared" ca="1" si="4"/>
        <v>28.820341011748432</v>
      </c>
      <c r="V57" s="11">
        <f t="shared" ca="1" si="4"/>
        <v>25.52959989120064</v>
      </c>
      <c r="W57" s="11">
        <f t="shared" ca="1" si="4"/>
        <v>25.041744275750691</v>
      </c>
      <c r="X57" s="11">
        <f t="shared" ca="1" si="4"/>
        <v>34.978498838423114</v>
      </c>
      <c r="Y57" s="11">
        <f t="shared" ca="1" si="4"/>
        <v>33.478696968853136</v>
      </c>
      <c r="Z57" s="11">
        <f t="shared" ca="1" si="4"/>
        <v>32.529791817730491</v>
      </c>
    </row>
    <row r="58" spans="2:26" ht="28.8" x14ac:dyDescent="0.3">
      <c r="B58" s="5">
        <v>43</v>
      </c>
      <c r="C58" s="6">
        <v>4</v>
      </c>
      <c r="D58" s="6">
        <v>5</v>
      </c>
      <c r="E58" s="6">
        <v>4</v>
      </c>
      <c r="F58" s="6">
        <v>3</v>
      </c>
      <c r="G58" s="6">
        <v>0</v>
      </c>
      <c r="H58" s="6">
        <v>3</v>
      </c>
      <c r="I58" s="6">
        <v>2</v>
      </c>
      <c r="J58" s="6">
        <v>5</v>
      </c>
      <c r="K58" s="6">
        <v>8</v>
      </c>
      <c r="L58" s="6">
        <v>8</v>
      </c>
      <c r="O58" s="11">
        <v>4</v>
      </c>
      <c r="P58" s="12" t="s">
        <v>197</v>
      </c>
      <c r="Q58" s="11">
        <f t="shared" ca="1" si="4"/>
        <v>8.1568817575504813</v>
      </c>
      <c r="R58" s="11">
        <f t="shared" ca="1" si="4"/>
        <v>4.8415302713942676</v>
      </c>
      <c r="S58" s="11">
        <f t="shared" ca="1" si="4"/>
        <v>4.7560847112889357</v>
      </c>
      <c r="T58" s="11">
        <f t="shared" ca="1" si="4"/>
        <v>0</v>
      </c>
      <c r="U58" s="11">
        <f t="shared" ca="1" si="4"/>
        <v>27.056037983822126</v>
      </c>
      <c r="V58" s="11">
        <f t="shared" ca="1" si="4"/>
        <v>25.309515858790117</v>
      </c>
      <c r="W58" s="11">
        <f t="shared" ca="1" si="4"/>
        <v>26.250440750636475</v>
      </c>
      <c r="X58" s="11">
        <f t="shared" ca="1" si="4"/>
        <v>32.8540123171937</v>
      </c>
      <c r="Y58" s="11">
        <f t="shared" ca="1" si="4"/>
        <v>32.81078407490115</v>
      </c>
      <c r="Z58" s="11">
        <f t="shared" ca="1" si="4"/>
        <v>33.818638504411595</v>
      </c>
    </row>
    <row r="59" spans="2:26" ht="28.8" x14ac:dyDescent="0.3">
      <c r="B59" s="5">
        <v>44</v>
      </c>
      <c r="C59" s="6">
        <v>3</v>
      </c>
      <c r="D59" s="6">
        <v>4</v>
      </c>
      <c r="E59" s="6">
        <v>4</v>
      </c>
      <c r="F59" s="6">
        <v>3</v>
      </c>
      <c r="G59" s="6">
        <v>3</v>
      </c>
      <c r="H59" s="6">
        <v>2</v>
      </c>
      <c r="I59" s="6">
        <v>1</v>
      </c>
      <c r="J59" s="6">
        <v>6</v>
      </c>
      <c r="K59" s="6">
        <v>7</v>
      </c>
      <c r="L59" s="6">
        <v>5</v>
      </c>
      <c r="O59" s="11">
        <v>5</v>
      </c>
      <c r="P59" s="12" t="s">
        <v>198</v>
      </c>
      <c r="Q59" s="11">
        <f t="shared" ca="1" si="4"/>
        <v>26.817444599197529</v>
      </c>
      <c r="R59" s="11">
        <f t="shared" ca="1" si="4"/>
        <v>24.624426990379991</v>
      </c>
      <c r="S59" s="11">
        <f t="shared" ca="1" si="4"/>
        <v>28.820341011748432</v>
      </c>
      <c r="T59" s="11">
        <f t="shared" ca="1" si="4"/>
        <v>27.056037983822126</v>
      </c>
      <c r="U59" s="11">
        <f t="shared" ca="1" si="4"/>
        <v>0</v>
      </c>
      <c r="V59" s="11">
        <f t="shared" ca="1" si="4"/>
        <v>9.205242224914139</v>
      </c>
      <c r="W59" s="11">
        <f t="shared" ca="1" si="4"/>
        <v>16.920842823180195</v>
      </c>
      <c r="X59" s="11">
        <f t="shared" ca="1" si="4"/>
        <v>56.324206406940924</v>
      </c>
      <c r="Y59" s="11">
        <f t="shared" ca="1" si="4"/>
        <v>58.859896251210785</v>
      </c>
      <c r="Z59" s="11">
        <f t="shared" ca="1" si="4"/>
        <v>60.860653609390205</v>
      </c>
    </row>
    <row r="60" spans="2:26" ht="28.8" x14ac:dyDescent="0.3">
      <c r="B60" s="5">
        <v>45</v>
      </c>
      <c r="C60" s="6">
        <v>5</v>
      </c>
      <c r="D60" s="6">
        <v>5</v>
      </c>
      <c r="E60" s="6">
        <v>3</v>
      </c>
      <c r="F60" s="6">
        <v>4</v>
      </c>
      <c r="G60" s="6">
        <v>2</v>
      </c>
      <c r="H60" s="6">
        <v>1</v>
      </c>
      <c r="I60" s="6">
        <v>0</v>
      </c>
      <c r="J60" s="6">
        <v>5</v>
      </c>
      <c r="K60" s="6">
        <v>5</v>
      </c>
      <c r="L60" s="6">
        <v>9</v>
      </c>
      <c r="O60" s="11">
        <v>6</v>
      </c>
      <c r="P60" s="12" t="s">
        <v>199</v>
      </c>
      <c r="Q60" s="11">
        <f t="shared" ca="1" si="4"/>
        <v>27.846809004988227</v>
      </c>
      <c r="R60" s="11">
        <f t="shared" ca="1" si="4"/>
        <v>24.523484463966561</v>
      </c>
      <c r="S60" s="11">
        <f t="shared" ca="1" si="4"/>
        <v>25.52959989120064</v>
      </c>
      <c r="T60" s="11">
        <f t="shared" ca="1" si="4"/>
        <v>25.309515858790117</v>
      </c>
      <c r="U60" s="11">
        <f t="shared" ca="1" si="4"/>
        <v>9.205242224914139</v>
      </c>
      <c r="V60" s="11">
        <f t="shared" ca="1" si="4"/>
        <v>0</v>
      </c>
      <c r="W60" s="11">
        <f t="shared" ca="1" si="4"/>
        <v>7.7160003116800633</v>
      </c>
      <c r="X60" s="11">
        <f t="shared" ca="1" si="4"/>
        <v>57.281389892428614</v>
      </c>
      <c r="Y60" s="11">
        <f t="shared" ca="1" si="4"/>
        <v>58.116861051406424</v>
      </c>
      <c r="Z60" s="11">
        <f t="shared" ca="1" si="4"/>
        <v>58.029174744359075</v>
      </c>
    </row>
    <row r="61" spans="2:26" ht="28.8" x14ac:dyDescent="0.3">
      <c r="B61" s="5">
        <v>46</v>
      </c>
      <c r="C61" s="6">
        <v>3</v>
      </c>
      <c r="D61" s="6">
        <v>3</v>
      </c>
      <c r="E61" s="6">
        <v>4</v>
      </c>
      <c r="F61" s="6">
        <v>4</v>
      </c>
      <c r="G61" s="6">
        <v>2</v>
      </c>
      <c r="H61" s="6">
        <v>2</v>
      </c>
      <c r="I61" s="6">
        <v>2</v>
      </c>
      <c r="J61" s="6">
        <v>8</v>
      </c>
      <c r="K61" s="6">
        <v>6</v>
      </c>
      <c r="L61" s="6">
        <v>6</v>
      </c>
      <c r="O61" s="11">
        <v>7</v>
      </c>
      <c r="P61" s="12" t="s">
        <v>200</v>
      </c>
      <c r="Q61" s="11">
        <f t="shared" ca="1" si="4"/>
        <v>30.780875652276745</v>
      </c>
      <c r="R61" s="11">
        <f t="shared" ca="1" si="4"/>
        <v>26.882342797373596</v>
      </c>
      <c r="S61" s="11">
        <f t="shared" ca="1" si="4"/>
        <v>25.041744275750691</v>
      </c>
      <c r="T61" s="11">
        <f t="shared" ca="1" si="4"/>
        <v>26.250440750636475</v>
      </c>
      <c r="U61" s="11">
        <f t="shared" ca="1" si="4"/>
        <v>16.920842823180195</v>
      </c>
      <c r="V61" s="11">
        <f t="shared" ca="1" si="4"/>
        <v>7.7160003116800633</v>
      </c>
      <c r="W61" s="11">
        <f t="shared" ca="1" si="4"/>
        <v>0</v>
      </c>
      <c r="X61" s="11">
        <f t="shared" ca="1" si="4"/>
        <v>59.083532655758489</v>
      </c>
      <c r="Y61" s="11">
        <f t="shared" ca="1" si="4"/>
        <v>58.505566290955279</v>
      </c>
      <c r="Z61" s="11">
        <f t="shared" ca="1" si="4"/>
        <v>56.602007514195549</v>
      </c>
    </row>
    <row r="62" spans="2:26" ht="28.8" x14ac:dyDescent="0.3">
      <c r="B62" s="5">
        <v>47</v>
      </c>
      <c r="C62" s="6">
        <v>3</v>
      </c>
      <c r="D62" s="6">
        <v>5</v>
      </c>
      <c r="E62" s="6">
        <v>4</v>
      </c>
      <c r="F62" s="6">
        <v>4</v>
      </c>
      <c r="G62" s="6">
        <v>2</v>
      </c>
      <c r="H62" s="6">
        <v>2</v>
      </c>
      <c r="I62" s="6">
        <v>2</v>
      </c>
      <c r="J62" s="6">
        <v>5</v>
      </c>
      <c r="K62" s="6">
        <v>7</v>
      </c>
      <c r="L62" s="6">
        <v>8</v>
      </c>
      <c r="O62" s="11">
        <v>8</v>
      </c>
      <c r="P62" s="12" t="s">
        <v>201</v>
      </c>
      <c r="Q62" s="11">
        <f t="shared" ca="1" si="4"/>
        <v>29.673474248492212</v>
      </c>
      <c r="R62" s="11">
        <f t="shared" ca="1" si="4"/>
        <v>32.758921324470563</v>
      </c>
      <c r="S62" s="11">
        <f t="shared" ca="1" si="4"/>
        <v>34.978498838423114</v>
      </c>
      <c r="T62" s="11">
        <f t="shared" ca="1" si="4"/>
        <v>32.8540123171937</v>
      </c>
      <c r="U62" s="11">
        <f t="shared" ca="1" si="4"/>
        <v>56.324206406940924</v>
      </c>
      <c r="V62" s="11">
        <f t="shared" ca="1" si="4"/>
        <v>57.281389892428614</v>
      </c>
      <c r="W62" s="11">
        <f t="shared" ca="1" si="4"/>
        <v>59.083532655758489</v>
      </c>
      <c r="X62" s="11">
        <f t="shared" ca="1" si="4"/>
        <v>0</v>
      </c>
      <c r="Y62" s="11">
        <f t="shared" ca="1" si="4"/>
        <v>10.780231074022712</v>
      </c>
      <c r="Z62" s="11">
        <f t="shared" ca="1" si="4"/>
        <v>24.191548099230694</v>
      </c>
    </row>
    <row r="63" spans="2:26" ht="28.8" x14ac:dyDescent="0.3">
      <c r="B63" s="5">
        <v>48</v>
      </c>
      <c r="C63" s="6">
        <v>5</v>
      </c>
      <c r="D63" s="6">
        <v>5</v>
      </c>
      <c r="E63" s="6">
        <v>4</v>
      </c>
      <c r="F63" s="6">
        <v>5</v>
      </c>
      <c r="G63" s="6">
        <v>1</v>
      </c>
      <c r="H63" s="6">
        <v>2</v>
      </c>
      <c r="I63" s="6">
        <v>2</v>
      </c>
      <c r="J63" s="6">
        <v>6</v>
      </c>
      <c r="K63" s="6">
        <v>9</v>
      </c>
      <c r="L63" s="6">
        <v>6</v>
      </c>
      <c r="O63" s="11">
        <v>9</v>
      </c>
      <c r="P63" s="12" t="s">
        <v>202</v>
      </c>
      <c r="Q63" s="11">
        <f t="shared" ca="1" si="4"/>
        <v>32.294425904742603</v>
      </c>
      <c r="R63" s="11">
        <f t="shared" ca="1" si="4"/>
        <v>34.269477349258402</v>
      </c>
      <c r="S63" s="11">
        <f t="shared" ca="1" si="4"/>
        <v>33.478696968853136</v>
      </c>
      <c r="T63" s="11">
        <f t="shared" ca="1" si="4"/>
        <v>32.81078407490115</v>
      </c>
      <c r="U63" s="11">
        <f t="shared" ca="1" si="4"/>
        <v>58.859896251210785</v>
      </c>
      <c r="V63" s="11">
        <f t="shared" ca="1" si="4"/>
        <v>58.116861051406424</v>
      </c>
      <c r="W63" s="11">
        <f t="shared" ca="1" si="4"/>
        <v>58.505566290955279</v>
      </c>
      <c r="X63" s="11">
        <f t="shared" ca="1" si="4"/>
        <v>10.780231074022712</v>
      </c>
      <c r="Y63" s="11">
        <f t="shared" ca="1" si="4"/>
        <v>0</v>
      </c>
      <c r="Z63" s="11">
        <f t="shared" ca="1" si="4"/>
        <v>13.672883474843699</v>
      </c>
    </row>
    <row r="64" spans="2:26" ht="28.8" x14ac:dyDescent="0.3">
      <c r="B64" s="5">
        <v>49</v>
      </c>
      <c r="C64" s="6">
        <v>4</v>
      </c>
      <c r="D64" s="6">
        <v>5</v>
      </c>
      <c r="E64" s="6">
        <v>3</v>
      </c>
      <c r="F64" s="6">
        <v>4</v>
      </c>
      <c r="G64" s="6">
        <v>3</v>
      </c>
      <c r="H64" s="6">
        <v>2</v>
      </c>
      <c r="I64" s="6">
        <v>2</v>
      </c>
      <c r="J64" s="6">
        <v>5</v>
      </c>
      <c r="K64" s="6">
        <v>7</v>
      </c>
      <c r="L64" s="6">
        <v>6</v>
      </c>
      <c r="O64" s="11">
        <v>10</v>
      </c>
      <c r="P64" s="12" t="s">
        <v>203</v>
      </c>
      <c r="Q64" s="11">
        <f t="shared" ca="1" si="4"/>
        <v>36.507672080376949</v>
      </c>
      <c r="R64" s="11">
        <f t="shared" ca="1" si="4"/>
        <v>36.945506977049526</v>
      </c>
      <c r="S64" s="11">
        <f t="shared" ca="1" si="4"/>
        <v>32.529791817730491</v>
      </c>
      <c r="T64" s="11">
        <f t="shared" ca="1" si="4"/>
        <v>33.818638504411595</v>
      </c>
      <c r="U64" s="11">
        <f t="shared" ca="1" si="4"/>
        <v>60.860653609390205</v>
      </c>
      <c r="V64" s="11">
        <f t="shared" ca="1" si="4"/>
        <v>58.029174744359075</v>
      </c>
      <c r="W64" s="11">
        <f t="shared" ca="1" si="4"/>
        <v>56.602007514195549</v>
      </c>
      <c r="X64" s="11">
        <f t="shared" ca="1" si="4"/>
        <v>24.191548099230694</v>
      </c>
      <c r="Y64" s="11">
        <f t="shared" ca="1" si="4"/>
        <v>13.672883474843699</v>
      </c>
      <c r="Z64" s="11">
        <f t="shared" ca="1" si="4"/>
        <v>0</v>
      </c>
    </row>
    <row r="65" spans="2:38" x14ac:dyDescent="0.3">
      <c r="B65" s="5">
        <v>50</v>
      </c>
      <c r="C65" s="6">
        <v>5</v>
      </c>
      <c r="D65" s="6">
        <v>3</v>
      </c>
      <c r="E65" s="6">
        <v>5</v>
      </c>
      <c r="F65" s="6">
        <v>4</v>
      </c>
      <c r="G65" s="6">
        <v>3</v>
      </c>
      <c r="H65" s="6">
        <v>2</v>
      </c>
      <c r="I65" s="6">
        <v>2</v>
      </c>
      <c r="J65" s="6">
        <v>9</v>
      </c>
      <c r="K65" s="6">
        <v>7</v>
      </c>
      <c r="L65" s="6">
        <v>8</v>
      </c>
    </row>
    <row r="66" spans="2:38" x14ac:dyDescent="0.3">
      <c r="B66" s="5">
        <v>51</v>
      </c>
      <c r="C66" s="6">
        <v>3</v>
      </c>
      <c r="D66" s="6">
        <v>4</v>
      </c>
      <c r="E66" s="6">
        <v>3</v>
      </c>
      <c r="F66" s="6">
        <v>4</v>
      </c>
      <c r="G66" s="6">
        <v>0</v>
      </c>
      <c r="H66" s="6">
        <v>2</v>
      </c>
      <c r="I66" s="6">
        <v>3</v>
      </c>
      <c r="J66" s="6">
        <v>6</v>
      </c>
      <c r="K66" s="6">
        <v>8</v>
      </c>
      <c r="L66" s="6">
        <v>7</v>
      </c>
      <c r="O66" s="5" t="s">
        <v>227</v>
      </c>
      <c r="P66" s="10" t="s">
        <v>228</v>
      </c>
    </row>
    <row r="67" spans="2:38" x14ac:dyDescent="0.3">
      <c r="B67" s="5">
        <v>52</v>
      </c>
      <c r="C67" s="6">
        <v>3</v>
      </c>
      <c r="D67" s="6">
        <v>3</v>
      </c>
      <c r="E67" s="6">
        <v>3</v>
      </c>
      <c r="F67" s="6">
        <v>4</v>
      </c>
      <c r="G67" s="6">
        <v>2</v>
      </c>
      <c r="H67" s="6">
        <v>2</v>
      </c>
      <c r="I67" s="6">
        <v>1</v>
      </c>
      <c r="J67" s="6">
        <v>8</v>
      </c>
      <c r="K67" s="6">
        <v>6</v>
      </c>
      <c r="L67" s="6">
        <v>6</v>
      </c>
    </row>
    <row r="68" spans="2:38" x14ac:dyDescent="0.3">
      <c r="B68" s="5">
        <v>53</v>
      </c>
      <c r="C68" s="6">
        <v>4</v>
      </c>
      <c r="D68" s="6">
        <v>5</v>
      </c>
      <c r="E68" s="6">
        <v>5</v>
      </c>
      <c r="F68" s="6">
        <v>5</v>
      </c>
      <c r="G68" s="6">
        <v>3</v>
      </c>
      <c r="H68" s="6">
        <v>0</v>
      </c>
      <c r="I68" s="6">
        <v>1</v>
      </c>
      <c r="J68" s="6">
        <v>5</v>
      </c>
      <c r="K68" s="6">
        <v>9</v>
      </c>
      <c r="L68" s="6">
        <v>8</v>
      </c>
      <c r="S68" s="6" t="s">
        <v>229</v>
      </c>
      <c r="T68" s="6">
        <f ca="1">SUM(Q76:Z85)</f>
        <v>683.97912263618036</v>
      </c>
    </row>
    <row r="69" spans="2:38" x14ac:dyDescent="0.3">
      <c r="B69" s="5">
        <v>54</v>
      </c>
      <c r="C69" s="6">
        <v>5</v>
      </c>
      <c r="D69" s="6">
        <v>3</v>
      </c>
      <c r="E69" s="6">
        <v>5</v>
      </c>
      <c r="F69" s="6">
        <v>4</v>
      </c>
      <c r="G69" s="6">
        <v>2</v>
      </c>
      <c r="H69" s="6">
        <v>3</v>
      </c>
      <c r="I69" s="6">
        <v>1</v>
      </c>
      <c r="J69" s="6">
        <v>6</v>
      </c>
      <c r="K69" s="6">
        <v>8</v>
      </c>
      <c r="L69" s="6">
        <v>6</v>
      </c>
      <c r="S69" s="6" t="s">
        <v>230</v>
      </c>
      <c r="T69" s="6">
        <f ca="1">SUM(AC76:AL85)</f>
        <v>109300</v>
      </c>
    </row>
    <row r="70" spans="2:38" x14ac:dyDescent="0.3">
      <c r="B70" s="5">
        <v>55</v>
      </c>
      <c r="C70" s="6">
        <v>4</v>
      </c>
      <c r="D70" s="6">
        <v>3</v>
      </c>
      <c r="E70" s="6">
        <v>4</v>
      </c>
      <c r="F70" s="6">
        <v>5</v>
      </c>
      <c r="G70" s="6">
        <v>3</v>
      </c>
      <c r="H70" s="6">
        <v>2</v>
      </c>
      <c r="I70" s="6">
        <v>3</v>
      </c>
      <c r="J70" s="6">
        <v>6</v>
      </c>
      <c r="K70" s="6">
        <v>8</v>
      </c>
      <c r="L70" s="6">
        <v>7</v>
      </c>
      <c r="S70" s="6" t="s">
        <v>8</v>
      </c>
      <c r="T70" s="6">
        <f ca="1">SQRT(T68/T69)</f>
        <v>7.9106349174674184E-2</v>
      </c>
      <c r="V70" s="15" t="s">
        <v>231</v>
      </c>
    </row>
    <row r="71" spans="2:38" x14ac:dyDescent="0.3">
      <c r="B71" s="5">
        <v>56</v>
      </c>
      <c r="C71" s="6">
        <v>4</v>
      </c>
      <c r="D71" s="6">
        <v>4</v>
      </c>
      <c r="E71" s="6">
        <v>4</v>
      </c>
      <c r="F71" s="6">
        <v>4</v>
      </c>
      <c r="G71" s="6">
        <v>1</v>
      </c>
      <c r="H71" s="6">
        <v>0</v>
      </c>
      <c r="I71" s="6">
        <v>1</v>
      </c>
      <c r="J71" s="6">
        <v>9</v>
      </c>
      <c r="K71" s="6">
        <v>5</v>
      </c>
      <c r="L71" s="6">
        <v>8</v>
      </c>
    </row>
    <row r="72" spans="2:38" x14ac:dyDescent="0.3">
      <c r="B72" s="5">
        <v>57</v>
      </c>
      <c r="C72" s="6">
        <v>3</v>
      </c>
      <c r="D72" s="6">
        <v>4</v>
      </c>
      <c r="E72" s="6">
        <v>4</v>
      </c>
      <c r="F72" s="6">
        <v>3</v>
      </c>
      <c r="G72" s="6">
        <v>2</v>
      </c>
      <c r="H72" s="6">
        <v>2</v>
      </c>
      <c r="I72" s="6">
        <v>2</v>
      </c>
      <c r="J72" s="6">
        <v>8</v>
      </c>
      <c r="K72" s="6">
        <v>8</v>
      </c>
      <c r="L72" s="6">
        <v>9</v>
      </c>
    </row>
    <row r="73" spans="2:38" x14ac:dyDescent="0.3">
      <c r="B73" s="5">
        <v>58</v>
      </c>
      <c r="C73" s="6">
        <v>4</v>
      </c>
      <c r="D73" s="6">
        <v>5</v>
      </c>
      <c r="E73" s="6">
        <v>3</v>
      </c>
      <c r="F73" s="6">
        <v>5</v>
      </c>
      <c r="G73" s="6">
        <v>2</v>
      </c>
      <c r="H73" s="6">
        <v>1</v>
      </c>
      <c r="I73" s="6">
        <v>2</v>
      </c>
      <c r="J73" s="6">
        <v>7</v>
      </c>
      <c r="K73" s="6">
        <v>8</v>
      </c>
      <c r="L73" s="6">
        <v>8</v>
      </c>
      <c r="P73" s="13" t="s">
        <v>232</v>
      </c>
      <c r="AB73" s="13" t="s">
        <v>233</v>
      </c>
    </row>
    <row r="74" spans="2:38" x14ac:dyDescent="0.3">
      <c r="B74" s="5">
        <v>59</v>
      </c>
      <c r="C74" s="6">
        <v>5</v>
      </c>
      <c r="D74" s="6">
        <v>5</v>
      </c>
      <c r="E74" s="6">
        <v>3</v>
      </c>
      <c r="F74" s="6">
        <v>3</v>
      </c>
      <c r="G74" s="6">
        <v>2</v>
      </c>
      <c r="H74" s="6">
        <v>3</v>
      </c>
      <c r="I74" s="6">
        <v>2</v>
      </c>
      <c r="J74" s="6">
        <v>6</v>
      </c>
      <c r="K74" s="6">
        <v>6</v>
      </c>
      <c r="L74" s="6">
        <v>5</v>
      </c>
    </row>
    <row r="75" spans="2:38" ht="43.2" x14ac:dyDescent="0.3">
      <c r="B75" s="5">
        <v>60</v>
      </c>
      <c r="C75" s="6">
        <v>5</v>
      </c>
      <c r="D75" s="6">
        <v>3</v>
      </c>
      <c r="E75" s="6">
        <v>4</v>
      </c>
      <c r="F75" s="6">
        <v>4</v>
      </c>
      <c r="G75" s="6">
        <v>1</v>
      </c>
      <c r="H75" s="6">
        <v>3</v>
      </c>
      <c r="I75" s="6">
        <v>3</v>
      </c>
      <c r="J75" s="6">
        <v>5</v>
      </c>
      <c r="K75" s="6">
        <v>8</v>
      </c>
      <c r="L75" s="6">
        <v>7</v>
      </c>
      <c r="P75" s="11"/>
      <c r="Q75" s="12" t="s">
        <v>194</v>
      </c>
      <c r="R75" s="12" t="s">
        <v>195</v>
      </c>
      <c r="S75" s="12" t="s">
        <v>196</v>
      </c>
      <c r="T75" s="12" t="s">
        <v>197</v>
      </c>
      <c r="U75" s="12" t="s">
        <v>198</v>
      </c>
      <c r="V75" s="12" t="s">
        <v>199</v>
      </c>
      <c r="W75" s="12" t="s">
        <v>200</v>
      </c>
      <c r="X75" s="12" t="s">
        <v>201</v>
      </c>
      <c r="Y75" s="12" t="s">
        <v>202</v>
      </c>
      <c r="Z75" s="12" t="s">
        <v>203</v>
      </c>
      <c r="AB75" s="11"/>
      <c r="AC75" s="12" t="s">
        <v>194</v>
      </c>
      <c r="AD75" s="12" t="s">
        <v>195</v>
      </c>
      <c r="AE75" s="12" t="s">
        <v>196</v>
      </c>
      <c r="AF75" s="12" t="s">
        <v>197</v>
      </c>
      <c r="AG75" s="12" t="s">
        <v>198</v>
      </c>
      <c r="AH75" s="12" t="s">
        <v>199</v>
      </c>
      <c r="AI75" s="12" t="s">
        <v>200</v>
      </c>
      <c r="AJ75" s="12" t="s">
        <v>201</v>
      </c>
      <c r="AK75" s="12" t="s">
        <v>202</v>
      </c>
      <c r="AL75" s="12" t="s">
        <v>203</v>
      </c>
    </row>
    <row r="76" spans="2:38" ht="28.8" x14ac:dyDescent="0.3">
      <c r="B76" s="5">
        <v>61</v>
      </c>
      <c r="C76" s="6">
        <v>4</v>
      </c>
      <c r="D76" s="6">
        <v>5</v>
      </c>
      <c r="E76" s="6">
        <v>4</v>
      </c>
      <c r="F76" s="6">
        <v>5</v>
      </c>
      <c r="G76" s="6">
        <v>2</v>
      </c>
      <c r="H76" s="6">
        <v>1</v>
      </c>
      <c r="I76" s="6">
        <v>1</v>
      </c>
      <c r="J76" s="6">
        <v>8</v>
      </c>
      <c r="K76" s="6">
        <v>5</v>
      </c>
      <c r="L76" s="6">
        <v>6</v>
      </c>
      <c r="P76" s="12" t="s">
        <v>194</v>
      </c>
      <c r="Q76" s="11">
        <f ca="1">(Q16-Q55)^2</f>
        <v>0</v>
      </c>
      <c r="R76" s="11">
        <f t="shared" ref="R76:Z76" ca="1" si="5">(R16-R55)^2</f>
        <v>38.402904597851659</v>
      </c>
      <c r="S76" s="11">
        <f t="shared" ca="1" si="5"/>
        <v>14.298596378064683</v>
      </c>
      <c r="T76" s="11">
        <f t="shared" ca="1" si="5"/>
        <v>1.2471009418765369</v>
      </c>
      <c r="U76" s="11">
        <f t="shared" ca="1" si="5"/>
        <v>2.3637499144131011</v>
      </c>
      <c r="V76" s="11">
        <f t="shared" ca="1" si="5"/>
        <v>0.28495144793861249</v>
      </c>
      <c r="W76" s="11">
        <f t="shared" ca="1" si="5"/>
        <v>5.7156211038538478</v>
      </c>
      <c r="X76" s="11">
        <f t="shared" ca="1" si="5"/>
        <v>8.4072202973394248</v>
      </c>
      <c r="Y76" s="11">
        <f t="shared" ca="1" si="5"/>
        <v>0.18637390328364009</v>
      </c>
      <c r="Z76" s="11">
        <f t="shared" ca="1" si="5"/>
        <v>2.7727887976899948</v>
      </c>
      <c r="AB76" s="12" t="s">
        <v>194</v>
      </c>
      <c r="AC76" s="11">
        <f ca="1">Q16^2</f>
        <v>0</v>
      </c>
      <c r="AD76" s="11">
        <f t="shared" ref="AD76:AL85" ca="1" si="6">R16^2</f>
        <v>109.00000000000001</v>
      </c>
      <c r="AE76" s="11">
        <f t="shared" ca="1" si="6"/>
        <v>83</v>
      </c>
      <c r="AF76" s="11">
        <f t="shared" ca="1" si="6"/>
        <v>86</v>
      </c>
      <c r="AG76" s="11">
        <f t="shared" ca="1" si="6"/>
        <v>804</v>
      </c>
      <c r="AH76" s="11">
        <f t="shared" ca="1" si="6"/>
        <v>746</v>
      </c>
      <c r="AI76" s="11">
        <f t="shared" ca="1" si="6"/>
        <v>806</v>
      </c>
      <c r="AJ76" s="11">
        <f t="shared" ca="1" si="6"/>
        <v>1060.9999999999998</v>
      </c>
      <c r="AK76" s="11">
        <f t="shared" ca="1" si="6"/>
        <v>1071</v>
      </c>
      <c r="AL76" s="11">
        <f t="shared" ca="1" si="6"/>
        <v>1214</v>
      </c>
    </row>
    <row r="77" spans="2:38" ht="28.8" x14ac:dyDescent="0.3">
      <c r="B77" s="5">
        <v>62</v>
      </c>
      <c r="C77" s="6">
        <v>4</v>
      </c>
      <c r="D77" s="6">
        <v>5</v>
      </c>
      <c r="E77" s="6">
        <v>5</v>
      </c>
      <c r="F77" s="6">
        <v>4</v>
      </c>
      <c r="G77" s="6">
        <v>2</v>
      </c>
      <c r="H77" s="6">
        <v>0</v>
      </c>
      <c r="I77" s="6">
        <v>2</v>
      </c>
      <c r="J77" s="6">
        <v>8</v>
      </c>
      <c r="K77" s="6">
        <v>6</v>
      </c>
      <c r="L77" s="6">
        <v>6</v>
      </c>
      <c r="P77" s="12" t="s">
        <v>195</v>
      </c>
      <c r="Q77" s="11">
        <f t="shared" ref="Q77:Z77" ca="1" si="7">(Q17-Q56)^2</f>
        <v>38.402904597851659</v>
      </c>
      <c r="R77" s="11">
        <f t="shared" ca="1" si="7"/>
        <v>0</v>
      </c>
      <c r="S77" s="11">
        <f t="shared" ca="1" si="7"/>
        <v>1.204247809312311</v>
      </c>
      <c r="T77" s="11">
        <f t="shared" ca="1" si="7"/>
        <v>26.095179440653041</v>
      </c>
      <c r="U77" s="11">
        <f t="shared" ca="1" si="7"/>
        <v>7.9322130412173459</v>
      </c>
      <c r="V77" s="11">
        <f t="shared" ca="1" si="7"/>
        <v>4.4250044201278671</v>
      </c>
      <c r="W77" s="11">
        <f t="shared" ca="1" si="7"/>
        <v>0.27252201828937433</v>
      </c>
      <c r="X77" s="11">
        <f t="shared" ca="1" si="7"/>
        <v>1.9260466657777922</v>
      </c>
      <c r="Y77" s="11">
        <f t="shared" ca="1" si="7"/>
        <v>2.7591124340669696E-3</v>
      </c>
      <c r="Z77" s="11">
        <f t="shared" ca="1" si="7"/>
        <v>1.9007268039182903</v>
      </c>
      <c r="AB77" s="12" t="s">
        <v>195</v>
      </c>
      <c r="AC77" s="11">
        <f t="shared" ref="AC77:AC85" ca="1" si="8">Q17^2</f>
        <v>109.00000000000001</v>
      </c>
      <c r="AD77" s="11">
        <f t="shared" ca="1" si="6"/>
        <v>0</v>
      </c>
      <c r="AE77" s="11">
        <f t="shared" ca="1" si="6"/>
        <v>112.00000000000001</v>
      </c>
      <c r="AF77" s="11">
        <f t="shared" ca="1" si="6"/>
        <v>99</v>
      </c>
      <c r="AG77" s="11">
        <f t="shared" ca="1" si="6"/>
        <v>753.00000000000011</v>
      </c>
      <c r="AH77" s="11">
        <f t="shared" ca="1" si="6"/>
        <v>709.00000000000011</v>
      </c>
      <c r="AI77" s="11">
        <f t="shared" ca="1" si="6"/>
        <v>750.99999999999989</v>
      </c>
      <c r="AJ77" s="11">
        <f t="shared" ca="1" si="6"/>
        <v>1166</v>
      </c>
      <c r="AK77" s="11">
        <f t="shared" ca="1" si="6"/>
        <v>1177.9999999999998</v>
      </c>
      <c r="AL77" s="11">
        <f t="shared" ca="1" si="6"/>
        <v>1264.9999999999998</v>
      </c>
    </row>
    <row r="78" spans="2:38" ht="28.8" x14ac:dyDescent="0.3">
      <c r="B78" s="5">
        <v>63</v>
      </c>
      <c r="C78" s="6">
        <v>4</v>
      </c>
      <c r="D78" s="6">
        <v>5</v>
      </c>
      <c r="E78" s="6">
        <v>3</v>
      </c>
      <c r="F78" s="6">
        <v>5</v>
      </c>
      <c r="G78" s="6">
        <v>2</v>
      </c>
      <c r="H78" s="6">
        <v>1</v>
      </c>
      <c r="I78" s="6">
        <v>2</v>
      </c>
      <c r="J78" s="6">
        <v>5</v>
      </c>
      <c r="K78" s="6">
        <v>8</v>
      </c>
      <c r="L78" s="6">
        <v>6</v>
      </c>
      <c r="P78" s="12" t="s">
        <v>196</v>
      </c>
      <c r="Q78" s="11">
        <f t="shared" ref="Q78:Z78" ca="1" si="9">(Q18-Q57)^2</f>
        <v>14.298596378064683</v>
      </c>
      <c r="R78" s="11">
        <f t="shared" ca="1" si="9"/>
        <v>1.204247809312311</v>
      </c>
      <c r="S78" s="11">
        <f t="shared" ca="1" si="9"/>
        <v>0</v>
      </c>
      <c r="T78" s="11">
        <f t="shared" ca="1" si="9"/>
        <v>29.082365762427667</v>
      </c>
      <c r="U78" s="11">
        <f t="shared" ca="1" si="9"/>
        <v>3.0498021358133101</v>
      </c>
      <c r="V78" s="11">
        <f t="shared" ca="1" si="9"/>
        <v>0.20354735086001863</v>
      </c>
      <c r="W78" s="11">
        <f t="shared" ca="1" si="9"/>
        <v>3.9810919713282784</v>
      </c>
      <c r="X78" s="11">
        <f t="shared" ca="1" si="9"/>
        <v>3.5066611858064523</v>
      </c>
      <c r="Y78" s="11">
        <f t="shared" ca="1" si="9"/>
        <v>0.21384014360178907</v>
      </c>
      <c r="Z78" s="11">
        <f t="shared" ca="1" si="9"/>
        <v>5.822658771579805</v>
      </c>
      <c r="AB78" s="12" t="s">
        <v>196</v>
      </c>
      <c r="AC78" s="11">
        <f t="shared" ca="1" si="8"/>
        <v>83</v>
      </c>
      <c r="AD78" s="11">
        <f t="shared" ca="1" si="6"/>
        <v>112.00000000000001</v>
      </c>
      <c r="AE78" s="11">
        <f t="shared" ca="1" si="6"/>
        <v>0</v>
      </c>
      <c r="AF78" s="11">
        <f t="shared" ca="1" si="6"/>
        <v>103</v>
      </c>
      <c r="AG78" s="11">
        <f t="shared" ca="1" si="6"/>
        <v>733</v>
      </c>
      <c r="AH78" s="11">
        <f t="shared" ca="1" si="6"/>
        <v>675</v>
      </c>
      <c r="AI78" s="11">
        <f t="shared" ca="1" si="6"/>
        <v>731</v>
      </c>
      <c r="AJ78" s="11">
        <f t="shared" ca="1" si="6"/>
        <v>1096</v>
      </c>
      <c r="AK78" s="11">
        <f t="shared" ca="1" si="6"/>
        <v>1151.9999999999998</v>
      </c>
      <c r="AL78" s="11">
        <f t="shared" ca="1" si="6"/>
        <v>1220.9999999999998</v>
      </c>
    </row>
    <row r="79" spans="2:38" ht="28.8" x14ac:dyDescent="0.3">
      <c r="B79" s="5">
        <v>64</v>
      </c>
      <c r="C79" s="6">
        <v>4</v>
      </c>
      <c r="D79" s="6">
        <v>3</v>
      </c>
      <c r="E79" s="6">
        <v>4</v>
      </c>
      <c r="F79" s="6">
        <v>4</v>
      </c>
      <c r="G79" s="6">
        <v>0</v>
      </c>
      <c r="H79" s="6">
        <v>0</v>
      </c>
      <c r="I79" s="6">
        <v>2</v>
      </c>
      <c r="J79" s="6">
        <v>6</v>
      </c>
      <c r="K79" s="6">
        <v>6</v>
      </c>
      <c r="L79" s="6">
        <v>9</v>
      </c>
      <c r="P79" s="12" t="s">
        <v>197</v>
      </c>
      <c r="Q79" s="11">
        <f t="shared" ref="Q79:Z79" ca="1" si="10">(Q19-Q58)^2</f>
        <v>1.2471009418765369</v>
      </c>
      <c r="R79" s="11">
        <f t="shared" ca="1" si="10"/>
        <v>26.095179440653041</v>
      </c>
      <c r="S79" s="11">
        <f t="shared" ca="1" si="10"/>
        <v>29.082365762427667</v>
      </c>
      <c r="T79" s="11">
        <f t="shared" ca="1" si="10"/>
        <v>0</v>
      </c>
      <c r="U79" s="11">
        <f t="shared" ca="1" si="10"/>
        <v>2.9102451975269307E-7</v>
      </c>
      <c r="V79" s="11">
        <f t="shared" ca="1" si="10"/>
        <v>1.0699086483483644</v>
      </c>
      <c r="W79" s="11">
        <f t="shared" ca="1" si="10"/>
        <v>0.10254069503797109</v>
      </c>
      <c r="X79" s="11">
        <f t="shared" ca="1" si="10"/>
        <v>0.47197909250047304</v>
      </c>
      <c r="Y79" s="11">
        <f t="shared" ca="1" si="10"/>
        <v>0.62380166517766844</v>
      </c>
      <c r="Z79" s="11">
        <f t="shared" ca="1" si="10"/>
        <v>1.8675563855416519</v>
      </c>
      <c r="AB79" s="12" t="s">
        <v>197</v>
      </c>
      <c r="AC79" s="11">
        <f t="shared" ca="1" si="8"/>
        <v>86</v>
      </c>
      <c r="AD79" s="11">
        <f t="shared" ca="1" si="6"/>
        <v>99</v>
      </c>
      <c r="AE79" s="11">
        <f t="shared" ca="1" si="6"/>
        <v>103</v>
      </c>
      <c r="AF79" s="11">
        <f t="shared" ca="1" si="6"/>
        <v>0</v>
      </c>
      <c r="AG79" s="11">
        <f t="shared" ca="1" si="6"/>
        <v>732</v>
      </c>
      <c r="AH79" s="11">
        <f t="shared" ca="1" si="6"/>
        <v>694.00000000000011</v>
      </c>
      <c r="AI79" s="11">
        <f t="shared" ca="1" si="6"/>
        <v>706.00000000000011</v>
      </c>
      <c r="AJ79" s="11">
        <f t="shared" ca="1" si="6"/>
        <v>1124.9999999999998</v>
      </c>
      <c r="AK79" s="11">
        <f t="shared" ca="1" si="6"/>
        <v>1128.9999999999998</v>
      </c>
      <c r="AL79" s="11">
        <f t="shared" ca="1" si="6"/>
        <v>1238.0000000000002</v>
      </c>
    </row>
    <row r="80" spans="2:38" ht="28.8" x14ac:dyDescent="0.3">
      <c r="B80" s="5">
        <v>65</v>
      </c>
      <c r="C80" s="6">
        <v>5</v>
      </c>
      <c r="D80" s="6">
        <v>5</v>
      </c>
      <c r="E80" s="6">
        <v>4</v>
      </c>
      <c r="F80" s="6">
        <v>3</v>
      </c>
      <c r="G80" s="6">
        <v>2</v>
      </c>
      <c r="H80" s="6">
        <v>1</v>
      </c>
      <c r="I80" s="6">
        <v>0</v>
      </c>
      <c r="J80" s="6">
        <v>6</v>
      </c>
      <c r="K80" s="6">
        <v>7</v>
      </c>
      <c r="L80" s="6">
        <v>5</v>
      </c>
      <c r="P80" s="12" t="s">
        <v>198</v>
      </c>
      <c r="Q80" s="11">
        <f t="shared" ref="Q80:Z80" ca="1" si="11">(Q20-Q59)^2</f>
        <v>2.3637499144131011</v>
      </c>
      <c r="R80" s="11">
        <f t="shared" ca="1" si="11"/>
        <v>7.9322130412173459</v>
      </c>
      <c r="S80" s="11">
        <f t="shared" ca="1" si="11"/>
        <v>3.0498021358133101</v>
      </c>
      <c r="T80" s="11">
        <f t="shared" ca="1" si="11"/>
        <v>2.9102451975269307E-7</v>
      </c>
      <c r="U80" s="11">
        <f t="shared" ca="1" si="11"/>
        <v>0</v>
      </c>
      <c r="V80" s="11">
        <f t="shared" ca="1" si="11"/>
        <v>17.733916048229137</v>
      </c>
      <c r="W80" s="11">
        <f t="shared" ca="1" si="11"/>
        <v>7.3341978544353985</v>
      </c>
      <c r="X80" s="11">
        <f t="shared" ca="1" si="11"/>
        <v>0.94724085970646099</v>
      </c>
      <c r="Y80" s="11">
        <f t="shared" ca="1" si="11"/>
        <v>1.8790017405865449</v>
      </c>
      <c r="Z80" s="11">
        <f t="shared" ca="1" si="11"/>
        <v>5.1090117543597131</v>
      </c>
      <c r="AB80" s="12" t="s">
        <v>198</v>
      </c>
      <c r="AC80" s="11">
        <f t="shared" ca="1" si="8"/>
        <v>804</v>
      </c>
      <c r="AD80" s="11">
        <f t="shared" ca="1" si="6"/>
        <v>753.00000000000011</v>
      </c>
      <c r="AE80" s="11">
        <f t="shared" ca="1" si="6"/>
        <v>733</v>
      </c>
      <c r="AF80" s="11">
        <f t="shared" ca="1" si="6"/>
        <v>732</v>
      </c>
      <c r="AG80" s="11">
        <f t="shared" ca="1" si="6"/>
        <v>0</v>
      </c>
      <c r="AH80" s="11">
        <f t="shared" ca="1" si="6"/>
        <v>180.00000000000003</v>
      </c>
      <c r="AI80" s="11">
        <f t="shared" ca="1" si="6"/>
        <v>202</v>
      </c>
      <c r="AJ80" s="11">
        <f t="shared" ca="1" si="6"/>
        <v>3283</v>
      </c>
      <c r="AK80" s="11">
        <f t="shared" ca="1" si="6"/>
        <v>3305</v>
      </c>
      <c r="AL80" s="11">
        <f t="shared" ca="1" si="6"/>
        <v>3434.0000000000005</v>
      </c>
    </row>
    <row r="81" spans="2:38" ht="28.8" x14ac:dyDescent="0.3">
      <c r="B81" s="5">
        <v>66</v>
      </c>
      <c r="C81" s="6">
        <v>4</v>
      </c>
      <c r="D81" s="6">
        <v>3</v>
      </c>
      <c r="E81" s="6">
        <v>5</v>
      </c>
      <c r="F81" s="6">
        <v>5</v>
      </c>
      <c r="G81" s="6">
        <v>0</v>
      </c>
      <c r="H81" s="6">
        <v>3</v>
      </c>
      <c r="I81" s="6">
        <v>3</v>
      </c>
      <c r="J81" s="6">
        <v>7</v>
      </c>
      <c r="K81" s="6">
        <v>7</v>
      </c>
      <c r="L81" s="6">
        <v>8</v>
      </c>
      <c r="P81" s="12" t="s">
        <v>199</v>
      </c>
      <c r="Q81" s="11">
        <f t="shared" ref="Q81:Z81" ca="1" si="12">(Q21-Q60)^2</f>
        <v>0.28495144793861249</v>
      </c>
      <c r="R81" s="11">
        <f t="shared" ca="1" si="12"/>
        <v>4.4250044201278671</v>
      </c>
      <c r="S81" s="11">
        <f t="shared" ca="1" si="12"/>
        <v>0.20354735086001863</v>
      </c>
      <c r="T81" s="11">
        <f t="shared" ca="1" si="12"/>
        <v>1.0699086483483644</v>
      </c>
      <c r="U81" s="11">
        <f t="shared" ca="1" si="12"/>
        <v>17.733916048229137</v>
      </c>
      <c r="V81" s="11">
        <f t="shared" ca="1" si="12"/>
        <v>0</v>
      </c>
      <c r="W81" s="11">
        <f t="shared" ca="1" si="12"/>
        <v>18.352653329525314</v>
      </c>
      <c r="X81" s="11">
        <f t="shared" ca="1" si="12"/>
        <v>1.7113401864690765</v>
      </c>
      <c r="Y81" s="11">
        <f t="shared" ca="1" si="12"/>
        <v>1.8577868737586991</v>
      </c>
      <c r="Z81" s="11">
        <f t="shared" ca="1" si="12"/>
        <v>0.30111920003146481</v>
      </c>
      <c r="AB81" s="12" t="s">
        <v>199</v>
      </c>
      <c r="AC81" s="11">
        <f t="shared" ca="1" si="8"/>
        <v>746</v>
      </c>
      <c r="AD81" s="11">
        <f t="shared" ca="1" si="6"/>
        <v>709.00000000000011</v>
      </c>
      <c r="AE81" s="11">
        <f t="shared" ca="1" si="6"/>
        <v>675</v>
      </c>
      <c r="AF81" s="11">
        <f t="shared" ca="1" si="6"/>
        <v>694.00000000000011</v>
      </c>
      <c r="AG81" s="11">
        <f t="shared" ca="1" si="6"/>
        <v>180.00000000000003</v>
      </c>
      <c r="AH81" s="11">
        <f t="shared" ca="1" si="6"/>
        <v>0</v>
      </c>
      <c r="AI81" s="11">
        <f t="shared" ca="1" si="6"/>
        <v>144</v>
      </c>
      <c r="AJ81" s="11">
        <f t="shared" ca="1" si="6"/>
        <v>3133.0000000000005</v>
      </c>
      <c r="AK81" s="11">
        <f t="shared" ca="1" si="6"/>
        <v>3221</v>
      </c>
      <c r="AL81" s="11">
        <f t="shared" ca="1" si="6"/>
        <v>3304</v>
      </c>
    </row>
    <row r="82" spans="2:38" ht="28.8" x14ac:dyDescent="0.3">
      <c r="B82" s="5">
        <v>67</v>
      </c>
      <c r="C82" s="6">
        <v>4</v>
      </c>
      <c r="D82" s="6">
        <v>5</v>
      </c>
      <c r="E82" s="6">
        <v>3</v>
      </c>
      <c r="F82" s="6">
        <v>4</v>
      </c>
      <c r="G82" s="6">
        <v>1</v>
      </c>
      <c r="H82" s="6">
        <v>3</v>
      </c>
      <c r="I82" s="6">
        <v>1</v>
      </c>
      <c r="J82" s="6">
        <v>7</v>
      </c>
      <c r="K82" s="6">
        <v>6</v>
      </c>
      <c r="L82" s="6">
        <v>8</v>
      </c>
      <c r="P82" s="12" t="s">
        <v>200</v>
      </c>
      <c r="Q82" s="11">
        <f t="shared" ref="Q82:Z82" ca="1" si="13">(Q22-Q61)^2</f>
        <v>5.7156211038538478</v>
      </c>
      <c r="R82" s="11">
        <f t="shared" ca="1" si="13"/>
        <v>0.27252201828937433</v>
      </c>
      <c r="S82" s="11">
        <f t="shared" ca="1" si="13"/>
        <v>3.9810919713282784</v>
      </c>
      <c r="T82" s="11">
        <f t="shared" ca="1" si="13"/>
        <v>0.10254069503797109</v>
      </c>
      <c r="U82" s="11">
        <f t="shared" ca="1" si="13"/>
        <v>7.3341978544353985</v>
      </c>
      <c r="V82" s="11">
        <f t="shared" ca="1" si="13"/>
        <v>18.352653329525314</v>
      </c>
      <c r="W82" s="11">
        <f t="shared" ca="1" si="13"/>
        <v>0</v>
      </c>
      <c r="X82" s="11">
        <f t="shared" ca="1" si="13"/>
        <v>4.0537810186576575</v>
      </c>
      <c r="Y82" s="11">
        <f t="shared" ca="1" si="13"/>
        <v>0.54581633035410027</v>
      </c>
      <c r="Z82" s="11">
        <f t="shared" ca="1" si="13"/>
        <v>4.1308665909867015</v>
      </c>
      <c r="AB82" s="12" t="s">
        <v>200</v>
      </c>
      <c r="AC82" s="11">
        <f t="shared" ca="1" si="8"/>
        <v>806</v>
      </c>
      <c r="AD82" s="11">
        <f t="shared" ca="1" si="6"/>
        <v>750.99999999999989</v>
      </c>
      <c r="AE82" s="11">
        <f t="shared" ca="1" si="6"/>
        <v>731</v>
      </c>
      <c r="AF82" s="11">
        <f t="shared" ca="1" si="6"/>
        <v>706.00000000000011</v>
      </c>
      <c r="AG82" s="11">
        <f t="shared" ca="1" si="6"/>
        <v>202</v>
      </c>
      <c r="AH82" s="11">
        <f t="shared" ca="1" si="6"/>
        <v>144</v>
      </c>
      <c r="AI82" s="11">
        <f t="shared" ca="1" si="6"/>
        <v>0</v>
      </c>
      <c r="AJ82" s="11">
        <f t="shared" ca="1" si="6"/>
        <v>3256.9999999999995</v>
      </c>
      <c r="AK82" s="11">
        <f t="shared" ca="1" si="6"/>
        <v>3336.9999999999995</v>
      </c>
      <c r="AL82" s="11">
        <f t="shared" ca="1" si="6"/>
        <v>3438</v>
      </c>
    </row>
    <row r="83" spans="2:38" ht="28.8" x14ac:dyDescent="0.3">
      <c r="B83" s="5">
        <v>68</v>
      </c>
      <c r="C83" s="6">
        <v>4</v>
      </c>
      <c r="D83" s="6">
        <v>3</v>
      </c>
      <c r="E83" s="6">
        <v>5</v>
      </c>
      <c r="F83" s="6">
        <v>4</v>
      </c>
      <c r="G83" s="6">
        <v>0</v>
      </c>
      <c r="H83" s="6">
        <v>2</v>
      </c>
      <c r="I83" s="6">
        <v>2</v>
      </c>
      <c r="J83" s="6">
        <v>6</v>
      </c>
      <c r="K83" s="6">
        <v>6</v>
      </c>
      <c r="L83" s="6">
        <v>7</v>
      </c>
      <c r="P83" s="12" t="s">
        <v>201</v>
      </c>
      <c r="Q83" s="11">
        <f t="shared" ref="Q83:Z83" ca="1" si="14">(Q23-Q62)^2</f>
        <v>8.4072202973394248</v>
      </c>
      <c r="R83" s="11">
        <f t="shared" ca="1" si="14"/>
        <v>1.9260466657777922</v>
      </c>
      <c r="S83" s="11">
        <f t="shared" ca="1" si="14"/>
        <v>3.5066611858064523</v>
      </c>
      <c r="T83" s="11">
        <f t="shared" ca="1" si="14"/>
        <v>0.47197909250047304</v>
      </c>
      <c r="U83" s="11">
        <f t="shared" ca="1" si="14"/>
        <v>0.94724085970646099</v>
      </c>
      <c r="V83" s="11">
        <f t="shared" ca="1" si="14"/>
        <v>1.7113401864690765</v>
      </c>
      <c r="W83" s="11">
        <f t="shared" ca="1" si="14"/>
        <v>4.0537810186576575</v>
      </c>
      <c r="X83" s="11">
        <f t="shared" ca="1" si="14"/>
        <v>0</v>
      </c>
      <c r="Y83" s="11">
        <f t="shared" ca="1" si="14"/>
        <v>42.022098721933446</v>
      </c>
      <c r="Z83" s="11">
        <f t="shared" ca="1" si="14"/>
        <v>26.95217166662583</v>
      </c>
      <c r="AB83" s="12" t="s">
        <v>201</v>
      </c>
      <c r="AC83" s="11">
        <f t="shared" ca="1" si="8"/>
        <v>1060.9999999999998</v>
      </c>
      <c r="AD83" s="11">
        <f t="shared" ca="1" si="6"/>
        <v>1166</v>
      </c>
      <c r="AE83" s="11">
        <f t="shared" ca="1" si="6"/>
        <v>1096</v>
      </c>
      <c r="AF83" s="11">
        <f t="shared" ca="1" si="6"/>
        <v>1124.9999999999998</v>
      </c>
      <c r="AG83" s="11">
        <f t="shared" ca="1" si="6"/>
        <v>3283</v>
      </c>
      <c r="AH83" s="11">
        <f t="shared" ca="1" si="6"/>
        <v>3133.0000000000005</v>
      </c>
      <c r="AI83" s="11">
        <f t="shared" ca="1" si="6"/>
        <v>3256.9999999999995</v>
      </c>
      <c r="AJ83" s="11">
        <f t="shared" ca="1" si="6"/>
        <v>0</v>
      </c>
      <c r="AK83" s="11">
        <f t="shared" ca="1" si="6"/>
        <v>298</v>
      </c>
      <c r="AL83" s="11">
        <f t="shared" ca="1" si="6"/>
        <v>361</v>
      </c>
    </row>
    <row r="84" spans="2:38" ht="28.8" x14ac:dyDescent="0.3">
      <c r="B84" s="5">
        <v>69</v>
      </c>
      <c r="C84" s="6">
        <v>4</v>
      </c>
      <c r="D84" s="6">
        <v>4</v>
      </c>
      <c r="E84" s="6">
        <v>4</v>
      </c>
      <c r="F84" s="6">
        <v>4</v>
      </c>
      <c r="G84" s="6">
        <v>1</v>
      </c>
      <c r="H84" s="6">
        <v>1</v>
      </c>
      <c r="I84" s="6">
        <v>3</v>
      </c>
      <c r="J84" s="6">
        <v>8</v>
      </c>
      <c r="K84" s="6">
        <v>6</v>
      </c>
      <c r="L84" s="6">
        <v>5</v>
      </c>
      <c r="P84" s="12" t="s">
        <v>202</v>
      </c>
      <c r="Q84" s="11">
        <f t="shared" ref="Q84:Z84" ca="1" si="15">(Q24-Q63)^2</f>
        <v>0.18637390328364009</v>
      </c>
      <c r="R84" s="11">
        <f t="shared" ca="1" si="15"/>
        <v>2.7591124340669696E-3</v>
      </c>
      <c r="S84" s="11">
        <f t="shared" ca="1" si="15"/>
        <v>0.21384014360178907</v>
      </c>
      <c r="T84" s="11">
        <f t="shared" ca="1" si="15"/>
        <v>0.62380166517766844</v>
      </c>
      <c r="U84" s="11">
        <f t="shared" ca="1" si="15"/>
        <v>1.8790017405865449</v>
      </c>
      <c r="V84" s="11">
        <f t="shared" ca="1" si="15"/>
        <v>1.8577868737586991</v>
      </c>
      <c r="W84" s="11">
        <f t="shared" ca="1" si="15"/>
        <v>0.54581633035410027</v>
      </c>
      <c r="X84" s="11">
        <f t="shared" ca="1" si="15"/>
        <v>42.022098721933446</v>
      </c>
      <c r="Y84" s="11">
        <f t="shared" ca="1" si="15"/>
        <v>0</v>
      </c>
      <c r="Z84" s="11">
        <f t="shared" ca="1" si="15"/>
        <v>41.624798349341077</v>
      </c>
      <c r="AB84" s="12" t="s">
        <v>202</v>
      </c>
      <c r="AC84" s="11">
        <f t="shared" ca="1" si="8"/>
        <v>1071</v>
      </c>
      <c r="AD84" s="11">
        <f t="shared" ca="1" si="6"/>
        <v>1177.9999999999998</v>
      </c>
      <c r="AE84" s="11">
        <f t="shared" ca="1" si="6"/>
        <v>1151.9999999999998</v>
      </c>
      <c r="AF84" s="11">
        <f t="shared" ca="1" si="6"/>
        <v>1128.9999999999998</v>
      </c>
      <c r="AG84" s="11">
        <f t="shared" ca="1" si="6"/>
        <v>3305</v>
      </c>
      <c r="AH84" s="11">
        <f t="shared" ca="1" si="6"/>
        <v>3221</v>
      </c>
      <c r="AI84" s="11">
        <f t="shared" ca="1" si="6"/>
        <v>3336.9999999999995</v>
      </c>
      <c r="AJ84" s="11">
        <f t="shared" ca="1" si="6"/>
        <v>298</v>
      </c>
      <c r="AK84" s="11">
        <f t="shared" ca="1" si="6"/>
        <v>0</v>
      </c>
      <c r="AL84" s="11">
        <f t="shared" ca="1" si="6"/>
        <v>405.00000000000006</v>
      </c>
    </row>
    <row r="85" spans="2:38" ht="28.8" x14ac:dyDescent="0.3">
      <c r="B85" s="5">
        <v>70</v>
      </c>
      <c r="C85" s="6">
        <v>4</v>
      </c>
      <c r="D85" s="6">
        <v>3</v>
      </c>
      <c r="E85" s="6">
        <v>4</v>
      </c>
      <c r="F85" s="6">
        <v>4</v>
      </c>
      <c r="G85" s="6">
        <v>2</v>
      </c>
      <c r="H85" s="6">
        <v>2</v>
      </c>
      <c r="I85" s="6">
        <v>0</v>
      </c>
      <c r="J85" s="6">
        <v>8</v>
      </c>
      <c r="K85" s="6">
        <v>8</v>
      </c>
      <c r="L85" s="6">
        <v>6</v>
      </c>
      <c r="P85" s="12" t="s">
        <v>203</v>
      </c>
      <c r="Q85" s="11">
        <f t="shared" ref="Q85:Z85" ca="1" si="16">(Q25-Q64)^2</f>
        <v>2.7727887976899948</v>
      </c>
      <c r="R85" s="11">
        <f t="shared" ca="1" si="16"/>
        <v>1.9007268039182903</v>
      </c>
      <c r="S85" s="11">
        <f t="shared" ca="1" si="16"/>
        <v>5.822658771579805</v>
      </c>
      <c r="T85" s="11">
        <f t="shared" ca="1" si="16"/>
        <v>1.8675563855416519</v>
      </c>
      <c r="U85" s="11">
        <f t="shared" ca="1" si="16"/>
        <v>5.1090117543597131</v>
      </c>
      <c r="V85" s="11">
        <f t="shared" ca="1" si="16"/>
        <v>0.30111920003146481</v>
      </c>
      <c r="W85" s="11">
        <f t="shared" ca="1" si="16"/>
        <v>4.1308665909867015</v>
      </c>
      <c r="X85" s="11">
        <f t="shared" ca="1" si="16"/>
        <v>26.95217166662583</v>
      </c>
      <c r="Y85" s="11">
        <f t="shared" ca="1" si="16"/>
        <v>41.624798349341077</v>
      </c>
      <c r="Z85" s="11">
        <f t="shared" ca="1" si="16"/>
        <v>0</v>
      </c>
      <c r="AB85" s="12" t="s">
        <v>203</v>
      </c>
      <c r="AC85" s="11">
        <f t="shared" ca="1" si="8"/>
        <v>1214</v>
      </c>
      <c r="AD85" s="11">
        <f t="shared" ca="1" si="6"/>
        <v>1264.9999999999998</v>
      </c>
      <c r="AE85" s="11">
        <f t="shared" ca="1" si="6"/>
        <v>1220.9999999999998</v>
      </c>
      <c r="AF85" s="11">
        <f t="shared" ca="1" si="6"/>
        <v>1238.0000000000002</v>
      </c>
      <c r="AG85" s="11">
        <f t="shared" ca="1" si="6"/>
        <v>3434.0000000000005</v>
      </c>
      <c r="AH85" s="11">
        <f t="shared" ca="1" si="6"/>
        <v>3304</v>
      </c>
      <c r="AI85" s="11">
        <f t="shared" ca="1" si="6"/>
        <v>3438</v>
      </c>
      <c r="AJ85" s="11">
        <f t="shared" ca="1" si="6"/>
        <v>361</v>
      </c>
      <c r="AK85" s="11">
        <f t="shared" ca="1" si="6"/>
        <v>405.00000000000006</v>
      </c>
      <c r="AL85" s="11">
        <f t="shared" ca="1" si="6"/>
        <v>0</v>
      </c>
    </row>
    <row r="86" spans="2:38" x14ac:dyDescent="0.3">
      <c r="B86" s="5">
        <v>71</v>
      </c>
      <c r="C86" s="6">
        <v>4</v>
      </c>
      <c r="D86" s="6">
        <v>3</v>
      </c>
      <c r="E86" s="6">
        <v>4</v>
      </c>
      <c r="F86" s="6">
        <v>3</v>
      </c>
      <c r="G86" s="6">
        <v>0</v>
      </c>
      <c r="H86" s="6">
        <v>1</v>
      </c>
      <c r="I86" s="6">
        <v>2</v>
      </c>
      <c r="J86" s="6">
        <v>6</v>
      </c>
      <c r="K86" s="6">
        <v>6</v>
      </c>
      <c r="L86" s="6">
        <v>5</v>
      </c>
    </row>
    <row r="87" spans="2:38" x14ac:dyDescent="0.3">
      <c r="B87" s="5">
        <v>72</v>
      </c>
      <c r="C87" s="6">
        <v>5</v>
      </c>
      <c r="D87" s="6">
        <v>4</v>
      </c>
      <c r="E87" s="6">
        <v>4</v>
      </c>
      <c r="F87" s="6">
        <v>4</v>
      </c>
      <c r="G87" s="6">
        <v>2</v>
      </c>
      <c r="H87" s="6">
        <v>1</v>
      </c>
      <c r="I87" s="6">
        <v>2</v>
      </c>
      <c r="J87" s="6">
        <v>7</v>
      </c>
      <c r="K87" s="6">
        <v>7</v>
      </c>
      <c r="L87" s="6">
        <v>8</v>
      </c>
    </row>
    <row r="88" spans="2:38" x14ac:dyDescent="0.3">
      <c r="B88" s="5">
        <v>73</v>
      </c>
      <c r="C88" s="6">
        <v>4</v>
      </c>
      <c r="D88" s="6">
        <v>5</v>
      </c>
      <c r="E88" s="6">
        <v>3</v>
      </c>
      <c r="F88" s="6">
        <v>5</v>
      </c>
      <c r="G88" s="6">
        <v>0</v>
      </c>
      <c r="H88" s="6">
        <v>1</v>
      </c>
      <c r="I88" s="6">
        <v>0</v>
      </c>
      <c r="J88" s="6">
        <v>8</v>
      </c>
      <c r="K88" s="6">
        <v>9</v>
      </c>
      <c r="L88" s="6">
        <v>5</v>
      </c>
      <c r="O88" s="10" t="s">
        <v>234</v>
      </c>
      <c r="P88" s="10" t="s">
        <v>9</v>
      </c>
      <c r="Q88" s="5"/>
    </row>
    <row r="89" spans="2:38" x14ac:dyDescent="0.3">
      <c r="B89" s="5">
        <v>74</v>
      </c>
      <c r="C89" s="6">
        <v>4</v>
      </c>
      <c r="D89" s="6">
        <v>3</v>
      </c>
      <c r="E89" s="6">
        <v>4</v>
      </c>
      <c r="F89" s="6">
        <v>4</v>
      </c>
      <c r="G89" s="6">
        <v>3</v>
      </c>
      <c r="H89" s="6">
        <v>1</v>
      </c>
      <c r="I89" s="6">
        <v>2</v>
      </c>
      <c r="J89" s="6">
        <v>9</v>
      </c>
      <c r="K89" s="6">
        <v>9</v>
      </c>
      <c r="L89" s="6">
        <v>5</v>
      </c>
    </row>
    <row r="90" spans="2:38" x14ac:dyDescent="0.3">
      <c r="B90" s="5">
        <v>75</v>
      </c>
      <c r="C90" s="6">
        <v>4</v>
      </c>
      <c r="D90" s="6">
        <v>4</v>
      </c>
      <c r="E90" s="6">
        <v>5</v>
      </c>
      <c r="F90" s="6">
        <v>4</v>
      </c>
      <c r="G90" s="6">
        <v>2</v>
      </c>
      <c r="H90" s="6">
        <v>0</v>
      </c>
      <c r="I90" s="6">
        <v>3</v>
      </c>
      <c r="J90" s="6">
        <v>8</v>
      </c>
      <c r="K90" s="6">
        <v>8</v>
      </c>
      <c r="L90" s="6">
        <v>8</v>
      </c>
      <c r="O90" s="8" t="s">
        <v>235</v>
      </c>
    </row>
    <row r="91" spans="2:38" x14ac:dyDescent="0.3">
      <c r="B91" s="5">
        <v>76</v>
      </c>
      <c r="C91" s="6">
        <v>3</v>
      </c>
      <c r="D91" s="6">
        <v>3</v>
      </c>
      <c r="E91" s="6">
        <v>3</v>
      </c>
      <c r="F91" s="6">
        <v>3</v>
      </c>
      <c r="G91" s="6">
        <v>1</v>
      </c>
      <c r="H91" s="6">
        <v>1</v>
      </c>
      <c r="I91" s="6">
        <v>0</v>
      </c>
      <c r="J91" s="6">
        <v>8</v>
      </c>
      <c r="K91" s="6">
        <v>8</v>
      </c>
      <c r="L91" s="6">
        <v>8</v>
      </c>
      <c r="O91" s="8" t="s">
        <v>236</v>
      </c>
    </row>
    <row r="92" spans="2:38" x14ac:dyDescent="0.3">
      <c r="B92" s="5">
        <v>77</v>
      </c>
      <c r="C92" s="6">
        <v>5</v>
      </c>
      <c r="D92" s="6">
        <v>5</v>
      </c>
      <c r="E92" s="6">
        <v>5</v>
      </c>
      <c r="F92" s="6">
        <v>4</v>
      </c>
      <c r="G92" s="6">
        <v>2</v>
      </c>
      <c r="H92" s="6">
        <v>3</v>
      </c>
      <c r="I92" s="6">
        <v>1</v>
      </c>
      <c r="J92" s="6">
        <v>9</v>
      </c>
      <c r="K92" s="6">
        <v>6</v>
      </c>
      <c r="L92" s="6">
        <v>6</v>
      </c>
    </row>
    <row r="93" spans="2:38" x14ac:dyDescent="0.3">
      <c r="B93" s="5">
        <v>78</v>
      </c>
      <c r="C93" s="6">
        <v>4</v>
      </c>
      <c r="D93" s="6">
        <v>3</v>
      </c>
      <c r="E93" s="6">
        <v>4</v>
      </c>
      <c r="F93" s="6">
        <v>4</v>
      </c>
      <c r="G93" s="6">
        <v>3</v>
      </c>
      <c r="H93" s="6">
        <v>2</v>
      </c>
      <c r="I93" s="6">
        <v>2</v>
      </c>
      <c r="J93" s="6">
        <v>7</v>
      </c>
      <c r="K93" s="6">
        <v>6</v>
      </c>
      <c r="L93" s="6">
        <v>8</v>
      </c>
    </row>
    <row r="94" spans="2:38" x14ac:dyDescent="0.3">
      <c r="B94" s="5">
        <v>79</v>
      </c>
      <c r="C94" s="6">
        <v>3</v>
      </c>
      <c r="D94" s="6">
        <v>3</v>
      </c>
      <c r="E94" s="6">
        <v>4</v>
      </c>
      <c r="F94" s="6">
        <v>3</v>
      </c>
      <c r="G94" s="6">
        <v>2</v>
      </c>
      <c r="H94" s="6">
        <v>0</v>
      </c>
      <c r="I94" s="6">
        <v>0</v>
      </c>
      <c r="J94" s="6">
        <v>6</v>
      </c>
      <c r="K94" s="6">
        <v>7</v>
      </c>
      <c r="L94" s="6">
        <v>7</v>
      </c>
    </row>
    <row r="95" spans="2:38" x14ac:dyDescent="0.3">
      <c r="B95" s="5">
        <v>80</v>
      </c>
      <c r="C95" s="6">
        <v>4</v>
      </c>
      <c r="D95" s="6">
        <v>3</v>
      </c>
      <c r="E95" s="6">
        <v>5</v>
      </c>
      <c r="F95" s="6">
        <v>4</v>
      </c>
      <c r="G95" s="6">
        <v>1</v>
      </c>
      <c r="H95" s="6">
        <v>2</v>
      </c>
      <c r="I95" s="6">
        <v>2</v>
      </c>
      <c r="J95" s="6">
        <v>5</v>
      </c>
      <c r="K95" s="6">
        <v>7</v>
      </c>
      <c r="L95" s="6">
        <v>8</v>
      </c>
    </row>
    <row r="96" spans="2:38" x14ac:dyDescent="0.3">
      <c r="B96" s="5">
        <v>81</v>
      </c>
      <c r="C96" s="6">
        <v>4</v>
      </c>
      <c r="D96" s="6">
        <v>5</v>
      </c>
      <c r="E96" s="6">
        <v>3</v>
      </c>
      <c r="F96" s="6">
        <v>4</v>
      </c>
      <c r="G96" s="6">
        <v>2</v>
      </c>
      <c r="H96" s="6">
        <v>1</v>
      </c>
      <c r="I96" s="6">
        <v>2</v>
      </c>
      <c r="J96" s="6">
        <v>8</v>
      </c>
      <c r="K96" s="6">
        <v>8</v>
      </c>
      <c r="L96" s="6">
        <v>9</v>
      </c>
    </row>
    <row r="97" spans="2:12" x14ac:dyDescent="0.3">
      <c r="B97" s="5">
        <v>82</v>
      </c>
      <c r="C97" s="6">
        <v>4</v>
      </c>
      <c r="D97" s="6">
        <v>4</v>
      </c>
      <c r="E97" s="6">
        <v>5</v>
      </c>
      <c r="F97" s="6">
        <v>3</v>
      </c>
      <c r="G97" s="6">
        <v>2</v>
      </c>
      <c r="H97" s="6">
        <v>1</v>
      </c>
      <c r="I97" s="6">
        <v>1</v>
      </c>
      <c r="J97" s="6">
        <v>8</v>
      </c>
      <c r="K97" s="6">
        <v>7</v>
      </c>
      <c r="L97" s="6">
        <v>8</v>
      </c>
    </row>
    <row r="98" spans="2:12" x14ac:dyDescent="0.3">
      <c r="B98" s="5">
        <v>83</v>
      </c>
      <c r="C98" s="6">
        <v>5</v>
      </c>
      <c r="D98" s="6">
        <v>5</v>
      </c>
      <c r="E98" s="6">
        <v>4</v>
      </c>
      <c r="F98" s="6">
        <v>4</v>
      </c>
      <c r="G98" s="6">
        <v>1</v>
      </c>
      <c r="H98" s="6">
        <v>1</v>
      </c>
      <c r="I98" s="6">
        <v>3</v>
      </c>
      <c r="J98" s="6">
        <v>9</v>
      </c>
      <c r="K98" s="6">
        <v>7</v>
      </c>
      <c r="L98" s="6">
        <v>6</v>
      </c>
    </row>
    <row r="99" spans="2:12" x14ac:dyDescent="0.3">
      <c r="B99" s="5">
        <v>84</v>
      </c>
      <c r="C99" s="6">
        <v>5</v>
      </c>
      <c r="D99" s="6">
        <v>4</v>
      </c>
      <c r="E99" s="6">
        <v>3</v>
      </c>
      <c r="F99" s="6">
        <v>5</v>
      </c>
      <c r="G99" s="6">
        <v>2</v>
      </c>
      <c r="H99" s="6">
        <v>1</v>
      </c>
      <c r="I99" s="6">
        <v>1</v>
      </c>
      <c r="J99" s="6">
        <v>5</v>
      </c>
      <c r="K99" s="6">
        <v>8</v>
      </c>
      <c r="L99" s="6">
        <v>6</v>
      </c>
    </row>
    <row r="100" spans="2:12" x14ac:dyDescent="0.3">
      <c r="B100" s="5">
        <v>85</v>
      </c>
      <c r="C100" s="6">
        <v>5</v>
      </c>
      <c r="D100" s="6">
        <v>5</v>
      </c>
      <c r="E100" s="6">
        <v>4</v>
      </c>
      <c r="F100" s="6">
        <v>5</v>
      </c>
      <c r="G100" s="6">
        <v>3</v>
      </c>
      <c r="H100" s="6">
        <v>2</v>
      </c>
      <c r="I100" s="6">
        <v>2</v>
      </c>
      <c r="J100" s="6">
        <v>6</v>
      </c>
      <c r="K100" s="6">
        <v>6</v>
      </c>
      <c r="L100" s="6">
        <v>9</v>
      </c>
    </row>
    <row r="101" spans="2:12" x14ac:dyDescent="0.3">
      <c r="B101" s="5">
        <v>86</v>
      </c>
      <c r="C101" s="6">
        <v>4</v>
      </c>
      <c r="D101" s="6">
        <v>4</v>
      </c>
      <c r="E101" s="6">
        <v>4</v>
      </c>
      <c r="F101" s="6">
        <v>4</v>
      </c>
      <c r="G101" s="6">
        <v>3</v>
      </c>
      <c r="H101" s="6">
        <v>1</v>
      </c>
      <c r="I101" s="6">
        <v>2</v>
      </c>
      <c r="J101" s="6">
        <v>7</v>
      </c>
      <c r="K101" s="6">
        <v>5</v>
      </c>
      <c r="L101" s="6">
        <v>8</v>
      </c>
    </row>
    <row r="102" spans="2:12" x14ac:dyDescent="0.3">
      <c r="B102" s="5">
        <v>87</v>
      </c>
      <c r="C102" s="6">
        <v>5</v>
      </c>
      <c r="D102" s="6">
        <v>3</v>
      </c>
      <c r="E102" s="6">
        <v>4</v>
      </c>
      <c r="F102" s="6">
        <v>3</v>
      </c>
      <c r="G102" s="6">
        <v>2</v>
      </c>
      <c r="H102" s="6">
        <v>2</v>
      </c>
      <c r="I102" s="6">
        <v>2</v>
      </c>
      <c r="J102" s="6">
        <v>6</v>
      </c>
      <c r="K102" s="6">
        <v>5</v>
      </c>
      <c r="L102" s="6">
        <v>7</v>
      </c>
    </row>
    <row r="103" spans="2:12" x14ac:dyDescent="0.3">
      <c r="B103" s="5">
        <v>88</v>
      </c>
      <c r="C103" s="6">
        <v>3</v>
      </c>
      <c r="D103" s="6">
        <v>5</v>
      </c>
      <c r="E103" s="6">
        <v>4</v>
      </c>
      <c r="F103" s="6">
        <v>3</v>
      </c>
      <c r="G103" s="6">
        <v>1</v>
      </c>
      <c r="H103" s="6">
        <v>3</v>
      </c>
      <c r="I103" s="6">
        <v>0</v>
      </c>
      <c r="J103" s="6">
        <v>7</v>
      </c>
      <c r="K103" s="6">
        <v>6</v>
      </c>
      <c r="L103" s="6">
        <v>9</v>
      </c>
    </row>
    <row r="104" spans="2:12" x14ac:dyDescent="0.3">
      <c r="B104" s="5">
        <v>89</v>
      </c>
      <c r="C104" s="6">
        <v>4</v>
      </c>
      <c r="D104" s="6">
        <v>3</v>
      </c>
      <c r="E104" s="6">
        <v>4</v>
      </c>
      <c r="F104" s="6">
        <v>3</v>
      </c>
      <c r="G104" s="6">
        <v>0</v>
      </c>
      <c r="H104" s="6">
        <v>3</v>
      </c>
      <c r="I104" s="6">
        <v>2</v>
      </c>
      <c r="J104" s="6">
        <v>6</v>
      </c>
      <c r="K104" s="6">
        <v>5</v>
      </c>
      <c r="L104" s="6">
        <v>9</v>
      </c>
    </row>
    <row r="105" spans="2:12" x14ac:dyDescent="0.3">
      <c r="B105" s="5">
        <v>90</v>
      </c>
      <c r="C105" s="6">
        <v>5</v>
      </c>
      <c r="D105" s="6">
        <v>3</v>
      </c>
      <c r="E105" s="6">
        <v>3</v>
      </c>
      <c r="F105" s="6">
        <v>5</v>
      </c>
      <c r="G105" s="6">
        <v>0</v>
      </c>
      <c r="H105" s="6">
        <v>2</v>
      </c>
      <c r="I105" s="6">
        <v>3</v>
      </c>
      <c r="J105" s="6">
        <v>9</v>
      </c>
      <c r="K105" s="6">
        <v>6</v>
      </c>
      <c r="L105" s="6">
        <v>6</v>
      </c>
    </row>
    <row r="106" spans="2:12" x14ac:dyDescent="0.3">
      <c r="B106" s="5">
        <v>91</v>
      </c>
      <c r="C106" s="6">
        <v>5</v>
      </c>
      <c r="D106" s="6">
        <v>4</v>
      </c>
      <c r="E106" s="6">
        <v>4</v>
      </c>
      <c r="F106" s="6">
        <v>4</v>
      </c>
      <c r="G106" s="6">
        <v>2</v>
      </c>
      <c r="H106" s="6">
        <v>3</v>
      </c>
      <c r="I106" s="6">
        <v>2</v>
      </c>
      <c r="J106" s="6">
        <v>7</v>
      </c>
      <c r="K106" s="6">
        <v>9</v>
      </c>
      <c r="L106" s="6">
        <v>7</v>
      </c>
    </row>
    <row r="107" spans="2:12" x14ac:dyDescent="0.3">
      <c r="B107" s="5">
        <v>92</v>
      </c>
      <c r="C107" s="6">
        <v>4</v>
      </c>
      <c r="D107" s="6">
        <v>3</v>
      </c>
      <c r="E107" s="6">
        <v>3</v>
      </c>
      <c r="F107" s="6">
        <v>3</v>
      </c>
      <c r="G107" s="6">
        <v>2</v>
      </c>
      <c r="H107" s="6">
        <v>1</v>
      </c>
      <c r="I107" s="6">
        <v>1</v>
      </c>
      <c r="J107" s="6">
        <v>8</v>
      </c>
      <c r="K107" s="6">
        <v>9</v>
      </c>
      <c r="L107" s="6">
        <v>6</v>
      </c>
    </row>
    <row r="108" spans="2:12" x14ac:dyDescent="0.3">
      <c r="B108" s="5">
        <v>93</v>
      </c>
      <c r="C108" s="6">
        <v>5</v>
      </c>
      <c r="D108" s="6">
        <v>4</v>
      </c>
      <c r="E108" s="6">
        <v>5</v>
      </c>
      <c r="F108" s="6">
        <v>4</v>
      </c>
      <c r="G108" s="6">
        <v>2</v>
      </c>
      <c r="H108" s="6">
        <v>1</v>
      </c>
      <c r="I108" s="6">
        <v>0</v>
      </c>
      <c r="J108" s="6">
        <v>9</v>
      </c>
      <c r="K108" s="6">
        <v>9</v>
      </c>
      <c r="L108" s="6">
        <v>6</v>
      </c>
    </row>
    <row r="109" spans="2:12" x14ac:dyDescent="0.3">
      <c r="B109" s="5">
        <v>94</v>
      </c>
      <c r="C109" s="6">
        <v>4</v>
      </c>
      <c r="D109" s="6">
        <v>3</v>
      </c>
      <c r="E109" s="6">
        <v>5</v>
      </c>
      <c r="F109" s="6">
        <v>3</v>
      </c>
      <c r="G109" s="6">
        <v>2</v>
      </c>
      <c r="H109" s="6">
        <v>2</v>
      </c>
      <c r="I109" s="6">
        <v>0</v>
      </c>
      <c r="J109" s="6">
        <v>9</v>
      </c>
      <c r="K109" s="6">
        <v>7</v>
      </c>
      <c r="L109" s="6">
        <v>8</v>
      </c>
    </row>
    <row r="110" spans="2:12" x14ac:dyDescent="0.3">
      <c r="B110" s="5">
        <v>95</v>
      </c>
      <c r="C110" s="6">
        <v>4</v>
      </c>
      <c r="D110" s="6">
        <v>5</v>
      </c>
      <c r="E110" s="6">
        <v>5</v>
      </c>
      <c r="F110" s="6">
        <v>4</v>
      </c>
      <c r="G110" s="6">
        <v>2</v>
      </c>
      <c r="H110" s="6">
        <v>2</v>
      </c>
      <c r="I110" s="6">
        <v>2</v>
      </c>
      <c r="J110" s="6">
        <v>6</v>
      </c>
      <c r="K110" s="6">
        <v>7</v>
      </c>
      <c r="L110" s="6">
        <v>9</v>
      </c>
    </row>
    <row r="111" spans="2:12" x14ac:dyDescent="0.3">
      <c r="B111" s="5">
        <v>96</v>
      </c>
      <c r="C111" s="6">
        <v>3</v>
      </c>
      <c r="D111" s="6">
        <v>4</v>
      </c>
      <c r="E111" s="6">
        <v>3</v>
      </c>
      <c r="F111" s="6">
        <v>4</v>
      </c>
      <c r="G111" s="6">
        <v>2</v>
      </c>
      <c r="H111" s="6">
        <v>2</v>
      </c>
      <c r="I111" s="6">
        <v>3</v>
      </c>
      <c r="J111" s="6">
        <v>5</v>
      </c>
      <c r="K111" s="6">
        <v>6</v>
      </c>
      <c r="L111" s="6">
        <v>8</v>
      </c>
    </row>
    <row r="112" spans="2:12" x14ac:dyDescent="0.3">
      <c r="B112" s="5">
        <v>97</v>
      </c>
      <c r="C112" s="6">
        <v>5</v>
      </c>
      <c r="D112" s="6">
        <v>5</v>
      </c>
      <c r="E112" s="6">
        <v>4</v>
      </c>
      <c r="F112" s="6">
        <v>4</v>
      </c>
      <c r="G112" s="6">
        <v>3</v>
      </c>
      <c r="H112" s="6">
        <v>2</v>
      </c>
      <c r="I112" s="6">
        <v>2</v>
      </c>
      <c r="J112" s="6">
        <v>6</v>
      </c>
      <c r="K112" s="6">
        <v>9</v>
      </c>
      <c r="L112" s="6">
        <v>9</v>
      </c>
    </row>
    <row r="113" spans="2:12" x14ac:dyDescent="0.3">
      <c r="B113" s="5">
        <v>98</v>
      </c>
      <c r="C113" s="6">
        <v>4</v>
      </c>
      <c r="D113" s="6">
        <v>4</v>
      </c>
      <c r="E113" s="6">
        <v>5</v>
      </c>
      <c r="F113" s="6">
        <v>4</v>
      </c>
      <c r="G113" s="6">
        <v>3</v>
      </c>
      <c r="H113" s="6">
        <v>2</v>
      </c>
      <c r="I113" s="6">
        <v>1</v>
      </c>
      <c r="J113" s="6">
        <v>5</v>
      </c>
      <c r="K113" s="6">
        <v>7</v>
      </c>
      <c r="L113" s="6">
        <v>8</v>
      </c>
    </row>
    <row r="114" spans="2:12" x14ac:dyDescent="0.3">
      <c r="B114" s="5">
        <v>99</v>
      </c>
      <c r="C114" s="6">
        <v>4</v>
      </c>
      <c r="D114" s="6">
        <v>3</v>
      </c>
      <c r="E114" s="6">
        <v>4</v>
      </c>
      <c r="F114" s="6">
        <v>4</v>
      </c>
      <c r="G114" s="6">
        <v>3</v>
      </c>
      <c r="H114" s="6">
        <v>0</v>
      </c>
      <c r="I114" s="6">
        <v>1</v>
      </c>
      <c r="J114" s="6">
        <v>6</v>
      </c>
      <c r="K114" s="6">
        <v>8</v>
      </c>
      <c r="L114" s="6">
        <v>9</v>
      </c>
    </row>
    <row r="115" spans="2:12" x14ac:dyDescent="0.3">
      <c r="B115" s="5">
        <v>100</v>
      </c>
      <c r="C115" s="6">
        <v>5</v>
      </c>
      <c r="D115" s="6">
        <v>4</v>
      </c>
      <c r="E115" s="6">
        <v>4</v>
      </c>
      <c r="F115" s="6">
        <v>4</v>
      </c>
      <c r="G115" s="6">
        <v>1</v>
      </c>
      <c r="H115" s="6">
        <v>1</v>
      </c>
      <c r="I115" s="6">
        <v>0</v>
      </c>
      <c r="J115" s="6">
        <v>8</v>
      </c>
      <c r="K115" s="6">
        <v>8</v>
      </c>
      <c r="L115" s="6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408"/>
  <sheetViews>
    <sheetView workbookViewId="0">
      <selection activeCell="A17" sqref="A17:B17"/>
    </sheetView>
  </sheetViews>
  <sheetFormatPr defaultRowHeight="14.4" x14ac:dyDescent="0.3"/>
  <cols>
    <col min="1" max="58" width="8.88671875" style="18"/>
    <col min="59" max="59" width="10.44140625" style="18" bestFit="1" customWidth="1"/>
    <col min="60" max="16384" width="8.88671875" style="18"/>
  </cols>
  <sheetData>
    <row r="1" spans="2:2" s="31" customFormat="1" x14ac:dyDescent="0.3"/>
    <row r="2" spans="2:2" s="31" customFormat="1" x14ac:dyDescent="0.3">
      <c r="B2" s="31" t="s">
        <v>164</v>
      </c>
    </row>
    <row r="3" spans="2:2" s="31" customFormat="1" x14ac:dyDescent="0.3">
      <c r="B3" s="57" t="s">
        <v>165</v>
      </c>
    </row>
    <row r="4" spans="2:2" s="31" customFormat="1" x14ac:dyDescent="0.3">
      <c r="B4" s="58" t="s">
        <v>166</v>
      </c>
    </row>
    <row r="5" spans="2:2" s="31" customFormat="1" x14ac:dyDescent="0.3">
      <c r="B5" s="58" t="s">
        <v>169</v>
      </c>
    </row>
    <row r="6" spans="2:2" s="31" customFormat="1" x14ac:dyDescent="0.3">
      <c r="B6" s="58" t="s">
        <v>168</v>
      </c>
    </row>
    <row r="7" spans="2:2" s="31" customFormat="1" x14ac:dyDescent="0.3">
      <c r="B7" s="58" t="s">
        <v>170</v>
      </c>
    </row>
    <row r="8" spans="2:2" s="31" customFormat="1" x14ac:dyDescent="0.3">
      <c r="B8" s="57" t="s">
        <v>167</v>
      </c>
    </row>
    <row r="9" spans="2:2" s="31" customFormat="1" x14ac:dyDescent="0.3">
      <c r="B9" s="57" t="s">
        <v>174</v>
      </c>
    </row>
    <row r="10" spans="2:2" s="31" customFormat="1" x14ac:dyDescent="0.3">
      <c r="B10" s="58" t="s">
        <v>171</v>
      </c>
    </row>
    <row r="11" spans="2:2" s="31" customFormat="1" x14ac:dyDescent="0.3">
      <c r="B11" s="58" t="s">
        <v>172</v>
      </c>
    </row>
    <row r="12" spans="2:2" s="31" customFormat="1" x14ac:dyDescent="0.3">
      <c r="B12" s="58" t="s">
        <v>173</v>
      </c>
    </row>
    <row r="13" spans="2:2" s="31" customFormat="1" x14ac:dyDescent="0.3"/>
    <row r="14" spans="2:2" s="31" customFormat="1" x14ac:dyDescent="0.3"/>
    <row r="15" spans="2:2" s="31" customFormat="1" x14ac:dyDescent="0.3"/>
    <row r="16" spans="2:2" s="31" customFormat="1" x14ac:dyDescent="0.3"/>
    <row r="17" spans="1:78" s="31" customFormat="1" x14ac:dyDescent="0.3"/>
    <row r="18" spans="1:78" s="31" customFormat="1" x14ac:dyDescent="0.3"/>
    <row r="19" spans="1:78" s="31" customFormat="1" x14ac:dyDescent="0.3"/>
    <row r="21" spans="1:78" x14ac:dyDescent="0.3">
      <c r="A21" s="27" t="s">
        <v>70</v>
      </c>
      <c r="B21" s="28" t="s">
        <v>71</v>
      </c>
      <c r="C21" s="27"/>
    </row>
    <row r="22" spans="1:78" s="31" customFormat="1" x14ac:dyDescent="0.3">
      <c r="A22" s="29"/>
      <c r="B22" s="29"/>
      <c r="C22" s="29"/>
      <c r="D22" s="30"/>
      <c r="U22" s="27" t="s">
        <v>74</v>
      </c>
      <c r="V22" s="27" t="s">
        <v>75</v>
      </c>
      <c r="W22" s="27"/>
      <c r="X22" s="27"/>
      <c r="Y22" s="26"/>
      <c r="AO22" s="27" t="s">
        <v>76</v>
      </c>
      <c r="AP22" s="27" t="s">
        <v>77</v>
      </c>
      <c r="AQ22" s="27"/>
      <c r="BV22" s="27" t="s">
        <v>151</v>
      </c>
      <c r="BW22" s="27" t="s">
        <v>152</v>
      </c>
      <c r="BX22" s="27"/>
      <c r="BY22" s="27"/>
    </row>
    <row r="23" spans="1:78" s="32" customFormat="1" x14ac:dyDescent="0.3">
      <c r="A23" s="51" t="s">
        <v>72</v>
      </c>
      <c r="B23" s="49">
        <f t="shared" ref="B23" si="0">AVERAGE(B26:B405)</f>
        <v>4.2105263157894736E-2</v>
      </c>
      <c r="C23" s="49">
        <f>AVERAGE(C26:C405)</f>
        <v>17</v>
      </c>
      <c r="D23" s="49">
        <f>AVERAGE(D26:D405)</f>
        <v>57.801509835259047</v>
      </c>
      <c r="E23" s="49">
        <f t="shared" ref="E23:R23" si="1">AVERAGE(E26:E405)</f>
        <v>29686.32894736842</v>
      </c>
      <c r="F23" s="49">
        <f t="shared" si="1"/>
        <v>6236.136842105263</v>
      </c>
      <c r="G23" s="49">
        <f t="shared" si="1"/>
        <v>7998.3263157894735</v>
      </c>
      <c r="H23" s="49">
        <f t="shared" si="1"/>
        <v>15451.865789473684</v>
      </c>
      <c r="I23" s="49">
        <f t="shared" si="1"/>
        <v>12.268684210526311</v>
      </c>
      <c r="J23" s="49">
        <f t="shared" si="1"/>
        <v>439.8878947368421</v>
      </c>
      <c r="K23" s="49">
        <f t="shared" si="1"/>
        <v>18162.61842105263</v>
      </c>
      <c r="L23" s="49">
        <f t="shared" si="1"/>
        <v>63163.6</v>
      </c>
      <c r="M23" s="49">
        <f t="shared" si="1"/>
        <v>19824.410526315791</v>
      </c>
      <c r="N23" s="49">
        <f t="shared" si="1"/>
        <v>11010.181578947368</v>
      </c>
      <c r="O23" s="49">
        <f t="shared" si="1"/>
        <v>3532.3475263157902</v>
      </c>
      <c r="P23" s="49">
        <f t="shared" si="1"/>
        <v>85.100526315789395</v>
      </c>
      <c r="Q23" s="49">
        <f t="shared" si="1"/>
        <v>19761.002631578947</v>
      </c>
      <c r="R23" s="49">
        <f t="shared" si="1"/>
        <v>738.11052631578946</v>
      </c>
      <c r="BG23" s="27" t="s">
        <v>79</v>
      </c>
      <c r="BH23" s="27" t="s">
        <v>80</v>
      </c>
      <c r="BI23" s="27"/>
      <c r="BJ23" s="27"/>
    </row>
    <row r="24" spans="1:78" s="33" customFormat="1" x14ac:dyDescent="0.3">
      <c r="A24" s="50" t="s">
        <v>73</v>
      </c>
      <c r="B24" s="50">
        <f t="shared" ref="B24:C24" si="2">STDEVA(B26:B405)</f>
        <v>0.20109407733835377</v>
      </c>
      <c r="C24" s="50">
        <f t="shared" si="2"/>
        <v>9.4083553502075148</v>
      </c>
      <c r="D24" s="50">
        <f>STDEVA(D26:D405)</f>
        <v>32.316127914391714</v>
      </c>
      <c r="E24" s="50">
        <f t="shared" ref="E24:R24" si="3">STDEVA(E26:E405)</f>
        <v>53362.162132953774</v>
      </c>
      <c r="F24" s="50">
        <f t="shared" si="3"/>
        <v>5447.447270014547</v>
      </c>
      <c r="G24" s="50">
        <f t="shared" si="3"/>
        <v>9401.8484571060508</v>
      </c>
      <c r="H24" s="50">
        <f t="shared" si="3"/>
        <v>45413.819267307626</v>
      </c>
      <c r="I24" s="50">
        <f t="shared" si="3"/>
        <v>5.2676734417012323</v>
      </c>
      <c r="J24" s="50">
        <f t="shared" si="3"/>
        <v>1311.6428360061338</v>
      </c>
      <c r="K24" s="50">
        <f t="shared" si="3"/>
        <v>19504.444209460991</v>
      </c>
      <c r="L24" s="50">
        <f t="shared" si="3"/>
        <v>71406.456240462649</v>
      </c>
      <c r="M24" s="50">
        <f t="shared" si="3"/>
        <v>27233.213126290237</v>
      </c>
      <c r="N24" s="50">
        <f t="shared" si="3"/>
        <v>24133.091345503686</v>
      </c>
      <c r="O24" s="50">
        <f t="shared" si="3"/>
        <v>493.35006287948158</v>
      </c>
      <c r="P24" s="50">
        <f t="shared" si="3"/>
        <v>11.885757856687443</v>
      </c>
      <c r="Q24" s="50">
        <f t="shared" si="3"/>
        <v>44602.634512597717</v>
      </c>
      <c r="R24" s="50">
        <f t="shared" si="3"/>
        <v>1826.890179834711</v>
      </c>
      <c r="AO24" s="33" t="s">
        <v>162</v>
      </c>
      <c r="BX24" s="33" t="s">
        <v>156</v>
      </c>
    </row>
    <row r="25" spans="1:78" x14ac:dyDescent="0.3">
      <c r="A25" s="19" t="s">
        <v>54</v>
      </c>
      <c r="B25" s="20" t="s">
        <v>160</v>
      </c>
      <c r="C25" s="20" t="s">
        <v>78</v>
      </c>
      <c r="D25" s="20" t="s">
        <v>55</v>
      </c>
      <c r="E25" s="20" t="s">
        <v>56</v>
      </c>
      <c r="F25" s="20" t="s">
        <v>57</v>
      </c>
      <c r="G25" s="20" t="s">
        <v>58</v>
      </c>
      <c r="H25" s="20" t="s">
        <v>59</v>
      </c>
      <c r="I25" s="20" t="s">
        <v>60</v>
      </c>
      <c r="J25" s="21" t="s">
        <v>61</v>
      </c>
      <c r="K25" s="21" t="s">
        <v>62</v>
      </c>
      <c r="L25" s="21" t="s">
        <v>63</v>
      </c>
      <c r="M25" s="20" t="s">
        <v>64</v>
      </c>
      <c r="N25" s="21" t="s">
        <v>65</v>
      </c>
      <c r="O25" s="21" t="s">
        <v>66</v>
      </c>
      <c r="P25" s="21" t="s">
        <v>67</v>
      </c>
      <c r="Q25" s="21" t="s">
        <v>68</v>
      </c>
      <c r="R25" s="21" t="s">
        <v>69</v>
      </c>
      <c r="U25" s="19" t="s">
        <v>54</v>
      </c>
      <c r="V25" s="20" t="s">
        <v>160</v>
      </c>
      <c r="W25" s="20" t="s">
        <v>78</v>
      </c>
      <c r="X25" s="20" t="s">
        <v>55</v>
      </c>
      <c r="Y25" s="20" t="s">
        <v>56</v>
      </c>
      <c r="Z25" s="20" t="s">
        <v>57</v>
      </c>
      <c r="AA25" s="20" t="s">
        <v>58</v>
      </c>
      <c r="AB25" s="20" t="s">
        <v>59</v>
      </c>
      <c r="AC25" s="20" t="s">
        <v>60</v>
      </c>
      <c r="AD25" s="21" t="s">
        <v>61</v>
      </c>
      <c r="AE25" s="21" t="s">
        <v>62</v>
      </c>
      <c r="AF25" s="21" t="s">
        <v>63</v>
      </c>
      <c r="AG25" s="20" t="s">
        <v>64</v>
      </c>
      <c r="AH25" s="21" t="s">
        <v>65</v>
      </c>
      <c r="AI25" s="21" t="s">
        <v>66</v>
      </c>
      <c r="AJ25" s="21" t="s">
        <v>67</v>
      </c>
      <c r="AK25" s="21" t="s">
        <v>68</v>
      </c>
      <c r="AL25" s="21" t="s">
        <v>69</v>
      </c>
      <c r="AO25" s="34"/>
      <c r="AP25" s="34" t="s">
        <v>55</v>
      </c>
      <c r="AQ25" s="34" t="s">
        <v>56</v>
      </c>
      <c r="AR25" s="34" t="s">
        <v>57</v>
      </c>
      <c r="AS25" s="34" t="s">
        <v>58</v>
      </c>
      <c r="AT25" s="34" t="s">
        <v>59</v>
      </c>
      <c r="AU25" s="34" t="s">
        <v>60</v>
      </c>
      <c r="AV25" s="34" t="s">
        <v>61</v>
      </c>
      <c r="AW25" s="34" t="s">
        <v>62</v>
      </c>
      <c r="AX25" s="34" t="s">
        <v>63</v>
      </c>
      <c r="AY25" s="34" t="s">
        <v>64</v>
      </c>
      <c r="AZ25" s="34" t="s">
        <v>65</v>
      </c>
      <c r="BA25" s="34" t="s">
        <v>66</v>
      </c>
      <c r="BB25" s="34" t="s">
        <v>67</v>
      </c>
      <c r="BC25" s="34" t="s">
        <v>68</v>
      </c>
      <c r="BD25" s="34" t="s">
        <v>69</v>
      </c>
      <c r="BG25" s="36" t="s">
        <v>81</v>
      </c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V25" s="18" t="s">
        <v>153</v>
      </c>
      <c r="BX25" s="18" t="s">
        <v>154</v>
      </c>
    </row>
    <row r="26" spans="1:78" x14ac:dyDescent="0.3">
      <c r="A26" s="19">
        <v>1</v>
      </c>
      <c r="B26" s="19">
        <v>0</v>
      </c>
      <c r="C26" s="19">
        <v>18</v>
      </c>
      <c r="D26" s="19">
        <v>53.835673306281997</v>
      </c>
      <c r="E26" s="22">
        <v>15582</v>
      </c>
      <c r="F26" s="22">
        <v>8253</v>
      </c>
      <c r="G26" s="23">
        <v>3029</v>
      </c>
      <c r="H26" s="23">
        <v>4300</v>
      </c>
      <c r="I26" s="24">
        <v>19.8</v>
      </c>
      <c r="J26" s="24">
        <v>36</v>
      </c>
      <c r="K26" s="22">
        <v>11715</v>
      </c>
      <c r="L26" s="22">
        <v>44044</v>
      </c>
      <c r="M26" s="22">
        <v>11419</v>
      </c>
      <c r="N26" s="22">
        <v>4145</v>
      </c>
      <c r="O26" s="25">
        <v>3017.94</v>
      </c>
      <c r="P26" s="24">
        <v>72.7</v>
      </c>
      <c r="Q26" s="22">
        <v>403</v>
      </c>
      <c r="R26" s="23">
        <v>7</v>
      </c>
      <c r="U26" s="19">
        <v>1</v>
      </c>
      <c r="V26" s="19">
        <v>0</v>
      </c>
      <c r="W26" s="19">
        <v>18</v>
      </c>
      <c r="X26" s="19">
        <f>(D26-D$23)/D$24</f>
        <v>-0.12272004057797092</v>
      </c>
      <c r="Y26" s="19">
        <f t="shared" ref="Y26:AE26" si="4">(E26-E$23)/E$24</f>
        <v>-0.26431329585609686</v>
      </c>
      <c r="Z26" s="19">
        <f t="shared" si="4"/>
        <v>0.37024005151854389</v>
      </c>
      <c r="AA26" s="19">
        <f t="shared" si="4"/>
        <v>-0.52854779977160615</v>
      </c>
      <c r="AB26" s="19">
        <f t="shared" si="4"/>
        <v>-0.24556106421777343</v>
      </c>
      <c r="AC26" s="19">
        <f t="shared" si="4"/>
        <v>1.4297233632313771</v>
      </c>
      <c r="AD26" s="19">
        <f t="shared" si="4"/>
        <v>-0.30792520924877248</v>
      </c>
      <c r="AE26" s="19">
        <f t="shared" si="4"/>
        <v>-0.33057175850850923</v>
      </c>
      <c r="AF26" s="19">
        <f>(L26-L$23)/L$24</f>
        <v>-0.26775730104312095</v>
      </c>
      <c r="AG26" s="19">
        <f t="shared" ref="AG26" si="5">(M26-M$23)/M$24</f>
        <v>-0.30864556772411939</v>
      </c>
      <c r="AH26" s="19">
        <f t="shared" ref="AH26" si="6">(N26-N$23)/N$24</f>
        <v>-0.28447170238828279</v>
      </c>
      <c r="AI26" s="19">
        <f t="shared" ref="AI26" si="7">(O26-O$23)/O$24</f>
        <v>-1.0426826000860421</v>
      </c>
      <c r="AJ26" s="19">
        <f t="shared" ref="AJ26" si="8">(P26-P$23)/P$24</f>
        <v>-1.0433096875528487</v>
      </c>
      <c r="AK26" s="19">
        <f t="shared" ref="AK26" si="9">(Q26-Q$23)/Q$24</f>
        <v>-0.43401029654675238</v>
      </c>
      <c r="AL26" s="19">
        <f t="shared" ref="AL26" si="10">(R26-R$23)/R$24</f>
        <v>-0.40019402062905451</v>
      </c>
      <c r="AO26" s="35" t="s">
        <v>55</v>
      </c>
      <c r="AP26" s="35">
        <f>VARP(PCA!$X$26:$X$405)</f>
        <v>0.99736842105263768</v>
      </c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G26" s="36" t="s">
        <v>82</v>
      </c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X26" s="18" t="s">
        <v>155</v>
      </c>
    </row>
    <row r="27" spans="1:78" x14ac:dyDescent="0.3">
      <c r="A27" s="19">
        <v>2</v>
      </c>
      <c r="B27" s="19">
        <v>0</v>
      </c>
      <c r="C27" s="19">
        <v>18</v>
      </c>
      <c r="D27" s="19">
        <v>55.2499370456134</v>
      </c>
      <c r="E27" s="22">
        <v>20434</v>
      </c>
      <c r="F27" s="22">
        <v>14393</v>
      </c>
      <c r="G27" s="23">
        <v>1123</v>
      </c>
      <c r="H27" s="23">
        <v>4918</v>
      </c>
      <c r="I27" s="24">
        <v>17.899999999999999</v>
      </c>
      <c r="J27" s="24">
        <v>125.2</v>
      </c>
      <c r="K27" s="22">
        <v>14238</v>
      </c>
      <c r="L27" s="22">
        <v>47878</v>
      </c>
      <c r="M27" s="22">
        <v>12199</v>
      </c>
      <c r="N27" s="22">
        <v>4124</v>
      </c>
      <c r="O27" s="25">
        <v>3195.46</v>
      </c>
      <c r="P27" s="24">
        <v>77</v>
      </c>
      <c r="Q27" s="22">
        <v>0</v>
      </c>
      <c r="R27" s="23">
        <v>1741</v>
      </c>
      <c r="U27" s="19">
        <v>2</v>
      </c>
      <c r="V27" s="19">
        <v>0</v>
      </c>
      <c r="W27" s="19">
        <v>18</v>
      </c>
      <c r="X27" s="19">
        <f t="shared" ref="X27:X90" si="11">(D27-D$23)/D$24</f>
        <v>-7.8956637268084509E-2</v>
      </c>
      <c r="Y27" s="19">
        <f t="shared" ref="Y27:Y90" si="12">(E27-E$23)/E$24</f>
        <v>-0.1733874449149175</v>
      </c>
      <c r="Z27" s="19">
        <f t="shared" ref="Z27:Z90" si="13">(F27-F$23)/F$24</f>
        <v>1.4973734950669757</v>
      </c>
      <c r="AA27" s="19">
        <f t="shared" ref="AA27:AA90" si="14">(G27-G$23)/G$24</f>
        <v>-0.73127389227306727</v>
      </c>
      <c r="AB27" s="19">
        <f t="shared" ref="AB27:AB90" si="15">(H27-H$23)/H$24</f>
        <v>-0.23195287160216393</v>
      </c>
      <c r="AC27" s="19">
        <f t="shared" ref="AC27:AC90" si="16">(I27-I$23)/I$24</f>
        <v>1.0690328190987888</v>
      </c>
      <c r="AD27" s="19">
        <f t="shared" ref="AD27:AD90" si="17">(J27-J$23)/J$24</f>
        <v>-0.2399188911022806</v>
      </c>
      <c r="AE27" s="19">
        <f t="shared" ref="AE27:AE90" si="18">(K27-K$23)/K$24</f>
        <v>-0.20121662421679881</v>
      </c>
      <c r="AF27" s="19">
        <f t="shared" ref="AF27:AF90" si="19">(L27-L$23)/L$24</f>
        <v>-0.21406467712842994</v>
      </c>
      <c r="AG27" s="19">
        <f t="shared" ref="AG27:AG90" si="20">(M27-M$23)/M$24</f>
        <v>-0.28000407043245357</v>
      </c>
      <c r="AH27" s="19">
        <f t="shared" ref="AH27:AH90" si="21">(N27-N$23)/N$24</f>
        <v>-0.28534187685948298</v>
      </c>
      <c r="AI27" s="19">
        <f t="shared" ref="AI27:AI90" si="22">(O27-O$23)/O$24</f>
        <v>-0.68285696438248356</v>
      </c>
      <c r="AJ27" s="19">
        <f t="shared" ref="AJ27:AJ90" si="23">(P27-P$23)/P$24</f>
        <v>-0.68153216761282809</v>
      </c>
      <c r="AK27" s="19">
        <f t="shared" ref="AK27:AK90" si="24">(Q27-Q$23)/Q$24</f>
        <v>-0.44304563727054247</v>
      </c>
      <c r="AL27" s="19">
        <f t="shared" ref="AL27:AL90" si="25">(R27-R$23)/R$24</f>
        <v>0.54895991272718292</v>
      </c>
      <c r="AO27" s="35" t="s">
        <v>56</v>
      </c>
      <c r="AP27" s="35">
        <v>-0.14931069255076848</v>
      </c>
      <c r="AQ27" s="35">
        <f>VARP(PCA!$Y$26:$Y$405)</f>
        <v>0.99736842105263079</v>
      </c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G27" s="36" t="s">
        <v>83</v>
      </c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</row>
    <row r="28" spans="1:78" x14ac:dyDescent="0.3">
      <c r="A28" s="19">
        <v>3</v>
      </c>
      <c r="B28" s="19">
        <v>0</v>
      </c>
      <c r="C28" s="19">
        <v>18</v>
      </c>
      <c r="D28" s="19">
        <v>41.1765116864782</v>
      </c>
      <c r="E28" s="22">
        <v>24367</v>
      </c>
      <c r="F28" s="22">
        <v>13814</v>
      </c>
      <c r="G28" s="23">
        <v>4408</v>
      </c>
      <c r="H28" s="23">
        <v>6145</v>
      </c>
      <c r="I28" s="24">
        <v>16.899999999999999</v>
      </c>
      <c r="J28" s="24">
        <v>113.3</v>
      </c>
      <c r="K28" s="22">
        <v>15022</v>
      </c>
      <c r="L28" s="22">
        <v>49557</v>
      </c>
      <c r="M28" s="22">
        <v>14290</v>
      </c>
      <c r="N28" s="22">
        <v>4608</v>
      </c>
      <c r="O28" s="25">
        <v>3130.09</v>
      </c>
      <c r="P28" s="24">
        <v>75.400000000000006</v>
      </c>
      <c r="Q28" s="22">
        <v>1687</v>
      </c>
      <c r="R28" s="23">
        <v>176</v>
      </c>
      <c r="U28" s="19">
        <v>3</v>
      </c>
      <c r="V28" s="19">
        <v>0</v>
      </c>
      <c r="W28" s="19">
        <v>18</v>
      </c>
      <c r="X28" s="19">
        <f t="shared" si="11"/>
        <v>-0.51444895232566046</v>
      </c>
      <c r="Y28" s="19">
        <f t="shared" si="12"/>
        <v>-9.9683534825952477E-2</v>
      </c>
      <c r="Z28" s="19">
        <f t="shared" si="13"/>
        <v>1.3910851784848026</v>
      </c>
      <c r="AA28" s="19">
        <f t="shared" si="14"/>
        <v>-0.38187451458823013</v>
      </c>
      <c r="AB28" s="19">
        <f t="shared" si="15"/>
        <v>-0.20493466393330817</v>
      </c>
      <c r="AC28" s="19">
        <f t="shared" si="16"/>
        <v>0.87919569060795288</v>
      </c>
      <c r="AD28" s="19">
        <f t="shared" si="17"/>
        <v>-0.24899148287294484</v>
      </c>
      <c r="AE28" s="19">
        <f t="shared" si="18"/>
        <v>-0.161020657001301</v>
      </c>
      <c r="AF28" s="19">
        <f t="shared" si="19"/>
        <v>-0.19055139711988373</v>
      </c>
      <c r="AG28" s="19">
        <f t="shared" si="20"/>
        <v>-0.20322282576979558</v>
      </c>
      <c r="AH28" s="19">
        <f t="shared" si="21"/>
        <v>-0.26528642714229722</v>
      </c>
      <c r="AI28" s="19">
        <f t="shared" si="22"/>
        <v>-0.8153592278228935</v>
      </c>
      <c r="AJ28" s="19">
        <f t="shared" si="23"/>
        <v>-0.81614705875330051</v>
      </c>
      <c r="AK28" s="19">
        <f t="shared" si="24"/>
        <v>-0.4052227593523442</v>
      </c>
      <c r="AL28" s="19">
        <f t="shared" si="25"/>
        <v>-0.3076870917148653</v>
      </c>
      <c r="AO28" s="35" t="s">
        <v>57</v>
      </c>
      <c r="AP28" s="35">
        <v>2.5230277100193477E-2</v>
      </c>
      <c r="AQ28" s="35">
        <v>7.5680302784399698E-3</v>
      </c>
      <c r="AR28" s="35">
        <f>VARP(PCA!$Z$26:$Z$405)</f>
        <v>0.99736842105263179</v>
      </c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V28" s="17" t="s">
        <v>160</v>
      </c>
      <c r="BW28" s="18" t="s">
        <v>158</v>
      </c>
      <c r="BX28" s="48" t="s">
        <v>157</v>
      </c>
      <c r="BY28" s="48" t="s">
        <v>161</v>
      </c>
      <c r="BZ28" s="31" t="s">
        <v>159</v>
      </c>
    </row>
    <row r="29" spans="1:78" x14ac:dyDescent="0.3">
      <c r="A29" s="19">
        <v>4</v>
      </c>
      <c r="B29" s="19">
        <v>0</v>
      </c>
      <c r="C29" s="19">
        <v>18</v>
      </c>
      <c r="D29" s="19">
        <v>26.234316363882499</v>
      </c>
      <c r="E29" s="22">
        <v>19901</v>
      </c>
      <c r="F29" s="22">
        <v>8230</v>
      </c>
      <c r="G29" s="23">
        <v>5539</v>
      </c>
      <c r="H29" s="23">
        <v>6132</v>
      </c>
      <c r="I29" s="24">
        <v>17</v>
      </c>
      <c r="J29" s="24">
        <v>323.10000000000002</v>
      </c>
      <c r="K29" s="22">
        <v>15116</v>
      </c>
      <c r="L29" s="22">
        <v>46260</v>
      </c>
      <c r="M29" s="22">
        <v>12380</v>
      </c>
      <c r="N29" s="22">
        <v>4998</v>
      </c>
      <c r="O29" s="25">
        <v>3365.62</v>
      </c>
      <c r="P29" s="24">
        <v>81.099999999999994</v>
      </c>
      <c r="Q29" s="22">
        <v>0</v>
      </c>
      <c r="R29" s="23">
        <v>0</v>
      </c>
      <c r="U29" s="19">
        <v>4</v>
      </c>
      <c r="V29" s="19">
        <v>0</v>
      </c>
      <c r="W29" s="19">
        <v>18</v>
      </c>
      <c r="X29" s="19">
        <f t="shared" si="11"/>
        <v>-0.97682474691896382</v>
      </c>
      <c r="Y29" s="19">
        <f t="shared" si="12"/>
        <v>-0.18337579581179481</v>
      </c>
      <c r="Z29" s="19">
        <f t="shared" si="13"/>
        <v>0.36601789041078914</v>
      </c>
      <c r="AA29" s="19">
        <f t="shared" si="14"/>
        <v>-0.26157902108395287</v>
      </c>
      <c r="AB29" s="19">
        <f t="shared" si="15"/>
        <v>-0.20522092041227732</v>
      </c>
      <c r="AC29" s="19">
        <f t="shared" si="16"/>
        <v>0.89817940345703673</v>
      </c>
      <c r="AD29" s="19">
        <f t="shared" si="17"/>
        <v>-8.9039402748124274E-2</v>
      </c>
      <c r="AE29" s="19">
        <f t="shared" si="18"/>
        <v>-0.15620124256474899</v>
      </c>
      <c r="AF29" s="19">
        <f t="shared" si="19"/>
        <v>-0.23672369264589735</v>
      </c>
      <c r="AG29" s="19">
        <f t="shared" si="20"/>
        <v>-0.27335777426605418</v>
      </c>
      <c r="AH29" s="19">
        <f t="shared" si="21"/>
        <v>-0.24912604410572192</v>
      </c>
      <c r="AI29" s="19">
        <f t="shared" si="22"/>
        <v>-0.3379497416959274</v>
      </c>
      <c r="AJ29" s="19">
        <f t="shared" si="23"/>
        <v>-0.33658150906536694</v>
      </c>
      <c r="AK29" s="19">
        <f t="shared" si="24"/>
        <v>-0.44304563727054247</v>
      </c>
      <c r="AL29" s="19">
        <f t="shared" si="25"/>
        <v>-0.40402566857224581</v>
      </c>
      <c r="AO29" s="35" t="s">
        <v>58</v>
      </c>
      <c r="AP29" s="35">
        <v>-0.2462053150342243</v>
      </c>
      <c r="AQ29" s="35">
        <v>0.88000165958893817</v>
      </c>
      <c r="AR29" s="35">
        <v>-0.13081132561020867</v>
      </c>
      <c r="AS29" s="35">
        <f>VARP(PCA!$AA$26:$AA$405)</f>
        <v>0.99736842105263079</v>
      </c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V29" s="16">
        <v>0</v>
      </c>
      <c r="BW29" s="18">
        <v>1</v>
      </c>
      <c r="BX29" s="48">
        <f t="array" ref="BX29:BY408">MMULT($X$26:$AL$405,$BF$89:$BG$103)</f>
        <v>1.4990741632007101</v>
      </c>
      <c r="BY29" s="48">
        <v>-1.5193543141937698</v>
      </c>
      <c r="BZ29" s="18" t="e">
        <f>IF(BV29=1,BY29,NA())</f>
        <v>#N/A</v>
      </c>
    </row>
    <row r="30" spans="1:78" x14ac:dyDescent="0.3">
      <c r="A30" s="19">
        <v>5</v>
      </c>
      <c r="B30" s="19">
        <v>0</v>
      </c>
      <c r="C30" s="19">
        <v>18</v>
      </c>
      <c r="D30" s="19">
        <v>3.8461907179500798</v>
      </c>
      <c r="E30" s="22">
        <v>51290</v>
      </c>
      <c r="F30" s="22">
        <v>26078</v>
      </c>
      <c r="G30" s="23">
        <v>11030</v>
      </c>
      <c r="H30" s="23">
        <v>14182</v>
      </c>
      <c r="I30" s="24">
        <v>12.8</v>
      </c>
      <c r="J30" s="24">
        <v>589.6</v>
      </c>
      <c r="K30" s="22">
        <v>33572</v>
      </c>
      <c r="L30" s="22">
        <v>105406</v>
      </c>
      <c r="M30" s="22">
        <v>28364</v>
      </c>
      <c r="N30" s="22">
        <v>11675</v>
      </c>
      <c r="O30" s="25">
        <v>3333.91</v>
      </c>
      <c r="P30" s="24">
        <v>80.3</v>
      </c>
      <c r="Q30" s="22">
        <v>896</v>
      </c>
      <c r="R30" s="23">
        <v>233</v>
      </c>
      <c r="U30" s="19">
        <v>5</v>
      </c>
      <c r="V30" s="19">
        <v>0</v>
      </c>
      <c r="W30" s="19">
        <v>18</v>
      </c>
      <c r="X30" s="19">
        <f t="shared" si="11"/>
        <v>-1.6696096531193771</v>
      </c>
      <c r="Y30" s="19">
        <f t="shared" si="12"/>
        <v>0.40484999462362947</v>
      </c>
      <c r="Z30" s="19">
        <f t="shared" si="13"/>
        <v>3.642414910028446</v>
      </c>
      <c r="AA30" s="19">
        <f t="shared" si="14"/>
        <v>0.32245506806899704</v>
      </c>
      <c r="AB30" s="19">
        <f t="shared" si="15"/>
        <v>-2.7962100742930287E-2</v>
      </c>
      <c r="AC30" s="19">
        <f t="shared" si="16"/>
        <v>0.1008634637955266</v>
      </c>
      <c r="AD30" s="19">
        <f t="shared" si="17"/>
        <v>0.11414090875456724</v>
      </c>
      <c r="AE30" s="19">
        <f t="shared" si="18"/>
        <v>0.79004463872253095</v>
      </c>
      <c r="AF30" s="19">
        <f t="shared" si="19"/>
        <v>0.59157675963848266</v>
      </c>
      <c r="AG30" s="19">
        <f t="shared" si="20"/>
        <v>0.31357260100315931</v>
      </c>
      <c r="AH30" s="19">
        <f t="shared" si="21"/>
        <v>2.7548000856363428E-2</v>
      </c>
      <c r="AI30" s="19">
        <f t="shared" si="22"/>
        <v>-0.40222458908303788</v>
      </c>
      <c r="AJ30" s="19">
        <f t="shared" si="23"/>
        <v>-0.40388895463560309</v>
      </c>
      <c r="AK30" s="19">
        <f t="shared" si="24"/>
        <v>-0.42295713779531685</v>
      </c>
      <c r="AL30" s="19">
        <f t="shared" si="25"/>
        <v>-0.27648652989173639</v>
      </c>
      <c r="AO30" s="35" t="s">
        <v>59</v>
      </c>
      <c r="AP30" s="35">
        <v>-0.1274985680640888</v>
      </c>
      <c r="AQ30" s="35">
        <v>0.98883704175678877</v>
      </c>
      <c r="AR30" s="35">
        <v>-8.3661696486985918E-2</v>
      </c>
      <c r="AS30" s="35">
        <v>0.84322950375069572</v>
      </c>
      <c r="AT30" s="35">
        <f>VARP(PCA!$AB$26:$AB$405)</f>
        <v>0.99736842105263257</v>
      </c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G30" s="36" t="s">
        <v>84</v>
      </c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V30" s="16">
        <v>0</v>
      </c>
      <c r="BW30" s="18">
        <v>2</v>
      </c>
      <c r="BX30" s="48">
        <v>1.3091336449031532</v>
      </c>
      <c r="BY30" s="48">
        <v>-1.3875894289974029</v>
      </c>
      <c r="BZ30" s="18" t="e">
        <f t="shared" ref="BZ30:BZ93" si="26">IF(BV30=1,BY30,NA())</f>
        <v>#N/A</v>
      </c>
    </row>
    <row r="31" spans="1:78" x14ac:dyDescent="0.3">
      <c r="A31" s="19">
        <v>6</v>
      </c>
      <c r="B31" s="19">
        <v>0</v>
      </c>
      <c r="C31" s="19">
        <v>18</v>
      </c>
      <c r="D31" s="19">
        <v>65.561365921406605</v>
      </c>
      <c r="E31" s="22">
        <v>31569</v>
      </c>
      <c r="F31" s="22">
        <v>10781</v>
      </c>
      <c r="G31" s="23">
        <v>10534</v>
      </c>
      <c r="H31" s="23">
        <v>10254</v>
      </c>
      <c r="I31" s="24">
        <v>9.9</v>
      </c>
      <c r="J31" s="24">
        <v>208</v>
      </c>
      <c r="K31" s="22">
        <v>17380</v>
      </c>
      <c r="L31" s="22">
        <v>60541</v>
      </c>
      <c r="M31" s="22">
        <v>17724</v>
      </c>
      <c r="N31" s="22">
        <v>6972</v>
      </c>
      <c r="O31" s="25">
        <v>3251.52</v>
      </c>
      <c r="P31" s="24">
        <v>78.3</v>
      </c>
      <c r="Q31" s="22">
        <v>9061</v>
      </c>
      <c r="R31" s="23">
        <v>0</v>
      </c>
      <c r="U31" s="19">
        <v>6</v>
      </c>
      <c r="V31" s="19">
        <v>0</v>
      </c>
      <c r="W31" s="19">
        <v>18</v>
      </c>
      <c r="X31" s="19">
        <f t="shared" si="11"/>
        <v>0.24012332500676145</v>
      </c>
      <c r="Y31" s="19">
        <f t="shared" si="12"/>
        <v>3.5281011439169882E-2</v>
      </c>
      <c r="Z31" s="19">
        <f t="shared" si="13"/>
        <v>0.83431062892740959</v>
      </c>
      <c r="AA31" s="19">
        <f t="shared" si="14"/>
        <v>0.26969948471079941</v>
      </c>
      <c r="AB31" s="19">
        <f t="shared" si="15"/>
        <v>-0.11445559684991105</v>
      </c>
      <c r="AC31" s="19">
        <f t="shared" si="16"/>
        <v>-0.4496642088278972</v>
      </c>
      <c r="AD31" s="19">
        <f t="shared" si="17"/>
        <v>-0.17679195004253254</v>
      </c>
      <c r="AE31" s="19">
        <f t="shared" si="18"/>
        <v>-4.0125133156729803E-2</v>
      </c>
      <c r="AF31" s="19">
        <f t="shared" si="19"/>
        <v>-3.6727771382020998E-2</v>
      </c>
      <c r="AG31" s="19">
        <f t="shared" si="20"/>
        <v>-7.712679794982065E-2</v>
      </c>
      <c r="AH31" s="19">
        <f t="shared" si="21"/>
        <v>-0.16732964381290233</v>
      </c>
      <c r="AI31" s="19">
        <f t="shared" si="22"/>
        <v>-0.56922568262526485</v>
      </c>
      <c r="AJ31" s="19">
        <f t="shared" si="23"/>
        <v>-0.57215756856119415</v>
      </c>
      <c r="AK31" s="19">
        <f t="shared" si="24"/>
        <v>-0.23989620228726183</v>
      </c>
      <c r="AL31" s="19">
        <f t="shared" si="25"/>
        <v>-0.40402566857224581</v>
      </c>
      <c r="AO31" s="35" t="s">
        <v>60</v>
      </c>
      <c r="AP31" s="35">
        <v>0.2069868697386196</v>
      </c>
      <c r="AQ31" s="35">
        <v>-0.29178593962225613</v>
      </c>
      <c r="AR31" s="35">
        <v>1.8150269501235099E-2</v>
      </c>
      <c r="AS31" s="35">
        <v>-0.45234492494596551</v>
      </c>
      <c r="AT31" s="35">
        <v>-0.2513843363933716</v>
      </c>
      <c r="AU31" s="35">
        <f>VARP(PCA!$AC$26:$AC$405)</f>
        <v>0.99736842105262757</v>
      </c>
      <c r="AV31" s="35"/>
      <c r="AW31" s="35"/>
      <c r="AX31" s="35"/>
      <c r="AY31" s="35"/>
      <c r="AZ31" s="35"/>
      <c r="BA31" s="35"/>
      <c r="BB31" s="35"/>
      <c r="BC31" s="35"/>
      <c r="BD31" s="35"/>
      <c r="BG31" s="36" t="s">
        <v>85</v>
      </c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V31" s="16">
        <v>0</v>
      </c>
      <c r="BW31" s="18">
        <v>3</v>
      </c>
      <c r="BX31" s="48">
        <v>1.0956019899950453</v>
      </c>
      <c r="BY31" s="48">
        <v>-1.4674400233153773</v>
      </c>
      <c r="BZ31" s="18" t="e">
        <f t="shared" si="26"/>
        <v>#N/A</v>
      </c>
    </row>
    <row r="32" spans="1:78" x14ac:dyDescent="0.3">
      <c r="A32" s="19">
        <v>7</v>
      </c>
      <c r="B32" s="19">
        <v>0</v>
      </c>
      <c r="C32" s="19">
        <v>18</v>
      </c>
      <c r="D32" s="19">
        <v>62.730515462843599</v>
      </c>
      <c r="E32" s="22">
        <v>33790</v>
      </c>
      <c r="F32" s="22">
        <v>7183</v>
      </c>
      <c r="G32" s="23">
        <v>14222</v>
      </c>
      <c r="H32" s="23">
        <v>12385</v>
      </c>
      <c r="I32" s="24">
        <v>9.6</v>
      </c>
      <c r="J32" s="24">
        <v>731.9</v>
      </c>
      <c r="K32" s="22">
        <v>18093</v>
      </c>
      <c r="L32" s="22">
        <v>68523</v>
      </c>
      <c r="M32" s="22">
        <v>21330</v>
      </c>
      <c r="N32" s="22">
        <v>8926</v>
      </c>
      <c r="O32" s="25">
        <v>3651.26</v>
      </c>
      <c r="P32" s="24">
        <v>88</v>
      </c>
      <c r="Q32" s="22">
        <v>17628</v>
      </c>
      <c r="R32" s="23">
        <v>164</v>
      </c>
      <c r="U32" s="19">
        <v>7</v>
      </c>
      <c r="V32" s="19">
        <v>0</v>
      </c>
      <c r="W32" s="19">
        <v>18</v>
      </c>
      <c r="X32" s="19">
        <f t="shared" si="11"/>
        <v>0.15252463539697342</v>
      </c>
      <c r="Y32" s="19">
        <f t="shared" si="12"/>
        <v>7.6902263487883676E-2</v>
      </c>
      <c r="Z32" s="19">
        <f t="shared" si="13"/>
        <v>0.17381777389691161</v>
      </c>
      <c r="AA32" s="19">
        <f t="shared" si="14"/>
        <v>0.66196277387417213</v>
      </c>
      <c r="AB32" s="19">
        <f t="shared" si="15"/>
        <v>-6.7531554028124899E-2</v>
      </c>
      <c r="AC32" s="19">
        <f t="shared" si="16"/>
        <v>-0.50661534737514813</v>
      </c>
      <c r="AD32" s="19">
        <f t="shared" si="17"/>
        <v>0.22263080866763663</v>
      </c>
      <c r="AE32" s="19">
        <f t="shared" si="18"/>
        <v>-3.5693619518191735E-3</v>
      </c>
      <c r="AF32" s="19">
        <f t="shared" si="19"/>
        <v>7.5054837926028933E-2</v>
      </c>
      <c r="AG32" s="19">
        <f t="shared" si="20"/>
        <v>5.5285047221649813E-2</v>
      </c>
      <c r="AH32" s="19">
        <f t="shared" si="21"/>
        <v>-8.6361981111701971E-2</v>
      </c>
      <c r="AI32" s="19">
        <f t="shared" si="22"/>
        <v>0.24103062436065531</v>
      </c>
      <c r="AJ32" s="19">
        <f t="shared" si="23"/>
        <v>0.24394520897792271</v>
      </c>
      <c r="AK32" s="19">
        <f t="shared" si="24"/>
        <v>-4.782234625572386E-2</v>
      </c>
      <c r="AL32" s="19">
        <f t="shared" si="25"/>
        <v>-0.31425563104605031</v>
      </c>
      <c r="AO32" s="35" t="s">
        <v>61</v>
      </c>
      <c r="AP32" s="35">
        <v>-8.7396930645839435E-2</v>
      </c>
      <c r="AQ32" s="35">
        <v>0.94296102545275373</v>
      </c>
      <c r="AR32" s="35">
        <v>-7.6258863594365109E-2</v>
      </c>
      <c r="AS32" s="35">
        <v>0.80527938682903977</v>
      </c>
      <c r="AT32" s="35">
        <v>0.95043185531065255</v>
      </c>
      <c r="AU32" s="35">
        <v>-0.25216387464366757</v>
      </c>
      <c r="AV32" s="35">
        <f>VARP(PCA!$AD$26:$AD$405)</f>
        <v>0.99736842105263235</v>
      </c>
      <c r="AW32" s="35"/>
      <c r="AX32" s="35"/>
      <c r="AY32" s="35"/>
      <c r="AZ32" s="35"/>
      <c r="BA32" s="35"/>
      <c r="BB32" s="35"/>
      <c r="BC32" s="35"/>
      <c r="BD32" s="35"/>
      <c r="BG32" s="36" t="s">
        <v>86</v>
      </c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V32" s="16">
        <v>0</v>
      </c>
      <c r="BW32" s="18">
        <v>4</v>
      </c>
      <c r="BX32" s="48">
        <v>0.84235678619555932</v>
      </c>
      <c r="BY32" s="48">
        <v>-0.47458343529495883</v>
      </c>
      <c r="BZ32" s="18" t="e">
        <f t="shared" si="26"/>
        <v>#N/A</v>
      </c>
    </row>
    <row r="33" spans="1:78" x14ac:dyDescent="0.3">
      <c r="A33" s="19">
        <v>8</v>
      </c>
      <c r="B33" s="19">
        <v>0</v>
      </c>
      <c r="C33" s="19">
        <v>18</v>
      </c>
      <c r="D33" s="19">
        <v>27.385669346470099</v>
      </c>
      <c r="E33" s="22">
        <v>18416</v>
      </c>
      <c r="F33" s="22">
        <v>11960</v>
      </c>
      <c r="G33" s="23">
        <v>2134</v>
      </c>
      <c r="H33" s="23">
        <v>4322</v>
      </c>
      <c r="I33" s="24">
        <v>20.2</v>
      </c>
      <c r="J33" s="24">
        <v>23.4</v>
      </c>
      <c r="K33" s="22">
        <v>11563</v>
      </c>
      <c r="L33" s="22">
        <v>39208</v>
      </c>
      <c r="M33" s="22">
        <v>11081</v>
      </c>
      <c r="N33" s="22">
        <v>3878</v>
      </c>
      <c r="O33" s="25">
        <v>2990.08</v>
      </c>
      <c r="P33" s="24">
        <v>72</v>
      </c>
      <c r="Q33" s="22">
        <v>143</v>
      </c>
      <c r="R33" s="23">
        <v>20</v>
      </c>
      <c r="U33" s="19">
        <v>8</v>
      </c>
      <c r="V33" s="19">
        <v>0</v>
      </c>
      <c r="W33" s="19">
        <v>18</v>
      </c>
      <c r="X33" s="19">
        <f t="shared" si="11"/>
        <v>-0.94119693328864162</v>
      </c>
      <c r="Y33" s="19">
        <f t="shared" si="12"/>
        <v>-0.21120450328245666</v>
      </c>
      <c r="Z33" s="19">
        <f t="shared" si="13"/>
        <v>1.0507422787553575</v>
      </c>
      <c r="AA33" s="19">
        <f t="shared" si="14"/>
        <v>-0.62374184635545071</v>
      </c>
      <c r="AB33" s="19">
        <f t="shared" si="15"/>
        <v>-0.24507663017644105</v>
      </c>
      <c r="AC33" s="19">
        <f t="shared" si="16"/>
        <v>1.5056582146277111</v>
      </c>
      <c r="AD33" s="19">
        <f t="shared" si="17"/>
        <v>-0.31753148288829935</v>
      </c>
      <c r="AE33" s="19">
        <f t="shared" si="18"/>
        <v>-0.33836485419314655</v>
      </c>
      <c r="AF33" s="19">
        <f t="shared" si="19"/>
        <v>-0.33548226954897531</v>
      </c>
      <c r="AG33" s="19">
        <f t="shared" si="20"/>
        <v>-0.32105688321717457</v>
      </c>
      <c r="AH33" s="19">
        <f t="shared" si="21"/>
        <v>-0.29553534923639974</v>
      </c>
      <c r="AI33" s="19">
        <f t="shared" si="22"/>
        <v>-1.0991536580552916</v>
      </c>
      <c r="AJ33" s="19">
        <f t="shared" si="23"/>
        <v>-1.1022037024268059</v>
      </c>
      <c r="AK33" s="19">
        <f t="shared" si="24"/>
        <v>-0.43983954862661695</v>
      </c>
      <c r="AL33" s="19">
        <f t="shared" si="25"/>
        <v>-0.39307810302027074</v>
      </c>
      <c r="AO33" s="35" t="s">
        <v>62</v>
      </c>
      <c r="AP33" s="35">
        <v>-0.1828313466469588</v>
      </c>
      <c r="AQ33" s="35">
        <v>0.95564902882896663</v>
      </c>
      <c r="AR33" s="35">
        <v>7.6411553932822882E-2</v>
      </c>
      <c r="AS33" s="35">
        <v>0.8878028787936848</v>
      </c>
      <c r="AT33" s="35">
        <v>0.92994297909455037</v>
      </c>
      <c r="AU33" s="35">
        <v>-0.30045271771874366</v>
      </c>
      <c r="AV33" s="35">
        <v>0.88855448842114115</v>
      </c>
      <c r="AW33" s="35">
        <f>VARP(PCA!$AE$26:$AE$405)</f>
        <v>0.99736842105263179</v>
      </c>
      <c r="AX33" s="35"/>
      <c r="AY33" s="35"/>
      <c r="AZ33" s="35"/>
      <c r="BA33" s="35"/>
      <c r="BB33" s="35"/>
      <c r="BC33" s="35"/>
      <c r="BD33" s="35"/>
      <c r="BG33" s="36" t="s">
        <v>87</v>
      </c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V33" s="16">
        <v>0</v>
      </c>
      <c r="BW33" s="18">
        <v>5</v>
      </c>
      <c r="BX33" s="48">
        <v>-0.5235126530697739</v>
      </c>
      <c r="BY33" s="48">
        <v>-1.8051625106277271</v>
      </c>
      <c r="BZ33" s="18" t="e">
        <f t="shared" si="26"/>
        <v>#N/A</v>
      </c>
    </row>
    <row r="34" spans="1:78" x14ac:dyDescent="0.3">
      <c r="A34" s="19">
        <v>9</v>
      </c>
      <c r="B34" s="19">
        <v>0</v>
      </c>
      <c r="C34" s="19">
        <v>18</v>
      </c>
      <c r="D34" s="19">
        <v>54.263359044782597</v>
      </c>
      <c r="E34" s="22">
        <v>17778</v>
      </c>
      <c r="F34" s="22">
        <v>8040</v>
      </c>
      <c r="G34" s="23">
        <v>5588</v>
      </c>
      <c r="H34" s="23">
        <v>4150</v>
      </c>
      <c r="I34" s="24">
        <v>11.1</v>
      </c>
      <c r="J34" s="24">
        <v>309.39999999999998</v>
      </c>
      <c r="K34" s="22">
        <v>9427</v>
      </c>
      <c r="L34" s="22">
        <v>34381</v>
      </c>
      <c r="M34" s="22">
        <v>9903</v>
      </c>
      <c r="N34" s="22">
        <v>3381</v>
      </c>
      <c r="O34" s="25">
        <v>3531.2</v>
      </c>
      <c r="P34" s="24">
        <v>85.1</v>
      </c>
      <c r="Q34" s="22">
        <v>4487</v>
      </c>
      <c r="R34" s="23">
        <v>850</v>
      </c>
      <c r="U34" s="19">
        <v>9</v>
      </c>
      <c r="V34" s="19">
        <v>0</v>
      </c>
      <c r="W34" s="19">
        <v>18</v>
      </c>
      <c r="X34" s="19">
        <f t="shared" si="11"/>
        <v>-0.1094856042112881</v>
      </c>
      <c r="Y34" s="19">
        <f t="shared" si="12"/>
        <v>-0.22316054056614842</v>
      </c>
      <c r="Z34" s="19">
        <f t="shared" si="13"/>
        <v>0.33113916821629369</v>
      </c>
      <c r="AA34" s="19">
        <f t="shared" si="14"/>
        <v>-0.2563672799860664</v>
      </c>
      <c r="AB34" s="19">
        <f t="shared" si="15"/>
        <v>-0.24886402359049417</v>
      </c>
      <c r="AC34" s="19">
        <f t="shared" si="16"/>
        <v>-0.22185965463889443</v>
      </c>
      <c r="AD34" s="19">
        <f t="shared" si="17"/>
        <v>-9.9484319324435286E-2</v>
      </c>
      <c r="AE34" s="19">
        <f t="shared" si="18"/>
        <v>-0.44787835670883958</v>
      </c>
      <c r="AF34" s="19">
        <f t="shared" si="19"/>
        <v>-0.4030811990315557</v>
      </c>
      <c r="AG34" s="19">
        <f t="shared" si="20"/>
        <v>-0.36431288810125451</v>
      </c>
      <c r="AH34" s="19">
        <f t="shared" si="21"/>
        <v>-0.31612947838813799</v>
      </c>
      <c r="AI34" s="19">
        <f t="shared" si="22"/>
        <v>-2.3259879791901949E-3</v>
      </c>
      <c r="AJ34" s="19">
        <f t="shared" si="23"/>
        <v>-4.4281214184800787E-5</v>
      </c>
      <c r="AK34" s="19">
        <f t="shared" si="24"/>
        <v>-0.3424461984922641</v>
      </c>
      <c r="AL34" s="19">
        <f t="shared" si="25"/>
        <v>6.1245867386694151E-2</v>
      </c>
      <c r="AO34" s="35" t="s">
        <v>63</v>
      </c>
      <c r="AP34" s="35">
        <v>-0.19609436847929848</v>
      </c>
      <c r="AQ34" s="35">
        <v>0.96710957271882592</v>
      </c>
      <c r="AR34" s="35">
        <v>2.426466032647354E-2</v>
      </c>
      <c r="AS34" s="35">
        <v>0.90439004002691292</v>
      </c>
      <c r="AT34" s="35">
        <v>0.94623046361101415</v>
      </c>
      <c r="AU34" s="35">
        <v>-0.29354106820638065</v>
      </c>
      <c r="AV34" s="35">
        <v>0.89303403939317161</v>
      </c>
      <c r="AW34" s="35">
        <v>0.98887734179271169</v>
      </c>
      <c r="AX34" s="35">
        <f>VARP(PCA!$AF$26:$AF$405)</f>
        <v>0.99736842105263235</v>
      </c>
      <c r="AY34" s="35"/>
      <c r="AZ34" s="35"/>
      <c r="BA34" s="35"/>
      <c r="BB34" s="35"/>
      <c r="BC34" s="35"/>
      <c r="BD34" s="35"/>
      <c r="BG34" s="36" t="s">
        <v>88</v>
      </c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V34" s="16">
        <v>0</v>
      </c>
      <c r="BW34" s="18">
        <v>6</v>
      </c>
      <c r="BX34" s="48">
        <v>0.36715490926166217</v>
      </c>
      <c r="BY34" s="48">
        <v>-0.8195262988823141</v>
      </c>
      <c r="BZ34" s="18" t="e">
        <f t="shared" si="26"/>
        <v>#N/A</v>
      </c>
    </row>
    <row r="35" spans="1:78" x14ac:dyDescent="0.3">
      <c r="A35" s="19">
        <v>10</v>
      </c>
      <c r="B35" s="19">
        <v>0</v>
      </c>
      <c r="C35" s="19">
        <v>18</v>
      </c>
      <c r="D35" s="19">
        <v>85.896728344144194</v>
      </c>
      <c r="E35" s="22">
        <v>7569</v>
      </c>
      <c r="F35" s="22">
        <v>4166</v>
      </c>
      <c r="G35" s="23">
        <v>472</v>
      </c>
      <c r="H35" s="23">
        <v>2931</v>
      </c>
      <c r="I35" s="24">
        <v>20.9</v>
      </c>
      <c r="J35" s="24">
        <v>27.1</v>
      </c>
      <c r="K35" s="22">
        <v>4684</v>
      </c>
      <c r="L35" s="22">
        <v>17028</v>
      </c>
      <c r="M35" s="22">
        <v>5035</v>
      </c>
      <c r="N35" s="22">
        <v>2933</v>
      </c>
      <c r="O35" s="25">
        <v>3504.61</v>
      </c>
      <c r="P35" s="24">
        <v>84.4</v>
      </c>
      <c r="Q35" s="22">
        <v>934</v>
      </c>
      <c r="R35" s="23">
        <v>93</v>
      </c>
      <c r="U35" s="19">
        <v>10</v>
      </c>
      <c r="V35" s="19">
        <v>0</v>
      </c>
      <c r="W35" s="19">
        <v>18</v>
      </c>
      <c r="X35" s="19">
        <f t="shared" si="11"/>
        <v>0.86938690746960368</v>
      </c>
      <c r="Y35" s="19">
        <f t="shared" si="12"/>
        <v>-0.4144758769755672</v>
      </c>
      <c r="Z35" s="19">
        <f t="shared" si="13"/>
        <v>-0.38001962010726076</v>
      </c>
      <c r="AA35" s="19">
        <f t="shared" si="14"/>
        <v>-0.80051559543070161</v>
      </c>
      <c r="AB35" s="19">
        <f t="shared" si="15"/>
        <v>-0.27570607342613818</v>
      </c>
      <c r="AC35" s="19">
        <f t="shared" si="16"/>
        <v>1.6385442045712961</v>
      </c>
      <c r="AD35" s="19">
        <f t="shared" si="17"/>
        <v>-0.31471059301002557</v>
      </c>
      <c r="AE35" s="19">
        <f t="shared" si="18"/>
        <v>-0.69105370428933199</v>
      </c>
      <c r="AF35" s="19">
        <f t="shared" si="19"/>
        <v>-0.64609844023959762</v>
      </c>
      <c r="AG35" s="19">
        <f t="shared" si="20"/>
        <v>-0.54306520709590733</v>
      </c>
      <c r="AH35" s="19">
        <f t="shared" si="21"/>
        <v>-0.33469320044040912</v>
      </c>
      <c r="AI35" s="19">
        <f t="shared" si="22"/>
        <v>-5.62228089196899E-2</v>
      </c>
      <c r="AJ35" s="19">
        <f t="shared" si="23"/>
        <v>-5.8938296088140718E-2</v>
      </c>
      <c r="AK35" s="19">
        <f t="shared" si="24"/>
        <v>-0.42210517018364435</v>
      </c>
      <c r="AL35" s="19">
        <f t="shared" si="25"/>
        <v>-0.35311948875556176</v>
      </c>
      <c r="AO35" s="35" t="s">
        <v>64</v>
      </c>
      <c r="AP35" s="35">
        <v>-0.17944283371037992</v>
      </c>
      <c r="AQ35" s="35">
        <v>0.97355692041978326</v>
      </c>
      <c r="AR35" s="35">
        <v>-2.5510286949467591E-2</v>
      </c>
      <c r="AS35" s="35">
        <v>0.89380851264540473</v>
      </c>
      <c r="AT35" s="35">
        <v>0.96196745165596176</v>
      </c>
      <c r="AU35" s="35">
        <v>-0.27894475477447794</v>
      </c>
      <c r="AV35" s="35">
        <v>0.90263188294667374</v>
      </c>
      <c r="AW35" s="35">
        <v>0.96510328149308677</v>
      </c>
      <c r="AX35" s="35">
        <v>0.98705648024507098</v>
      </c>
      <c r="AY35" s="35">
        <f>VARP(PCA!$AG$26:$AG$405)</f>
        <v>0.99736842105263179</v>
      </c>
      <c r="AZ35" s="35"/>
      <c r="BA35" s="35"/>
      <c r="BB35" s="35"/>
      <c r="BC35" s="35"/>
      <c r="BD35" s="35"/>
      <c r="BG35" s="36" t="s">
        <v>89</v>
      </c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V35" s="16">
        <v>0</v>
      </c>
      <c r="BW35" s="18">
        <v>7</v>
      </c>
      <c r="BX35" s="48">
        <v>-0.41027255268158341</v>
      </c>
      <c r="BY35" s="48">
        <v>0.29765284553844279</v>
      </c>
      <c r="BZ35" s="18" t="e">
        <f t="shared" si="26"/>
        <v>#N/A</v>
      </c>
    </row>
    <row r="36" spans="1:78" x14ac:dyDescent="0.3">
      <c r="A36" s="19">
        <v>11</v>
      </c>
      <c r="B36" s="19">
        <v>0</v>
      </c>
      <c r="C36" s="19">
        <v>18</v>
      </c>
      <c r="D36" s="19">
        <v>43.722852925534802</v>
      </c>
      <c r="E36" s="22">
        <v>23530</v>
      </c>
      <c r="F36" s="22">
        <v>480</v>
      </c>
      <c r="G36" s="23">
        <v>10088</v>
      </c>
      <c r="H36" s="23">
        <v>12962</v>
      </c>
      <c r="I36" s="24">
        <v>5.9</v>
      </c>
      <c r="J36" s="24">
        <v>139.1</v>
      </c>
      <c r="K36" s="22">
        <v>7823</v>
      </c>
      <c r="L36" s="22">
        <v>28679</v>
      </c>
      <c r="M36" s="22">
        <v>10273</v>
      </c>
      <c r="N36" s="22">
        <v>5639</v>
      </c>
      <c r="O36" s="25">
        <v>3266.12</v>
      </c>
      <c r="P36" s="24">
        <v>78.7</v>
      </c>
      <c r="Q36" s="22">
        <v>18011</v>
      </c>
      <c r="R36" s="23">
        <v>0</v>
      </c>
      <c r="U36" s="19">
        <v>11</v>
      </c>
      <c r="V36" s="19">
        <v>0</v>
      </c>
      <c r="W36" s="19">
        <v>18</v>
      </c>
      <c r="X36" s="19">
        <f t="shared" si="11"/>
        <v>-0.43565420173542618</v>
      </c>
      <c r="Y36" s="19">
        <f t="shared" si="12"/>
        <v>-0.11536880630941643</v>
      </c>
      <c r="Z36" s="19">
        <f t="shared" si="13"/>
        <v>-1.0566668306804723</v>
      </c>
      <c r="AA36" s="19">
        <f t="shared" si="14"/>
        <v>0.22226200451371042</v>
      </c>
      <c r="AB36" s="19">
        <f t="shared" si="15"/>
        <v>-5.4826170307725734E-2</v>
      </c>
      <c r="AC36" s="19">
        <f t="shared" si="16"/>
        <v>-1.2090127227912404</v>
      </c>
      <c r="AD36" s="19">
        <f t="shared" si="17"/>
        <v>-0.22932149399200885</v>
      </c>
      <c r="AE36" s="19">
        <f t="shared" si="18"/>
        <v>-0.53011602432830185</v>
      </c>
      <c r="AF36" s="19">
        <f t="shared" si="19"/>
        <v>-0.48293392244354527</v>
      </c>
      <c r="AG36" s="19">
        <f t="shared" si="20"/>
        <v>-0.3507265368218746</v>
      </c>
      <c r="AH36" s="19">
        <f t="shared" si="21"/>
        <v>-0.2225650042943251</v>
      </c>
      <c r="AI36" s="19">
        <f t="shared" si="22"/>
        <v>-0.53963209158610348</v>
      </c>
      <c r="AJ36" s="19">
        <f t="shared" si="23"/>
        <v>-0.53850384577607546</v>
      </c>
      <c r="AK36" s="19">
        <f t="shared" si="24"/>
        <v>-3.9235409538077193E-2</v>
      </c>
      <c r="AL36" s="19">
        <f t="shared" si="25"/>
        <v>-0.40402566857224581</v>
      </c>
      <c r="AO36" s="35" t="s">
        <v>65</v>
      </c>
      <c r="AP36" s="35">
        <v>-0.12762288258883719</v>
      </c>
      <c r="AQ36" s="35">
        <v>0.98431667208785911</v>
      </c>
      <c r="AR36" s="35">
        <v>-6.9448090655349098E-2</v>
      </c>
      <c r="AS36" s="35">
        <v>0.85133122959309881</v>
      </c>
      <c r="AT36" s="35">
        <v>0.98867468481903475</v>
      </c>
      <c r="AU36" s="35">
        <v>-0.26278818069353993</v>
      </c>
      <c r="AV36" s="35">
        <v>0.950213804783274</v>
      </c>
      <c r="AW36" s="35">
        <v>0.95319854208105081</v>
      </c>
      <c r="AX36" s="35">
        <v>0.96200832877916165</v>
      </c>
      <c r="AY36" s="35">
        <v>0.96862755942687195</v>
      </c>
      <c r="AZ36" s="35">
        <f>VARP(PCA!$AH$26:$AH$405)</f>
        <v>0.99736842105263102</v>
      </c>
      <c r="BA36" s="35"/>
      <c r="BB36" s="35"/>
      <c r="BC36" s="35"/>
      <c r="BD36" s="35"/>
      <c r="BG36" s="36" t="s">
        <v>90</v>
      </c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V36" s="16">
        <v>0</v>
      </c>
      <c r="BW36" s="18">
        <v>8</v>
      </c>
      <c r="BX36" s="48">
        <v>1.5424431853955696</v>
      </c>
      <c r="BY36" s="48">
        <v>-1.6986550078231817</v>
      </c>
      <c r="BZ36" s="18" t="e">
        <f t="shared" si="26"/>
        <v>#N/A</v>
      </c>
    </row>
    <row r="37" spans="1:78" x14ac:dyDescent="0.3">
      <c r="A37" s="19">
        <v>12</v>
      </c>
      <c r="B37" s="19">
        <v>1</v>
      </c>
      <c r="C37" s="19">
        <v>18</v>
      </c>
      <c r="D37" s="19">
        <v>0</v>
      </c>
      <c r="E37" s="22">
        <v>86665</v>
      </c>
      <c r="F37" s="22">
        <v>3399</v>
      </c>
      <c r="G37" s="23">
        <v>21268</v>
      </c>
      <c r="H37" s="23">
        <v>61998</v>
      </c>
      <c r="I37" s="24">
        <v>7.3</v>
      </c>
      <c r="J37" s="24">
        <v>1086.5</v>
      </c>
      <c r="K37" s="22">
        <v>32900</v>
      </c>
      <c r="L37" s="22">
        <v>117746</v>
      </c>
      <c r="M37" s="22">
        <v>35250</v>
      </c>
      <c r="N37" s="22">
        <v>25648</v>
      </c>
      <c r="O37" s="25">
        <v>4231.8100000000004</v>
      </c>
      <c r="P37" s="24">
        <v>101.9</v>
      </c>
      <c r="Q37" s="22">
        <v>28763</v>
      </c>
      <c r="R37" s="23">
        <v>0</v>
      </c>
      <c r="U37" s="19">
        <v>12</v>
      </c>
      <c r="V37" s="19">
        <v>1</v>
      </c>
      <c r="W37" s="19">
        <v>18</v>
      </c>
      <c r="X37" s="19">
        <f t="shared" si="11"/>
        <v>-1.7886273376680637</v>
      </c>
      <c r="Y37" s="19">
        <f t="shared" si="12"/>
        <v>1.0677729082766014</v>
      </c>
      <c r="Z37" s="19">
        <f t="shared" si="13"/>
        <v>-0.52081951443977659</v>
      </c>
      <c r="AA37" s="19">
        <f t="shared" si="14"/>
        <v>1.4113898713376005</v>
      </c>
      <c r="AB37" s="19">
        <f t="shared" si="15"/>
        <v>1.0249332683638397</v>
      </c>
      <c r="AC37" s="19">
        <f t="shared" si="16"/>
        <v>-0.94324074290407034</v>
      </c>
      <c r="AD37" s="19">
        <f t="shared" si="17"/>
        <v>0.49297879538003592</v>
      </c>
      <c r="AE37" s="19">
        <f t="shared" si="18"/>
        <v>0.75559095253781861</v>
      </c>
      <c r="AF37" s="19">
        <f t="shared" si="19"/>
        <v>0.7643902648829497</v>
      </c>
      <c r="AG37" s="19">
        <f t="shared" si="20"/>
        <v>0.56642561427291682</v>
      </c>
      <c r="AH37" s="19">
        <f t="shared" si="21"/>
        <v>0.60654551924114986</v>
      </c>
      <c r="AI37" s="19">
        <f t="shared" si="22"/>
        <v>1.4177812598253969</v>
      </c>
      <c r="AJ37" s="19">
        <f t="shared" si="23"/>
        <v>1.4134120757607811</v>
      </c>
      <c r="AK37" s="19">
        <f t="shared" si="24"/>
        <v>0.20182658416463042</v>
      </c>
      <c r="AL37" s="19">
        <f t="shared" si="25"/>
        <v>-0.40402566857224581</v>
      </c>
      <c r="AO37" s="35" t="s">
        <v>66</v>
      </c>
      <c r="AP37" s="35">
        <v>-0.18505229868463888</v>
      </c>
      <c r="AQ37" s="35">
        <v>0.39139963704803477</v>
      </c>
      <c r="AR37" s="35">
        <v>-0.2856936167227615</v>
      </c>
      <c r="AS37" s="35">
        <v>0.49283884230173641</v>
      </c>
      <c r="AT37" s="35">
        <v>0.39214133454609085</v>
      </c>
      <c r="AU37" s="35">
        <v>-0.3747119787366226</v>
      </c>
      <c r="AV37" s="35">
        <v>0.42875015353293539</v>
      </c>
      <c r="AW37" s="35">
        <v>0.3691131231925725</v>
      </c>
      <c r="AX37" s="35">
        <v>0.39454028993436524</v>
      </c>
      <c r="AY37" s="35">
        <v>0.40389363077753659</v>
      </c>
      <c r="AZ37" s="35">
        <v>0.3895145767843004</v>
      </c>
      <c r="BA37" s="35">
        <f>VARP(PCA!$AI$26:$AI$405)</f>
        <v>0.99736842105269929</v>
      </c>
      <c r="BB37" s="35"/>
      <c r="BC37" s="35"/>
      <c r="BD37" s="35"/>
      <c r="BG37" s="36" t="s">
        <v>91</v>
      </c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V37" s="16">
        <v>0</v>
      </c>
      <c r="BW37" s="18">
        <v>9</v>
      </c>
      <c r="BX37" s="48">
        <v>0.83813374790257189</v>
      </c>
      <c r="BY37" s="48">
        <v>0.22650696598857767</v>
      </c>
      <c r="BZ37" s="18" t="e">
        <f t="shared" si="26"/>
        <v>#N/A</v>
      </c>
    </row>
    <row r="38" spans="1:78" x14ac:dyDescent="0.3">
      <c r="A38" s="19">
        <v>13</v>
      </c>
      <c r="B38" s="19">
        <v>0</v>
      </c>
      <c r="C38" s="19">
        <v>18</v>
      </c>
      <c r="D38" s="19">
        <v>64.670839478874896</v>
      </c>
      <c r="E38" s="22">
        <v>18401</v>
      </c>
      <c r="F38" s="22">
        <v>1399</v>
      </c>
      <c r="G38" s="23">
        <v>3619</v>
      </c>
      <c r="H38" s="23">
        <v>13383</v>
      </c>
      <c r="I38" s="24">
        <v>14.9</v>
      </c>
      <c r="J38" s="24">
        <v>31.9</v>
      </c>
      <c r="K38" s="22">
        <v>10165</v>
      </c>
      <c r="L38" s="22">
        <v>38777</v>
      </c>
      <c r="M38" s="22">
        <v>13778</v>
      </c>
      <c r="N38" s="22">
        <v>6262</v>
      </c>
      <c r="O38" s="25">
        <v>3501.18</v>
      </c>
      <c r="P38" s="24">
        <v>84.3</v>
      </c>
      <c r="Q38" s="22">
        <v>13113</v>
      </c>
      <c r="R38" s="23">
        <v>0</v>
      </c>
      <c r="U38" s="19">
        <v>13</v>
      </c>
      <c r="V38" s="19">
        <v>0</v>
      </c>
      <c r="W38" s="19">
        <v>18</v>
      </c>
      <c r="X38" s="19">
        <f t="shared" si="11"/>
        <v>0.21256660642677588</v>
      </c>
      <c r="Y38" s="19">
        <f t="shared" si="12"/>
        <v>-0.21148560133771588</v>
      </c>
      <c r="Z38" s="19">
        <f t="shared" si="13"/>
        <v>-0.88796395859236021</v>
      </c>
      <c r="AA38" s="19">
        <f t="shared" si="14"/>
        <v>-0.46579418247052434</v>
      </c>
      <c r="AB38" s="19">
        <f t="shared" si="15"/>
        <v>-4.5555864334956161E-2</v>
      </c>
      <c r="AC38" s="19">
        <f t="shared" si="16"/>
        <v>0.49952143362628171</v>
      </c>
      <c r="AD38" s="19">
        <f t="shared" si="17"/>
        <v>-0.31105106019496775</v>
      </c>
      <c r="AE38" s="19">
        <f t="shared" si="18"/>
        <v>-0.41004082634527145</v>
      </c>
      <c r="AF38" s="19">
        <f t="shared" si="19"/>
        <v>-0.34151813833020422</v>
      </c>
      <c r="AG38" s="19">
        <f t="shared" si="20"/>
        <v>-0.22202339835099161</v>
      </c>
      <c r="AH38" s="19">
        <f t="shared" si="21"/>
        <v>-0.19674982831538557</v>
      </c>
      <c r="AI38" s="19">
        <f t="shared" si="22"/>
        <v>-6.3175275855603091E-2</v>
      </c>
      <c r="AJ38" s="19">
        <f t="shared" si="23"/>
        <v>-6.7351726784420987E-2</v>
      </c>
      <c r="AK38" s="19">
        <f t="shared" si="24"/>
        <v>-0.14904955064260303</v>
      </c>
      <c r="AL38" s="19">
        <f t="shared" si="25"/>
        <v>-0.40402566857224581</v>
      </c>
      <c r="AO38" s="35" t="s">
        <v>67</v>
      </c>
      <c r="AP38" s="35">
        <v>-0.18497237118295912</v>
      </c>
      <c r="AQ38" s="35">
        <v>0.39157040037137625</v>
      </c>
      <c r="AR38" s="35">
        <v>-0.28575055182725939</v>
      </c>
      <c r="AS38" s="35">
        <v>0.49299426985629147</v>
      </c>
      <c r="AT38" s="35">
        <v>0.39231663679858797</v>
      </c>
      <c r="AU38" s="35">
        <v>-0.37472163941649661</v>
      </c>
      <c r="AV38" s="35">
        <v>0.42891775608562244</v>
      </c>
      <c r="AW38" s="35">
        <v>0.36929710140115773</v>
      </c>
      <c r="AX38" s="35">
        <v>0.39472421050625062</v>
      </c>
      <c r="AY38" s="35">
        <v>0.40406644666288766</v>
      </c>
      <c r="AZ38" s="35">
        <v>0.38969612627571487</v>
      </c>
      <c r="BA38" s="35">
        <v>0.9973655354873231</v>
      </c>
      <c r="BB38" s="35">
        <f>VARP(PCA!$AJ$26:$AJ$405)</f>
        <v>0.99736842105259205</v>
      </c>
      <c r="BC38" s="35"/>
      <c r="BD38" s="35"/>
      <c r="BG38" s="36" t="s">
        <v>92</v>
      </c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V38" s="16">
        <v>0</v>
      </c>
      <c r="BW38" s="18">
        <v>10</v>
      </c>
      <c r="BX38" s="48">
        <v>1.6873662981164899</v>
      </c>
      <c r="BY38" s="48">
        <v>-0.24084505481833479</v>
      </c>
      <c r="BZ38" s="18" t="e">
        <f t="shared" si="26"/>
        <v>#N/A</v>
      </c>
    </row>
    <row r="39" spans="1:78" x14ac:dyDescent="0.3">
      <c r="A39" s="19">
        <v>14</v>
      </c>
      <c r="B39" s="19">
        <v>0</v>
      </c>
      <c r="C39" s="19">
        <v>18</v>
      </c>
      <c r="D39" s="19">
        <v>60.9609778396594</v>
      </c>
      <c r="E39" s="22">
        <v>12035</v>
      </c>
      <c r="F39" s="22">
        <v>1798</v>
      </c>
      <c r="G39" s="23">
        <v>2352</v>
      </c>
      <c r="H39" s="23">
        <v>7885</v>
      </c>
      <c r="I39" s="24">
        <v>13.3</v>
      </c>
      <c r="J39" s="24">
        <v>50.8</v>
      </c>
      <c r="K39" s="22">
        <v>7605</v>
      </c>
      <c r="L39" s="22">
        <v>29868</v>
      </c>
      <c r="M39" s="22">
        <v>10343</v>
      </c>
      <c r="N39" s="22">
        <v>4912</v>
      </c>
      <c r="O39" s="25">
        <v>3284.02</v>
      </c>
      <c r="P39" s="24">
        <v>79.099999999999994</v>
      </c>
      <c r="Q39" s="22">
        <v>19264</v>
      </c>
      <c r="R39" s="23">
        <v>0</v>
      </c>
      <c r="U39" s="19">
        <v>14</v>
      </c>
      <c r="V39" s="19">
        <v>0</v>
      </c>
      <c r="W39" s="19">
        <v>18</v>
      </c>
      <c r="X39" s="19">
        <f t="shared" si="11"/>
        <v>9.7767529970486045E-2</v>
      </c>
      <c r="Y39" s="19">
        <f t="shared" si="12"/>
        <v>-0.33078361598972489</v>
      </c>
      <c r="Z39" s="19">
        <f t="shared" si="13"/>
        <v>-0.81471864198391974</v>
      </c>
      <c r="AA39" s="19">
        <f t="shared" si="14"/>
        <v>-0.60055491657301707</v>
      </c>
      <c r="AB39" s="19">
        <f t="shared" si="15"/>
        <v>-0.16662033520974745</v>
      </c>
      <c r="AC39" s="19">
        <f t="shared" si="16"/>
        <v>0.19578202804094449</v>
      </c>
      <c r="AD39" s="19">
        <f t="shared" si="17"/>
        <v>-0.29664164973567736</v>
      </c>
      <c r="AE39" s="19">
        <f t="shared" si="18"/>
        <v>-0.54129296419179496</v>
      </c>
      <c r="AF39" s="19">
        <f t="shared" si="19"/>
        <v>-0.46628276703546817</v>
      </c>
      <c r="AG39" s="19">
        <f t="shared" si="20"/>
        <v>-0.34815614603928918</v>
      </c>
      <c r="AH39" s="19">
        <f t="shared" si="21"/>
        <v>-0.25268961574968468</v>
      </c>
      <c r="AI39" s="19">
        <f t="shared" si="22"/>
        <v>-0.50334953818877515</v>
      </c>
      <c r="AJ39" s="19">
        <f t="shared" si="23"/>
        <v>-0.50485012299095799</v>
      </c>
      <c r="AK39" s="19">
        <f t="shared" si="24"/>
        <v>-1.1142898553191342E-2</v>
      </c>
      <c r="AL39" s="19">
        <f t="shared" si="25"/>
        <v>-0.40402566857224581</v>
      </c>
      <c r="AO39" s="35" t="s">
        <v>68</v>
      </c>
      <c r="AP39" s="35">
        <v>-0.18905873126692721</v>
      </c>
      <c r="AQ39" s="35">
        <v>0.89035705887665395</v>
      </c>
      <c r="AR39" s="35">
        <v>-0.21953623404552089</v>
      </c>
      <c r="AS39" s="35">
        <v>0.83344536618056975</v>
      </c>
      <c r="AT39" s="35">
        <v>0.89997633804236887</v>
      </c>
      <c r="AU39" s="35">
        <v>-0.30102765910684914</v>
      </c>
      <c r="AV39" s="35">
        <v>0.83797875356622475</v>
      </c>
      <c r="AW39" s="35">
        <v>0.84865134892666561</v>
      </c>
      <c r="AX39" s="35">
        <v>0.87877083218537</v>
      </c>
      <c r="AY39" s="35">
        <v>0.89250482753429461</v>
      </c>
      <c r="AZ39" s="35">
        <v>0.89519210326322363</v>
      </c>
      <c r="BA39" s="35">
        <v>0.47158394340913057</v>
      </c>
      <c r="BB39" s="35">
        <v>0.47180280072625425</v>
      </c>
      <c r="BC39" s="35">
        <f>VARP(PCA!$AK$26:$AK$405)</f>
        <v>0.99736842105263135</v>
      </c>
      <c r="BD39" s="35"/>
      <c r="BG39" s="36" t="s">
        <v>93</v>
      </c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V39" s="16">
        <v>0</v>
      </c>
      <c r="BW39" s="18">
        <v>11</v>
      </c>
      <c r="BX39" s="48">
        <v>0.55700663154665542</v>
      </c>
      <c r="BY39" s="48">
        <v>0.44102228390281994</v>
      </c>
      <c r="BZ39" s="18" t="e">
        <f t="shared" si="26"/>
        <v>#N/A</v>
      </c>
    </row>
    <row r="40" spans="1:78" x14ac:dyDescent="0.3">
      <c r="A40" s="19">
        <v>15</v>
      </c>
      <c r="B40" s="19">
        <v>0</v>
      </c>
      <c r="C40" s="19">
        <v>14</v>
      </c>
      <c r="D40" s="19">
        <v>123.122971995491</v>
      </c>
      <c r="E40" s="22">
        <v>15694</v>
      </c>
      <c r="F40" s="22">
        <v>8236</v>
      </c>
      <c r="G40" s="23">
        <v>2470</v>
      </c>
      <c r="H40" s="23">
        <v>4988</v>
      </c>
      <c r="I40" s="24">
        <v>13.8</v>
      </c>
      <c r="J40" s="24">
        <v>65</v>
      </c>
      <c r="K40" s="22">
        <v>10766</v>
      </c>
      <c r="L40" s="22">
        <v>33010</v>
      </c>
      <c r="M40" s="22">
        <v>9477</v>
      </c>
      <c r="N40" s="22">
        <v>3611</v>
      </c>
      <c r="O40" s="25">
        <v>3485.56</v>
      </c>
      <c r="P40" s="24">
        <v>84</v>
      </c>
      <c r="Q40" s="22">
        <v>8722</v>
      </c>
      <c r="R40" s="23">
        <v>513</v>
      </c>
      <c r="U40" s="19">
        <v>15</v>
      </c>
      <c r="V40" s="19">
        <v>0</v>
      </c>
      <c r="W40" s="19">
        <v>14</v>
      </c>
      <c r="X40" s="19">
        <f t="shared" si="11"/>
        <v>2.0213270083988495</v>
      </c>
      <c r="Y40" s="19">
        <f t="shared" si="12"/>
        <v>-0.26221443037682807</v>
      </c>
      <c r="Z40" s="19">
        <f t="shared" si="13"/>
        <v>0.36711932374324691</v>
      </c>
      <c r="AA40" s="19">
        <f t="shared" si="14"/>
        <v>-0.58800419311280072</v>
      </c>
      <c r="AB40" s="19">
        <f t="shared" si="15"/>
        <v>-0.23041149056156091</v>
      </c>
      <c r="AC40" s="19">
        <f t="shared" si="16"/>
        <v>0.29070059228636241</v>
      </c>
      <c r="AD40" s="19">
        <f t="shared" si="17"/>
        <v>-0.28581553182446456</v>
      </c>
      <c r="AE40" s="19">
        <f t="shared" si="18"/>
        <v>-0.37922733617114623</v>
      </c>
      <c r="AF40" s="19">
        <f t="shared" si="19"/>
        <v>-0.4222811435769499</v>
      </c>
      <c r="AG40" s="19">
        <f t="shared" si="20"/>
        <v>-0.37995555200670278</v>
      </c>
      <c r="AH40" s="19">
        <f t="shared" si="21"/>
        <v>-0.30659899608451668</v>
      </c>
      <c r="AI40" s="19">
        <f t="shared" si="22"/>
        <v>-9.4836364350925004E-2</v>
      </c>
      <c r="AJ40" s="19">
        <f t="shared" si="23"/>
        <v>-9.2592018873259407E-2</v>
      </c>
      <c r="AK40" s="19">
        <f t="shared" si="24"/>
        <v>-0.24749665019139294</v>
      </c>
      <c r="AL40" s="19">
        <f t="shared" si="25"/>
        <v>-0.12322061216408556</v>
      </c>
      <c r="AO40" s="35" t="s">
        <v>69</v>
      </c>
      <c r="AP40" s="35">
        <v>-8.3587772393951057E-2</v>
      </c>
      <c r="AQ40" s="35">
        <v>-2.7142446300632755E-2</v>
      </c>
      <c r="AR40" s="35">
        <v>3.7272939767071437E-4</v>
      </c>
      <c r="AS40" s="35">
        <v>4.1294244411881738E-2</v>
      </c>
      <c r="AT40" s="35">
        <v>-4.0486625033846591E-2</v>
      </c>
      <c r="AU40" s="35">
        <v>-0.15724017745308821</v>
      </c>
      <c r="AV40" s="35">
        <v>-1.0796899813252294E-2</v>
      </c>
      <c r="AW40" s="35">
        <v>2.3090635667972453E-2</v>
      </c>
      <c r="AX40" s="35">
        <v>-1.0752193297399331E-2</v>
      </c>
      <c r="AY40" s="35">
        <v>-4.8535065040760689E-2</v>
      </c>
      <c r="AZ40" s="35">
        <v>-1.3433613126857199E-2</v>
      </c>
      <c r="BA40" s="35">
        <v>1.2047116832944755E-2</v>
      </c>
      <c r="BB40" s="35">
        <v>1.2012259271084623E-2</v>
      </c>
      <c r="BC40" s="35">
        <v>-7.393370360103052E-2</v>
      </c>
      <c r="BD40" s="35">
        <f>VARP(PCA!$AL$26:$AL$405)</f>
        <v>0.99736842105263424</v>
      </c>
      <c r="BG40" s="36" t="s">
        <v>94</v>
      </c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V40" s="16">
        <v>1</v>
      </c>
      <c r="BW40" s="18">
        <v>12</v>
      </c>
      <c r="BX40" s="48">
        <v>-2.9696663251610462</v>
      </c>
      <c r="BY40" s="48">
        <v>1.7412802087504518</v>
      </c>
      <c r="BZ40" s="18">
        <f t="shared" si="26"/>
        <v>1.7412802087504518</v>
      </c>
    </row>
    <row r="41" spans="1:78" x14ac:dyDescent="0.3">
      <c r="A41" s="19">
        <v>16</v>
      </c>
      <c r="B41" s="19">
        <v>0</v>
      </c>
      <c r="C41" s="19">
        <v>14</v>
      </c>
      <c r="D41" s="19">
        <v>35.032622127009397</v>
      </c>
      <c r="E41" s="22">
        <v>17266</v>
      </c>
      <c r="F41" s="22">
        <v>3731</v>
      </c>
      <c r="G41" s="23">
        <v>3930</v>
      </c>
      <c r="H41" s="23">
        <v>9605</v>
      </c>
      <c r="I41" s="24">
        <v>13.9</v>
      </c>
      <c r="J41" s="24">
        <v>410.2</v>
      </c>
      <c r="K41" s="22">
        <v>14250</v>
      </c>
      <c r="L41" s="22">
        <v>46644</v>
      </c>
      <c r="M41" s="22">
        <v>15244</v>
      </c>
      <c r="N41" s="22">
        <v>8432</v>
      </c>
      <c r="O41" s="25">
        <v>4003.47</v>
      </c>
      <c r="P41" s="24">
        <v>96.4</v>
      </c>
      <c r="Q41" s="22">
        <v>7913</v>
      </c>
      <c r="R41" s="23">
        <v>2274</v>
      </c>
      <c r="U41" s="19">
        <v>16</v>
      </c>
      <c r="V41" s="19">
        <v>0</v>
      </c>
      <c r="W41" s="19">
        <v>14</v>
      </c>
      <c r="X41" s="19">
        <f t="shared" si="11"/>
        <v>-0.7045673221917691</v>
      </c>
      <c r="Y41" s="19">
        <f t="shared" si="12"/>
        <v>-0.23275535418566282</v>
      </c>
      <c r="Z41" s="19">
        <f t="shared" si="13"/>
        <v>-0.45987353671044773</v>
      </c>
      <c r="AA41" s="19">
        <f t="shared" si="14"/>
        <v>-0.43271558080842865</v>
      </c>
      <c r="AB41" s="19">
        <f t="shared" si="15"/>
        <v>-0.12874640106921617</v>
      </c>
      <c r="AC41" s="19">
        <f t="shared" si="16"/>
        <v>0.30968430513544593</v>
      </c>
      <c r="AD41" s="19">
        <f t="shared" si="17"/>
        <v>-2.2634130208220249E-2</v>
      </c>
      <c r="AE41" s="19">
        <f t="shared" si="18"/>
        <v>-0.20060137982064324</v>
      </c>
      <c r="AF41" s="19">
        <f t="shared" si="19"/>
        <v>-0.23134602765287665</v>
      </c>
      <c r="AG41" s="19">
        <f t="shared" si="20"/>
        <v>-0.16819207138998893</v>
      </c>
      <c r="AH41" s="19">
        <f t="shared" si="21"/>
        <v>-0.10683179962469735</v>
      </c>
      <c r="AI41" s="19">
        <f t="shared" si="22"/>
        <v>0.95494560380607085</v>
      </c>
      <c r="AJ41" s="19">
        <f t="shared" si="23"/>
        <v>0.95067338746540564</v>
      </c>
      <c r="AK41" s="19">
        <f t="shared" si="24"/>
        <v>-0.26563459223989466</v>
      </c>
      <c r="AL41" s="19">
        <f t="shared" si="25"/>
        <v>0.84071253468731821</v>
      </c>
      <c r="BG41" s="36" t="s">
        <v>95</v>
      </c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V41" s="16">
        <v>0</v>
      </c>
      <c r="BW41" s="18">
        <v>13</v>
      </c>
      <c r="BX41" s="48">
        <v>0.81804953193592678</v>
      </c>
      <c r="BY41" s="48">
        <v>0.21631378821039687</v>
      </c>
      <c r="BZ41" s="18" t="e">
        <f t="shared" si="26"/>
        <v>#N/A</v>
      </c>
    </row>
    <row r="42" spans="1:78" x14ac:dyDescent="0.3">
      <c r="A42" s="19">
        <v>17</v>
      </c>
      <c r="B42" s="19">
        <v>0</v>
      </c>
      <c r="C42" s="19">
        <v>14</v>
      </c>
      <c r="D42" s="19">
        <v>106.924236459361</v>
      </c>
      <c r="E42" s="22">
        <v>16647</v>
      </c>
      <c r="F42" s="22">
        <v>629</v>
      </c>
      <c r="G42" s="23">
        <v>5676</v>
      </c>
      <c r="H42" s="23">
        <v>10342</v>
      </c>
      <c r="I42" s="24">
        <v>13.3</v>
      </c>
      <c r="J42" s="24">
        <v>426.6</v>
      </c>
      <c r="K42" s="22">
        <v>9629</v>
      </c>
      <c r="L42" s="22">
        <v>33322</v>
      </c>
      <c r="M42" s="22">
        <v>9620</v>
      </c>
      <c r="N42" s="22">
        <v>5960</v>
      </c>
      <c r="O42" s="25">
        <v>4108.75</v>
      </c>
      <c r="P42" s="24">
        <v>99</v>
      </c>
      <c r="Q42" s="22">
        <v>32287</v>
      </c>
      <c r="R42" s="23">
        <v>0</v>
      </c>
      <c r="U42" s="19">
        <v>17</v>
      </c>
      <c r="V42" s="19">
        <v>0</v>
      </c>
      <c r="W42" s="19">
        <v>14</v>
      </c>
      <c r="X42" s="19">
        <f t="shared" si="11"/>
        <v>1.5200684548047465</v>
      </c>
      <c r="Y42" s="19">
        <f t="shared" si="12"/>
        <v>-0.2443553339326929</v>
      </c>
      <c r="Z42" s="19">
        <f t="shared" si="13"/>
        <v>-1.029314569591105</v>
      </c>
      <c r="AA42" s="19">
        <f t="shared" si="14"/>
        <v>-0.24700741842251522</v>
      </c>
      <c r="AB42" s="19">
        <f t="shared" si="15"/>
        <v>-0.11251786068458154</v>
      </c>
      <c r="AC42" s="19">
        <f t="shared" si="16"/>
        <v>0.19578202804094449</v>
      </c>
      <c r="AD42" s="19">
        <f t="shared" si="17"/>
        <v>-1.0130726423439205E-2</v>
      </c>
      <c r="AE42" s="19">
        <f t="shared" si="18"/>
        <v>-0.43752174270688732</v>
      </c>
      <c r="AF42" s="19">
        <f t="shared" si="19"/>
        <v>-0.41791179077012058</v>
      </c>
      <c r="AG42" s="19">
        <f t="shared" si="20"/>
        <v>-0.37470461083656403</v>
      </c>
      <c r="AH42" s="19">
        <f t="shared" si="21"/>
        <v>-0.20926376594883619</v>
      </c>
      <c r="AI42" s="19">
        <f t="shared" si="22"/>
        <v>1.1683437726144907</v>
      </c>
      <c r="AJ42" s="19">
        <f t="shared" si="23"/>
        <v>1.1694225855686735</v>
      </c>
      <c r="AK42" s="19">
        <f t="shared" si="24"/>
        <v>0.28083537004710268</v>
      </c>
      <c r="AL42" s="19">
        <f t="shared" si="25"/>
        <v>-0.40402566857224581</v>
      </c>
      <c r="BG42" s="36" t="s">
        <v>96</v>
      </c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V42" s="16">
        <v>0</v>
      </c>
      <c r="BW42" s="18">
        <v>14</v>
      </c>
      <c r="BX42" s="48">
        <v>1.1457277124701928</v>
      </c>
      <c r="BY42" s="48">
        <v>-0.10774420806258413</v>
      </c>
      <c r="BZ42" s="18" t="e">
        <f t="shared" si="26"/>
        <v>#N/A</v>
      </c>
    </row>
    <row r="43" spans="1:78" x14ac:dyDescent="0.3">
      <c r="A43" s="19">
        <v>18</v>
      </c>
      <c r="B43" s="19">
        <v>0</v>
      </c>
      <c r="C43" s="19">
        <v>14</v>
      </c>
      <c r="D43" s="19">
        <v>88.700186389566994</v>
      </c>
      <c r="E43" s="22">
        <v>10129</v>
      </c>
      <c r="F43" s="22">
        <v>6560</v>
      </c>
      <c r="G43" s="23">
        <v>1084</v>
      </c>
      <c r="H43" s="23">
        <v>2485</v>
      </c>
      <c r="I43" s="24">
        <v>10.9</v>
      </c>
      <c r="J43" s="24">
        <v>12.4</v>
      </c>
      <c r="K43" s="22">
        <v>6902</v>
      </c>
      <c r="L43" s="22">
        <v>20939</v>
      </c>
      <c r="M43" s="22">
        <v>5728</v>
      </c>
      <c r="N43" s="22">
        <v>2737</v>
      </c>
      <c r="O43" s="25">
        <v>3501.61</v>
      </c>
      <c r="P43" s="24">
        <v>84.4</v>
      </c>
      <c r="Q43" s="22">
        <v>3400</v>
      </c>
      <c r="R43" s="23">
        <v>100</v>
      </c>
      <c r="U43" s="19">
        <v>18</v>
      </c>
      <c r="V43" s="19">
        <v>0</v>
      </c>
      <c r="W43" s="19">
        <v>14</v>
      </c>
      <c r="X43" s="19">
        <f t="shared" si="11"/>
        <v>0.95613795799302681</v>
      </c>
      <c r="Y43" s="19">
        <f t="shared" si="12"/>
        <v>-0.36650180887799527</v>
      </c>
      <c r="Z43" s="19">
        <f t="shared" si="13"/>
        <v>5.9452279543381822E-2</v>
      </c>
      <c r="AA43" s="19">
        <f t="shared" si="14"/>
        <v>-0.73542201273873198</v>
      </c>
      <c r="AB43" s="19">
        <f t="shared" si="15"/>
        <v>-0.28552687262769455</v>
      </c>
      <c r="AC43" s="19">
        <f t="shared" si="16"/>
        <v>-0.25982708033706142</v>
      </c>
      <c r="AD43" s="19">
        <f t="shared" si="17"/>
        <v>-0.32591791225614025</v>
      </c>
      <c r="AE43" s="19">
        <f t="shared" si="18"/>
        <v>-0.57733603173324255</v>
      </c>
      <c r="AF43" s="19">
        <f t="shared" si="19"/>
        <v>-0.59132748245911859</v>
      </c>
      <c r="AG43" s="19">
        <f t="shared" si="20"/>
        <v>-0.51761833834831195</v>
      </c>
      <c r="AH43" s="19">
        <f t="shared" si="21"/>
        <v>-0.34281482883827774</v>
      </c>
      <c r="AI43" s="19">
        <f t="shared" si="22"/>
        <v>-6.2303683790750491E-2</v>
      </c>
      <c r="AJ43" s="19">
        <f t="shared" si="23"/>
        <v>-5.8938296088140718E-2</v>
      </c>
      <c r="AK43" s="19">
        <f t="shared" si="24"/>
        <v>-0.36681695622615951</v>
      </c>
      <c r="AL43" s="19">
        <f t="shared" si="25"/>
        <v>-0.34928784081237052</v>
      </c>
      <c r="BG43" s="36" t="s">
        <v>97</v>
      </c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V43" s="16">
        <v>0</v>
      </c>
      <c r="BW43" s="18">
        <v>15</v>
      </c>
      <c r="BX43" s="48">
        <v>1.2114293807879746</v>
      </c>
      <c r="BY43" s="48">
        <v>-0.46138224236687714</v>
      </c>
      <c r="BZ43" s="18" t="e">
        <f t="shared" si="26"/>
        <v>#N/A</v>
      </c>
    </row>
    <row r="44" spans="1:78" x14ac:dyDescent="0.3">
      <c r="A44" s="19">
        <v>19</v>
      </c>
      <c r="B44" s="19">
        <v>0</v>
      </c>
      <c r="C44" s="19">
        <v>14</v>
      </c>
      <c r="D44" s="19">
        <v>29.047302214360698</v>
      </c>
      <c r="E44" s="22">
        <v>11698</v>
      </c>
      <c r="F44" s="22">
        <v>4748</v>
      </c>
      <c r="G44" s="23">
        <v>2216</v>
      </c>
      <c r="H44" s="23">
        <v>4734</v>
      </c>
      <c r="I44" s="24">
        <v>18.7</v>
      </c>
      <c r="J44" s="24">
        <v>44.9</v>
      </c>
      <c r="K44" s="22">
        <v>7907</v>
      </c>
      <c r="L44" s="22">
        <v>28732</v>
      </c>
      <c r="M44" s="22">
        <v>9353</v>
      </c>
      <c r="N44" s="22">
        <v>3423</v>
      </c>
      <c r="O44" s="25">
        <v>3270.47</v>
      </c>
      <c r="P44" s="24">
        <v>78.8</v>
      </c>
      <c r="Q44" s="22">
        <v>3798</v>
      </c>
      <c r="R44" s="23">
        <v>0</v>
      </c>
      <c r="U44" s="19">
        <v>19</v>
      </c>
      <c r="V44" s="19">
        <v>0</v>
      </c>
      <c r="W44" s="19">
        <v>14</v>
      </c>
      <c r="X44" s="19">
        <f t="shared" si="11"/>
        <v>-0.88977886512489346</v>
      </c>
      <c r="Y44" s="19">
        <f t="shared" si="12"/>
        <v>-0.33709895229788184</v>
      </c>
      <c r="Z44" s="19">
        <f t="shared" si="13"/>
        <v>-0.27318058685885893</v>
      </c>
      <c r="AA44" s="19">
        <f t="shared" si="14"/>
        <v>-0.61502015717123248</v>
      </c>
      <c r="AB44" s="19">
        <f t="shared" si="15"/>
        <v>-0.23600450176603471</v>
      </c>
      <c r="AC44" s="19">
        <f t="shared" si="16"/>
        <v>1.2209025218914575</v>
      </c>
      <c r="AD44" s="19">
        <f t="shared" si="17"/>
        <v>-0.30113982548751939</v>
      </c>
      <c r="AE44" s="19">
        <f t="shared" si="18"/>
        <v>-0.52580931355521288</v>
      </c>
      <c r="AF44" s="19">
        <f t="shared" si="19"/>
        <v>-0.48219169263982109</v>
      </c>
      <c r="AG44" s="19">
        <f t="shared" si="20"/>
        <v>-0.3845088156787112</v>
      </c>
      <c r="AH44" s="19">
        <f t="shared" si="21"/>
        <v>-0.3143891294457376</v>
      </c>
      <c r="AI44" s="19">
        <f t="shared" si="22"/>
        <v>-0.53081482302306582</v>
      </c>
      <c r="AJ44" s="19">
        <f t="shared" si="23"/>
        <v>-0.53009041507979637</v>
      </c>
      <c r="AK44" s="19">
        <f t="shared" si="24"/>
        <v>-0.35789371650390522</v>
      </c>
      <c r="AL44" s="19">
        <f t="shared" si="25"/>
        <v>-0.40402566857224581</v>
      </c>
      <c r="BG44" s="36" t="s">
        <v>98</v>
      </c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V44" s="16">
        <v>0</v>
      </c>
      <c r="BW44" s="18">
        <v>16</v>
      </c>
      <c r="BX44" s="48">
        <v>0.2011400928440524</v>
      </c>
      <c r="BY44" s="48">
        <v>1.4811505513549239</v>
      </c>
      <c r="BZ44" s="18" t="e">
        <f t="shared" si="26"/>
        <v>#N/A</v>
      </c>
    </row>
    <row r="45" spans="1:78" x14ac:dyDescent="0.3">
      <c r="A45" s="19">
        <v>20</v>
      </c>
      <c r="B45" s="19">
        <v>0</v>
      </c>
      <c r="C45" s="19">
        <v>14</v>
      </c>
      <c r="D45" s="19">
        <v>25.383758757694899</v>
      </c>
      <c r="E45" s="22">
        <v>12504</v>
      </c>
      <c r="F45" s="22">
        <v>8543</v>
      </c>
      <c r="G45" s="23">
        <v>1104</v>
      </c>
      <c r="H45" s="23">
        <v>2857</v>
      </c>
      <c r="I45" s="24">
        <v>10.1</v>
      </c>
      <c r="J45" s="24">
        <v>21</v>
      </c>
      <c r="K45" s="22">
        <v>5831</v>
      </c>
      <c r="L45" s="22">
        <v>19378</v>
      </c>
      <c r="M45" s="22">
        <v>6566</v>
      </c>
      <c r="N45" s="22">
        <v>2308</v>
      </c>
      <c r="O45" s="25">
        <v>3373.06</v>
      </c>
      <c r="P45" s="24">
        <v>81.3</v>
      </c>
      <c r="Q45" s="22">
        <v>1245</v>
      </c>
      <c r="R45" s="23">
        <v>346</v>
      </c>
      <c r="U45" s="19">
        <v>20</v>
      </c>
      <c r="V45" s="19">
        <v>0</v>
      </c>
      <c r="W45" s="19">
        <v>14</v>
      </c>
      <c r="X45" s="19">
        <f t="shared" si="11"/>
        <v>-1.0031446577833101</v>
      </c>
      <c r="Y45" s="19">
        <f t="shared" si="12"/>
        <v>-0.3219946167952869</v>
      </c>
      <c r="Z45" s="19">
        <f t="shared" si="13"/>
        <v>0.42347599592066848</v>
      </c>
      <c r="AA45" s="19">
        <f t="shared" si="14"/>
        <v>-0.73329477147428845</v>
      </c>
      <c r="AB45" s="19">
        <f t="shared" si="15"/>
        <v>-0.27733553338334704</v>
      </c>
      <c r="AC45" s="19">
        <f t="shared" si="16"/>
        <v>-0.41169678312973024</v>
      </c>
      <c r="AD45" s="19">
        <f t="shared" si="17"/>
        <v>-0.31936124929582826</v>
      </c>
      <c r="AE45" s="19">
        <f t="shared" si="18"/>
        <v>-0.63224659409012796</v>
      </c>
      <c r="AF45" s="19">
        <f t="shared" si="19"/>
        <v>-0.61318825082918449</v>
      </c>
      <c r="AG45" s="19">
        <f t="shared" si="20"/>
        <v>-0.48684708869393256</v>
      </c>
      <c r="AH45" s="19">
        <f t="shared" si="21"/>
        <v>-0.36059125017851057</v>
      </c>
      <c r="AI45" s="19">
        <f t="shared" si="22"/>
        <v>-0.32286917201569698</v>
      </c>
      <c r="AJ45" s="19">
        <f t="shared" si="23"/>
        <v>-0.31975464767280759</v>
      </c>
      <c r="AK45" s="19">
        <f t="shared" si="24"/>
        <v>-0.41513248788811402</v>
      </c>
      <c r="AL45" s="19">
        <f t="shared" si="25"/>
        <v>-0.2146327845230773</v>
      </c>
      <c r="BG45" s="36" t="s">
        <v>99</v>
      </c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V45" s="16">
        <v>0</v>
      </c>
      <c r="BW45" s="18">
        <v>17</v>
      </c>
      <c r="BX45" s="48">
        <v>0.24982488908315886</v>
      </c>
      <c r="BY45" s="48">
        <v>1.5209062222518344</v>
      </c>
      <c r="BZ45" s="18" t="e">
        <f t="shared" si="26"/>
        <v>#N/A</v>
      </c>
    </row>
    <row r="46" spans="1:78" x14ac:dyDescent="0.3">
      <c r="A46" s="19">
        <v>21</v>
      </c>
      <c r="B46" s="19">
        <v>0</v>
      </c>
      <c r="C46" s="19">
        <v>14</v>
      </c>
      <c r="D46" s="19">
        <v>88.875256432882296</v>
      </c>
      <c r="E46" s="22">
        <v>13237</v>
      </c>
      <c r="F46" s="22">
        <v>6586</v>
      </c>
      <c r="G46" s="23">
        <v>2189</v>
      </c>
      <c r="H46" s="23">
        <v>4462</v>
      </c>
      <c r="I46" s="24">
        <v>20.100000000000001</v>
      </c>
      <c r="J46" s="24">
        <v>30.3</v>
      </c>
      <c r="K46" s="22">
        <v>10068</v>
      </c>
      <c r="L46" s="22">
        <v>32316</v>
      </c>
      <c r="M46" s="22">
        <v>9253</v>
      </c>
      <c r="N46" s="22">
        <v>3971</v>
      </c>
      <c r="O46" s="25">
        <v>3165.95</v>
      </c>
      <c r="P46" s="24">
        <v>76.3</v>
      </c>
      <c r="Q46" s="22">
        <v>1988</v>
      </c>
      <c r="R46" s="23">
        <v>8</v>
      </c>
      <c r="U46" s="19">
        <v>21</v>
      </c>
      <c r="V46" s="19">
        <v>0</v>
      </c>
      <c r="W46" s="19">
        <v>14</v>
      </c>
      <c r="X46" s="19">
        <f t="shared" si="11"/>
        <v>0.96155537816722214</v>
      </c>
      <c r="Y46" s="19">
        <f t="shared" si="12"/>
        <v>-0.30825829182828679</v>
      </c>
      <c r="Z46" s="19">
        <f t="shared" si="13"/>
        <v>6.4225157317365417E-2</v>
      </c>
      <c r="AA46" s="19">
        <f t="shared" si="14"/>
        <v>-0.61789193287823119</v>
      </c>
      <c r="AB46" s="19">
        <f t="shared" si="15"/>
        <v>-0.24199386809523502</v>
      </c>
      <c r="AC46" s="19">
        <f t="shared" si="16"/>
        <v>1.486674501778628</v>
      </c>
      <c r="AD46" s="19">
        <f t="shared" si="17"/>
        <v>-0.31227090446665368</v>
      </c>
      <c r="AE46" s="19">
        <f t="shared" si="18"/>
        <v>-0.41501405188086238</v>
      </c>
      <c r="AF46" s="19">
        <f t="shared" si="19"/>
        <v>-0.43200015270496128</v>
      </c>
      <c r="AG46" s="19">
        <f t="shared" si="20"/>
        <v>-0.38818080251097603</v>
      </c>
      <c r="AH46" s="19">
        <f t="shared" si="21"/>
        <v>-0.29168171943537025</v>
      </c>
      <c r="AI46" s="19">
        <f t="shared" si="22"/>
        <v>-0.7426725035308166</v>
      </c>
      <c r="AJ46" s="19">
        <f t="shared" si="23"/>
        <v>-0.74042618248678527</v>
      </c>
      <c r="AK46" s="19">
        <f t="shared" si="24"/>
        <v>-0.39847427905988558</v>
      </c>
      <c r="AL46" s="19">
        <f t="shared" si="25"/>
        <v>-0.39964664235145575</v>
      </c>
      <c r="AO46" s="40" t="s">
        <v>163</v>
      </c>
      <c r="BG46" s="36" t="s">
        <v>100</v>
      </c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V46" s="16">
        <v>0</v>
      </c>
      <c r="BW46" s="18">
        <v>18</v>
      </c>
      <c r="BX46" s="48">
        <v>1.3650126594638339</v>
      </c>
      <c r="BY46" s="48">
        <v>0.11562041112346551</v>
      </c>
      <c r="BZ46" s="18" t="e">
        <f t="shared" si="26"/>
        <v>#N/A</v>
      </c>
    </row>
    <row r="47" spans="1:78" x14ac:dyDescent="0.3">
      <c r="A47" s="19">
        <v>22</v>
      </c>
      <c r="B47" s="19">
        <v>0</v>
      </c>
      <c r="C47" s="19">
        <v>14</v>
      </c>
      <c r="D47" s="19">
        <v>63.885949607912401</v>
      </c>
      <c r="E47" s="22">
        <v>11567</v>
      </c>
      <c r="F47" s="22">
        <v>7480</v>
      </c>
      <c r="G47" s="23">
        <v>1102</v>
      </c>
      <c r="H47" s="23">
        <v>2985</v>
      </c>
      <c r="I47" s="24">
        <v>19.7</v>
      </c>
      <c r="J47" s="24">
        <v>25.3</v>
      </c>
      <c r="K47" s="22">
        <v>7483</v>
      </c>
      <c r="L47" s="22">
        <v>24610</v>
      </c>
      <c r="M47" s="22">
        <v>7643</v>
      </c>
      <c r="N47" s="22">
        <v>2663</v>
      </c>
      <c r="O47" s="25">
        <v>3181.04</v>
      </c>
      <c r="P47" s="24">
        <v>76.599999999999994</v>
      </c>
      <c r="Q47" s="22">
        <v>2480</v>
      </c>
      <c r="R47" s="23">
        <v>110</v>
      </c>
      <c r="U47" s="19">
        <v>22</v>
      </c>
      <c r="V47" s="19">
        <v>0</v>
      </c>
      <c r="W47" s="19">
        <v>14</v>
      </c>
      <c r="X47" s="19">
        <f t="shared" si="11"/>
        <v>0.18827873774889042</v>
      </c>
      <c r="Y47" s="19">
        <f t="shared" si="12"/>
        <v>-0.33955387531381226</v>
      </c>
      <c r="Z47" s="19">
        <f t="shared" si="13"/>
        <v>0.22833872385357029</v>
      </c>
      <c r="AA47" s="19">
        <f t="shared" si="14"/>
        <v>-0.73350749560073281</v>
      </c>
      <c r="AB47" s="19">
        <f t="shared" si="15"/>
        <v>-0.27451700805195867</v>
      </c>
      <c r="AC47" s="19">
        <f t="shared" si="16"/>
        <v>1.4107396503822933</v>
      </c>
      <c r="AD47" s="19">
        <f t="shared" si="17"/>
        <v>-0.31608291781567227</v>
      </c>
      <c r="AE47" s="19">
        <f t="shared" si="18"/>
        <v>-0.5475479488860433</v>
      </c>
      <c r="AF47" s="19">
        <f t="shared" si="19"/>
        <v>-0.53991756529927759</v>
      </c>
      <c r="AG47" s="19">
        <f t="shared" si="20"/>
        <v>-0.44729979051044011</v>
      </c>
      <c r="AH47" s="19">
        <f t="shared" si="21"/>
        <v>-0.34588115792726892</v>
      </c>
      <c r="AI47" s="19">
        <f t="shared" si="22"/>
        <v>-0.71208570292938156</v>
      </c>
      <c r="AJ47" s="19">
        <f t="shared" si="23"/>
        <v>-0.71518589039794678</v>
      </c>
      <c r="AK47" s="19">
        <f t="shared" si="24"/>
        <v>-0.38744354050875723</v>
      </c>
      <c r="AL47" s="19">
        <f t="shared" si="25"/>
        <v>-0.34381405803638299</v>
      </c>
      <c r="BG47" s="36" t="s">
        <v>101</v>
      </c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V47" s="16">
        <v>0</v>
      </c>
      <c r="BW47" s="18">
        <v>19</v>
      </c>
      <c r="BX47" s="48">
        <v>1.4008256110113066</v>
      </c>
      <c r="BY47" s="48">
        <v>-0.43422467699697187</v>
      </c>
      <c r="BZ47" s="18" t="e">
        <f t="shared" si="26"/>
        <v>#N/A</v>
      </c>
    </row>
    <row r="48" spans="1:78" x14ac:dyDescent="0.3">
      <c r="A48" s="19">
        <v>23</v>
      </c>
      <c r="B48" s="19">
        <v>0</v>
      </c>
      <c r="C48" s="19">
        <v>14</v>
      </c>
      <c r="D48" s="19">
        <v>21.144335949006901</v>
      </c>
      <c r="E48" s="22">
        <v>24363</v>
      </c>
      <c r="F48" s="22">
        <v>14203</v>
      </c>
      <c r="G48" s="23">
        <v>4702</v>
      </c>
      <c r="H48" s="23">
        <v>5458</v>
      </c>
      <c r="I48" s="24">
        <v>8.6999999999999993</v>
      </c>
      <c r="J48" s="24">
        <v>191.2</v>
      </c>
      <c r="K48" s="22">
        <v>16365</v>
      </c>
      <c r="L48" s="22">
        <v>50385</v>
      </c>
      <c r="M48" s="22">
        <v>14653</v>
      </c>
      <c r="N48" s="22">
        <v>5393</v>
      </c>
      <c r="O48" s="25">
        <v>3253.13</v>
      </c>
      <c r="P48" s="24">
        <v>78.400000000000006</v>
      </c>
      <c r="Q48" s="22">
        <v>0</v>
      </c>
      <c r="R48" s="23">
        <v>205</v>
      </c>
      <c r="U48" s="19">
        <v>23</v>
      </c>
      <c r="V48" s="19">
        <v>0</v>
      </c>
      <c r="W48" s="19">
        <v>14</v>
      </c>
      <c r="X48" s="19">
        <f t="shared" si="11"/>
        <v>-1.1343306346403952</v>
      </c>
      <c r="Y48" s="19">
        <f t="shared" si="12"/>
        <v>-9.9758494307354936E-2</v>
      </c>
      <c r="Z48" s="19">
        <f t="shared" si="13"/>
        <v>1.4624947728724802</v>
      </c>
      <c r="AA48" s="19">
        <f t="shared" si="14"/>
        <v>-0.35060406800091137</v>
      </c>
      <c r="AB48" s="19">
        <f t="shared" si="15"/>
        <v>-0.22006221786036922</v>
      </c>
      <c r="AC48" s="19">
        <f t="shared" si="16"/>
        <v>-0.6774687630169004</v>
      </c>
      <c r="AD48" s="19">
        <f t="shared" si="17"/>
        <v>-0.18960031489523504</v>
      </c>
      <c r="AE48" s="19">
        <f t="shared" si="18"/>
        <v>-9.21645549982225E-2</v>
      </c>
      <c r="AF48" s="19">
        <f t="shared" si="19"/>
        <v>-0.17895580697868288</v>
      </c>
      <c r="AG48" s="19">
        <f t="shared" si="20"/>
        <v>-0.18989351356867418</v>
      </c>
      <c r="AH48" s="19">
        <f t="shared" si="21"/>
        <v>-0.23275847667124183</v>
      </c>
      <c r="AI48" s="19">
        <f t="shared" si="22"/>
        <v>-0.56596227977779545</v>
      </c>
      <c r="AJ48" s="19">
        <f t="shared" si="23"/>
        <v>-0.56374413786491395</v>
      </c>
      <c r="AK48" s="19">
        <f t="shared" si="24"/>
        <v>-0.44304563727054247</v>
      </c>
      <c r="AL48" s="19">
        <f t="shared" si="25"/>
        <v>-0.29181312166450146</v>
      </c>
      <c r="AO48" s="34"/>
      <c r="AP48" s="35" t="s">
        <v>55</v>
      </c>
      <c r="AQ48" s="35" t="s">
        <v>56</v>
      </c>
      <c r="AR48" s="35" t="s">
        <v>57</v>
      </c>
      <c r="AS48" s="35" t="s">
        <v>58</v>
      </c>
      <c r="AT48" s="35" t="s">
        <v>59</v>
      </c>
      <c r="AU48" s="35" t="s">
        <v>60</v>
      </c>
      <c r="AV48" s="35" t="s">
        <v>61</v>
      </c>
      <c r="AW48" s="35" t="s">
        <v>62</v>
      </c>
      <c r="AX48" s="35" t="s">
        <v>63</v>
      </c>
      <c r="AY48" s="35" t="s">
        <v>64</v>
      </c>
      <c r="AZ48" s="35" t="s">
        <v>65</v>
      </c>
      <c r="BA48" s="35" t="s">
        <v>66</v>
      </c>
      <c r="BB48" s="35" t="s">
        <v>67</v>
      </c>
      <c r="BC48" s="35" t="s">
        <v>68</v>
      </c>
      <c r="BD48" s="35" t="s">
        <v>69</v>
      </c>
      <c r="BG48" s="36" t="s">
        <v>102</v>
      </c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V48" s="16">
        <v>0</v>
      </c>
      <c r="BW48" s="18">
        <v>20</v>
      </c>
      <c r="BX48" s="48">
        <v>1.328675031374027</v>
      </c>
      <c r="BY48" s="48">
        <v>0.11934943857970935</v>
      </c>
      <c r="BZ48" s="18" t="e">
        <f t="shared" si="26"/>
        <v>#N/A</v>
      </c>
    </row>
    <row r="49" spans="1:78" x14ac:dyDescent="0.3">
      <c r="A49" s="19">
        <v>24</v>
      </c>
      <c r="B49" s="19">
        <v>0</v>
      </c>
      <c r="C49" s="19">
        <v>14</v>
      </c>
      <c r="D49" s="19">
        <v>100.374184846695</v>
      </c>
      <c r="E49" s="22">
        <v>18679</v>
      </c>
      <c r="F49" s="22">
        <v>7867</v>
      </c>
      <c r="G49" s="23">
        <v>5640</v>
      </c>
      <c r="H49" s="23">
        <v>5172</v>
      </c>
      <c r="I49" s="24">
        <v>13.9</v>
      </c>
      <c r="J49" s="24">
        <v>1980.2</v>
      </c>
      <c r="K49" s="22">
        <v>10832</v>
      </c>
      <c r="L49" s="22">
        <v>38398</v>
      </c>
      <c r="M49" s="22">
        <v>12089</v>
      </c>
      <c r="N49" s="22">
        <v>4106</v>
      </c>
      <c r="O49" s="25">
        <v>4698.55</v>
      </c>
      <c r="P49" s="24">
        <v>113.2</v>
      </c>
      <c r="Q49" s="22">
        <v>1100</v>
      </c>
      <c r="R49" s="23">
        <v>300</v>
      </c>
      <c r="U49" s="19">
        <v>24</v>
      </c>
      <c r="V49" s="19">
        <v>0</v>
      </c>
      <c r="W49" s="19">
        <v>14</v>
      </c>
      <c r="X49" s="19">
        <f t="shared" si="11"/>
        <v>1.3173816839757146</v>
      </c>
      <c r="Y49" s="19">
        <f t="shared" si="12"/>
        <v>-0.20627591738024517</v>
      </c>
      <c r="Z49" s="19">
        <f t="shared" si="13"/>
        <v>0.29938117379709522</v>
      </c>
      <c r="AA49" s="19">
        <f t="shared" si="14"/>
        <v>-0.25083645269851346</v>
      </c>
      <c r="AB49" s="19">
        <f t="shared" si="15"/>
        <v>-0.22635986039769013</v>
      </c>
      <c r="AC49" s="19">
        <f t="shared" si="16"/>
        <v>0.30968430513544593</v>
      </c>
      <c r="AD49" s="19">
        <f t="shared" si="17"/>
        <v>1.174338061383621</v>
      </c>
      <c r="AE49" s="19">
        <f t="shared" si="18"/>
        <v>-0.37584349199229056</v>
      </c>
      <c r="AF49" s="19">
        <f t="shared" si="19"/>
        <v>-0.34682578164362832</v>
      </c>
      <c r="AG49" s="19">
        <f t="shared" si="20"/>
        <v>-0.28404325594794494</v>
      </c>
      <c r="AH49" s="19">
        <f t="shared" si="21"/>
        <v>-0.28608774069194032</v>
      </c>
      <c r="AI49" s="19">
        <f t="shared" si="22"/>
        <v>2.3638437722650028</v>
      </c>
      <c r="AJ49" s="19">
        <f t="shared" si="23"/>
        <v>2.3641297444403704</v>
      </c>
      <c r="AK49" s="19">
        <f t="shared" si="24"/>
        <v>-0.41838341693265385</v>
      </c>
      <c r="AL49" s="19">
        <f t="shared" si="25"/>
        <v>-0.23981218529261991</v>
      </c>
      <c r="AO49" s="34" t="s">
        <v>55</v>
      </c>
      <c r="AP49" s="35">
        <f>VARP(PCA!$X$26:$X$405)</f>
        <v>0.99736842105263768</v>
      </c>
      <c r="AQ49" s="35">
        <v>-0.14931069255076848</v>
      </c>
      <c r="AR49" s="35">
        <v>2.5230277100193477E-2</v>
      </c>
      <c r="AS49" s="35">
        <v>-0.2462053150342243</v>
      </c>
      <c r="AT49" s="35">
        <v>-0.1274985680640888</v>
      </c>
      <c r="AU49" s="35">
        <v>0.2069868697386196</v>
      </c>
      <c r="AV49" s="35">
        <v>-8.7396930645839435E-2</v>
      </c>
      <c r="AW49" s="35">
        <v>-0.1828313466469588</v>
      </c>
      <c r="AX49" s="35">
        <v>-0.19609436847929848</v>
      </c>
      <c r="AY49" s="35">
        <v>-0.17944283371037992</v>
      </c>
      <c r="AZ49" s="35">
        <v>-0.12762288258883719</v>
      </c>
      <c r="BA49" s="35">
        <v>-0.18505229868463888</v>
      </c>
      <c r="BB49" s="35">
        <v>-0.18497237118295912</v>
      </c>
      <c r="BC49" s="35">
        <v>-0.18905873126692721</v>
      </c>
      <c r="BD49" s="35">
        <v>-8.3587772393951057E-2</v>
      </c>
      <c r="BG49" s="36" t="s">
        <v>103</v>
      </c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V49" s="16">
        <v>0</v>
      </c>
      <c r="BW49" s="18">
        <v>21</v>
      </c>
      <c r="BX49" s="48">
        <v>1.6039222003423697</v>
      </c>
      <c r="BY49" s="48">
        <v>-1.2454587960538539</v>
      </c>
      <c r="BZ49" s="18" t="e">
        <f t="shared" si="26"/>
        <v>#N/A</v>
      </c>
    </row>
    <row r="50" spans="1:78" x14ac:dyDescent="0.3">
      <c r="A50" s="19">
        <v>25</v>
      </c>
      <c r="B50" s="19">
        <v>0</v>
      </c>
      <c r="C50" s="19">
        <v>14</v>
      </c>
      <c r="D50" s="19">
        <v>98.266561701942393</v>
      </c>
      <c r="E50" s="22">
        <v>21269</v>
      </c>
      <c r="F50" s="22">
        <v>3590</v>
      </c>
      <c r="G50" s="23">
        <v>7286</v>
      </c>
      <c r="H50" s="23">
        <v>10393</v>
      </c>
      <c r="I50" s="24">
        <v>9.9</v>
      </c>
      <c r="J50" s="24">
        <v>464.8</v>
      </c>
      <c r="K50" s="22">
        <v>14898</v>
      </c>
      <c r="L50" s="22">
        <v>49747</v>
      </c>
      <c r="M50" s="22">
        <v>14165</v>
      </c>
      <c r="N50" s="22">
        <v>7603</v>
      </c>
      <c r="O50" s="25">
        <v>4714.08</v>
      </c>
      <c r="P50" s="24">
        <v>113.6</v>
      </c>
      <c r="Q50" s="22">
        <v>5098</v>
      </c>
      <c r="R50" s="23">
        <v>330</v>
      </c>
      <c r="U50" s="19">
        <v>25</v>
      </c>
      <c r="V50" s="19">
        <v>0</v>
      </c>
      <c r="W50" s="19">
        <v>14</v>
      </c>
      <c r="X50" s="19">
        <f t="shared" si="11"/>
        <v>1.2521627582945225</v>
      </c>
      <c r="Y50" s="19">
        <f t="shared" si="12"/>
        <v>-0.1577396531721548</v>
      </c>
      <c r="Z50" s="19">
        <f t="shared" si="13"/>
        <v>-0.48575722002320487</v>
      </c>
      <c r="AA50" s="19">
        <f t="shared" si="14"/>
        <v>-7.5764496634817283E-2</v>
      </c>
      <c r="AB50" s="19">
        <f t="shared" si="15"/>
        <v>-0.11139485449785648</v>
      </c>
      <c r="AC50" s="19">
        <f t="shared" si="16"/>
        <v>-0.4496642088278972</v>
      </c>
      <c r="AD50" s="19">
        <f t="shared" si="17"/>
        <v>1.8993055563062911E-2</v>
      </c>
      <c r="AE50" s="19">
        <f t="shared" si="18"/>
        <v>-0.16737818242824198</v>
      </c>
      <c r="AF50" s="19">
        <f t="shared" si="19"/>
        <v>-0.18789057329521205</v>
      </c>
      <c r="AG50" s="19">
        <f t="shared" si="20"/>
        <v>-0.20781280931012663</v>
      </c>
      <c r="AH50" s="19">
        <f t="shared" si="21"/>
        <v>-0.14118297279731512</v>
      </c>
      <c r="AI50" s="19">
        <f t="shared" si="22"/>
        <v>2.3953224345141924</v>
      </c>
      <c r="AJ50" s="19">
        <f t="shared" si="23"/>
        <v>2.3977834672254876</v>
      </c>
      <c r="AK50" s="19">
        <f t="shared" si="24"/>
        <v>-0.32874745610458234</v>
      </c>
      <c r="AL50" s="19">
        <f t="shared" si="25"/>
        <v>-0.22339083696465734</v>
      </c>
      <c r="AO50" s="34" t="s">
        <v>56</v>
      </c>
      <c r="AP50" s="35">
        <v>-0.14931069255076848</v>
      </c>
      <c r="AQ50" s="35">
        <f>VARP(PCA!$Y$26:$Y$405)</f>
        <v>0.99736842105263079</v>
      </c>
      <c r="AR50" s="35">
        <v>7.5680302784399698E-3</v>
      </c>
      <c r="AS50" s="35">
        <v>0.88000165958893817</v>
      </c>
      <c r="AT50" s="35">
        <v>0.98883704175678877</v>
      </c>
      <c r="AU50" s="35">
        <v>-0.29178593962225613</v>
      </c>
      <c r="AV50" s="35">
        <v>0.94296102545275373</v>
      </c>
      <c r="AW50" s="35">
        <v>0.95564902882896663</v>
      </c>
      <c r="AX50" s="35">
        <v>0.96710957271882592</v>
      </c>
      <c r="AY50" s="35">
        <v>0.97355692041978326</v>
      </c>
      <c r="AZ50" s="35">
        <v>0.98431667208785911</v>
      </c>
      <c r="BA50" s="35">
        <v>0.39139963704803477</v>
      </c>
      <c r="BB50" s="35">
        <v>0.39157040037137625</v>
      </c>
      <c r="BC50" s="35">
        <v>0.89035705887665395</v>
      </c>
      <c r="BD50" s="35">
        <v>-2.7142446300632755E-2</v>
      </c>
      <c r="BG50" s="36" t="s">
        <v>104</v>
      </c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V50" s="16">
        <v>0</v>
      </c>
      <c r="BW50" s="18">
        <v>22</v>
      </c>
      <c r="BX50" s="48">
        <v>1.7031678558210337</v>
      </c>
      <c r="BY50" s="48">
        <v>-1.0506994784423813</v>
      </c>
      <c r="BZ50" s="18" t="e">
        <f t="shared" si="26"/>
        <v>#N/A</v>
      </c>
    </row>
    <row r="51" spans="1:78" x14ac:dyDescent="0.3">
      <c r="A51" s="19">
        <v>26</v>
      </c>
      <c r="B51" s="19">
        <v>0</v>
      </c>
      <c r="C51" s="19">
        <v>14</v>
      </c>
      <c r="D51" s="19">
        <v>40.242661732001203</v>
      </c>
      <c r="E51" s="22">
        <v>38105</v>
      </c>
      <c r="F51" s="22">
        <v>3191</v>
      </c>
      <c r="G51" s="23">
        <v>9468</v>
      </c>
      <c r="H51" s="23">
        <v>25446</v>
      </c>
      <c r="I51" s="24">
        <v>4.3</v>
      </c>
      <c r="J51" s="24">
        <v>772.7</v>
      </c>
      <c r="K51" s="22">
        <v>22592</v>
      </c>
      <c r="L51" s="22">
        <v>69495</v>
      </c>
      <c r="M51" s="22">
        <v>20870</v>
      </c>
      <c r="N51" s="22">
        <v>18287</v>
      </c>
      <c r="O51" s="25">
        <v>4525.62</v>
      </c>
      <c r="P51" s="24">
        <v>109</v>
      </c>
      <c r="Q51" s="22">
        <v>11646</v>
      </c>
      <c r="R51" s="23">
        <v>9321</v>
      </c>
      <c r="U51" s="19">
        <v>26</v>
      </c>
      <c r="V51" s="19">
        <v>0</v>
      </c>
      <c r="W51" s="19">
        <v>14</v>
      </c>
      <c r="X51" s="19">
        <f t="shared" si="11"/>
        <v>-0.54334628671395246</v>
      </c>
      <c r="Y51" s="19">
        <f t="shared" si="12"/>
        <v>0.15776480405078327</v>
      </c>
      <c r="Z51" s="19">
        <f t="shared" si="13"/>
        <v>-0.55900253663164534</v>
      </c>
      <c r="AA51" s="19">
        <f t="shared" si="14"/>
        <v>0.15631752531596341</v>
      </c>
      <c r="AB51" s="19">
        <f t="shared" si="15"/>
        <v>0.22006812841924672</v>
      </c>
      <c r="AC51" s="19">
        <f t="shared" si="16"/>
        <v>-1.5127521283765777</v>
      </c>
      <c r="AD51" s="19">
        <f t="shared" si="17"/>
        <v>0.25373683759562848</v>
      </c>
      <c r="AE51" s="19">
        <f t="shared" si="18"/>
        <v>0.22709601624017653</v>
      </c>
      <c r="AF51" s="19">
        <f t="shared" si="19"/>
        <v>8.8667052439612565E-2</v>
      </c>
      <c r="AG51" s="19">
        <f t="shared" si="20"/>
        <v>3.8393907793231506E-2</v>
      </c>
      <c r="AH51" s="19">
        <f t="shared" si="21"/>
        <v>0.30152864864568624</v>
      </c>
      <c r="AI51" s="19">
        <f t="shared" si="22"/>
        <v>2.0133218751141664</v>
      </c>
      <c r="AJ51" s="19">
        <f t="shared" si="23"/>
        <v>2.0107656551966291</v>
      </c>
      <c r="AK51" s="19">
        <f t="shared" si="24"/>
        <v>-0.18193998449322357</v>
      </c>
      <c r="AL51" s="19">
        <f t="shared" si="25"/>
        <v>4.6980872569257297</v>
      </c>
      <c r="AO51" s="34" t="s">
        <v>57</v>
      </c>
      <c r="AP51" s="35">
        <v>2.5230277100193477E-2</v>
      </c>
      <c r="AQ51" s="35">
        <v>7.5680302784399698E-3</v>
      </c>
      <c r="AR51" s="35">
        <f>VARP(PCA!$Z$26:$Z$405)</f>
        <v>0.99736842105263179</v>
      </c>
      <c r="AS51" s="35">
        <v>-0.13081132561020867</v>
      </c>
      <c r="AT51" s="35">
        <v>-8.3661696486985918E-2</v>
      </c>
      <c r="AU51" s="35">
        <v>1.8150269501235099E-2</v>
      </c>
      <c r="AV51" s="35">
        <v>-7.6258863594365109E-2</v>
      </c>
      <c r="AW51" s="35">
        <v>7.6411553932822882E-2</v>
      </c>
      <c r="AX51" s="35">
        <v>2.426466032647354E-2</v>
      </c>
      <c r="AY51" s="35">
        <v>-2.5510286949467591E-2</v>
      </c>
      <c r="AZ51" s="35">
        <v>-6.9448090655349098E-2</v>
      </c>
      <c r="BA51" s="35">
        <v>-0.2856936167227615</v>
      </c>
      <c r="BB51" s="35">
        <v>-0.28575055182725939</v>
      </c>
      <c r="BC51" s="35">
        <v>-0.21953623404552089</v>
      </c>
      <c r="BD51" s="35">
        <v>3.7272939767071437E-4</v>
      </c>
      <c r="BG51" s="36" t="s">
        <v>105</v>
      </c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V51" s="16">
        <v>0</v>
      </c>
      <c r="BW51" s="18">
        <v>23</v>
      </c>
      <c r="BX51" s="48">
        <v>0.71628686554147503</v>
      </c>
      <c r="BY51" s="48">
        <v>-0.65340149366236833</v>
      </c>
      <c r="BZ51" s="18" t="e">
        <f t="shared" si="26"/>
        <v>#N/A</v>
      </c>
    </row>
    <row r="52" spans="1:78" x14ac:dyDescent="0.3">
      <c r="A52" s="19">
        <v>27</v>
      </c>
      <c r="B52" s="19">
        <v>0</v>
      </c>
      <c r="C52" s="19">
        <v>14</v>
      </c>
      <c r="D52" s="19">
        <v>101.126355845787</v>
      </c>
      <c r="E52" s="22">
        <v>24516</v>
      </c>
      <c r="F52" s="22">
        <v>12078</v>
      </c>
      <c r="G52" s="23">
        <v>4005</v>
      </c>
      <c r="H52" s="23">
        <v>8433</v>
      </c>
      <c r="I52" s="24">
        <v>14.4</v>
      </c>
      <c r="J52" s="24">
        <v>173.4</v>
      </c>
      <c r="K52" s="22">
        <v>16665</v>
      </c>
      <c r="L52" s="22">
        <v>54937</v>
      </c>
      <c r="M52" s="22">
        <v>16668</v>
      </c>
      <c r="N52" s="22">
        <v>6372</v>
      </c>
      <c r="O52" s="25">
        <v>3555.74</v>
      </c>
      <c r="P52" s="24">
        <v>85.7</v>
      </c>
      <c r="Q52" s="22">
        <v>2154</v>
      </c>
      <c r="R52" s="23">
        <v>157</v>
      </c>
      <c r="U52" s="19">
        <v>27</v>
      </c>
      <c r="V52" s="19">
        <v>0</v>
      </c>
      <c r="W52" s="19">
        <v>14</v>
      </c>
      <c r="X52" s="19">
        <f t="shared" si="11"/>
        <v>1.3406570900232637</v>
      </c>
      <c r="Y52" s="19">
        <f t="shared" si="12"/>
        <v>-9.6891294143710976E-2</v>
      </c>
      <c r="Z52" s="19">
        <f t="shared" si="13"/>
        <v>1.07240380096036</v>
      </c>
      <c r="AA52" s="19">
        <f t="shared" si="14"/>
        <v>-0.42473842606676571</v>
      </c>
      <c r="AB52" s="19">
        <f t="shared" si="15"/>
        <v>-0.15455352363474098</v>
      </c>
      <c r="AC52" s="19">
        <f t="shared" si="16"/>
        <v>0.40460286938086382</v>
      </c>
      <c r="AD52" s="19">
        <f t="shared" si="17"/>
        <v>-0.20317108241774126</v>
      </c>
      <c r="AE52" s="19">
        <f t="shared" si="18"/>
        <v>-7.6783445094333033E-2</v>
      </c>
      <c r="AF52" s="19">
        <f t="shared" si="19"/>
        <v>-0.11520806987391674</v>
      </c>
      <c r="AG52" s="19">
        <f t="shared" si="20"/>
        <v>-0.11590297889853747</v>
      </c>
      <c r="AH52" s="19">
        <f t="shared" si="21"/>
        <v>-0.19219177156147971</v>
      </c>
      <c r="AI52" s="19">
        <f t="shared" si="22"/>
        <v>4.7415568466085335E-2</v>
      </c>
      <c r="AJ52" s="19">
        <f t="shared" si="23"/>
        <v>5.0436302963493239E-2</v>
      </c>
      <c r="AK52" s="19">
        <f t="shared" si="24"/>
        <v>-0.39475252580889514</v>
      </c>
      <c r="AL52" s="19">
        <f t="shared" si="25"/>
        <v>-0.31808727898924161</v>
      </c>
      <c r="AO52" s="34" t="s">
        <v>58</v>
      </c>
      <c r="AP52" s="35">
        <v>-0.2462053150342243</v>
      </c>
      <c r="AQ52" s="35">
        <v>0.88000165958893817</v>
      </c>
      <c r="AR52" s="35">
        <v>-0.13081132561020867</v>
      </c>
      <c r="AS52" s="35">
        <f>VARP(PCA!$AA$26:$AA$405)</f>
        <v>0.99736842105263079</v>
      </c>
      <c r="AT52" s="35">
        <v>0.84322950375069572</v>
      </c>
      <c r="AU52" s="35">
        <v>-0.45234492494596551</v>
      </c>
      <c r="AV52" s="35">
        <v>0.80527938682903977</v>
      </c>
      <c r="AW52" s="35">
        <v>0.8878028787936848</v>
      </c>
      <c r="AX52" s="35">
        <v>0.90439004002691292</v>
      </c>
      <c r="AY52" s="35">
        <v>0.89380851264540473</v>
      </c>
      <c r="AZ52" s="35">
        <v>0.85133122959309881</v>
      </c>
      <c r="BA52" s="35">
        <v>0.49283884230173641</v>
      </c>
      <c r="BB52" s="35">
        <v>0.49299426985629147</v>
      </c>
      <c r="BC52" s="35">
        <v>0.83344536618056975</v>
      </c>
      <c r="BD52" s="35">
        <v>4.1294244411881738E-2</v>
      </c>
      <c r="BG52" s="36" t="s">
        <v>106</v>
      </c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V52" s="16">
        <v>0</v>
      </c>
      <c r="BW52" s="18">
        <v>24</v>
      </c>
      <c r="BX52" s="48">
        <v>-0.31124406406430333</v>
      </c>
      <c r="BY52" s="48">
        <v>2.2743000869955123</v>
      </c>
      <c r="BZ52" s="18" t="e">
        <f t="shared" si="26"/>
        <v>#N/A</v>
      </c>
    </row>
    <row r="53" spans="1:78" x14ac:dyDescent="0.3">
      <c r="A53" s="19">
        <v>28</v>
      </c>
      <c r="B53" s="19">
        <v>0</v>
      </c>
      <c r="C53" s="19">
        <v>14</v>
      </c>
      <c r="D53" s="19">
        <v>49.596160797742201</v>
      </c>
      <c r="E53" s="22">
        <v>12652</v>
      </c>
      <c r="F53" s="22">
        <v>8563</v>
      </c>
      <c r="G53" s="23">
        <v>1340</v>
      </c>
      <c r="H53" s="23">
        <v>2749</v>
      </c>
      <c r="I53" s="24">
        <v>13.7</v>
      </c>
      <c r="J53" s="24">
        <v>22.7</v>
      </c>
      <c r="K53" s="22">
        <v>5851</v>
      </c>
      <c r="L53" s="22">
        <v>21625</v>
      </c>
      <c r="M53" s="22">
        <v>7587</v>
      </c>
      <c r="N53" s="22">
        <v>2610</v>
      </c>
      <c r="O53" s="25">
        <v>3476.69</v>
      </c>
      <c r="P53" s="24">
        <v>83.8</v>
      </c>
      <c r="Q53" s="22">
        <v>1010</v>
      </c>
      <c r="R53" s="23">
        <v>0</v>
      </c>
      <c r="U53" s="19">
        <v>28</v>
      </c>
      <c r="V53" s="19">
        <v>0</v>
      </c>
      <c r="W53" s="19">
        <v>14</v>
      </c>
      <c r="X53" s="19">
        <f t="shared" si="11"/>
        <v>-0.25390879313429948</v>
      </c>
      <c r="Y53" s="19">
        <f t="shared" si="12"/>
        <v>-0.31922111598339603</v>
      </c>
      <c r="Z53" s="19">
        <f t="shared" si="13"/>
        <v>0.42714744036219432</v>
      </c>
      <c r="AA53" s="19">
        <f t="shared" si="14"/>
        <v>-0.70819332455385575</v>
      </c>
      <c r="AB53" s="19">
        <f t="shared" si="15"/>
        <v>-0.27971366413170601</v>
      </c>
      <c r="AC53" s="19">
        <f t="shared" si="16"/>
        <v>0.27171687943727857</v>
      </c>
      <c r="AD53" s="19">
        <f t="shared" si="17"/>
        <v>-0.31806516475716196</v>
      </c>
      <c r="AE53" s="19">
        <f t="shared" si="18"/>
        <v>-0.63122118676320194</v>
      </c>
      <c r="AF53" s="19">
        <f t="shared" si="19"/>
        <v>-0.58172050801846187</v>
      </c>
      <c r="AG53" s="19">
        <f t="shared" si="20"/>
        <v>-0.44935610313650842</v>
      </c>
      <c r="AH53" s="19">
        <f t="shared" si="21"/>
        <v>-0.34807731254505991</v>
      </c>
      <c r="AI53" s="19">
        <f t="shared" si="22"/>
        <v>-0.11281548438636058</v>
      </c>
      <c r="AJ53" s="19">
        <f t="shared" si="23"/>
        <v>-0.10941888026581875</v>
      </c>
      <c r="AK53" s="19">
        <f t="shared" si="24"/>
        <v>-0.4204012349602993</v>
      </c>
      <c r="AL53" s="19">
        <f t="shared" si="25"/>
        <v>-0.40402566857224581</v>
      </c>
      <c r="AO53" s="34" t="s">
        <v>59</v>
      </c>
      <c r="AP53" s="35">
        <v>-0.1274985680640888</v>
      </c>
      <c r="AQ53" s="35">
        <v>0.98883704175678877</v>
      </c>
      <c r="AR53" s="35">
        <v>-8.3661696486985918E-2</v>
      </c>
      <c r="AS53" s="35">
        <v>0.84322950375069572</v>
      </c>
      <c r="AT53" s="35">
        <f>VARP(PCA!$AB$26:$AB$405)</f>
        <v>0.99736842105263257</v>
      </c>
      <c r="AU53" s="35">
        <v>-0.2513843363933716</v>
      </c>
      <c r="AV53" s="35">
        <v>0.95043185531065255</v>
      </c>
      <c r="AW53" s="35">
        <v>0.92994297909455037</v>
      </c>
      <c r="AX53" s="35">
        <v>0.94623046361101415</v>
      </c>
      <c r="AY53" s="35">
        <v>0.96196745165596176</v>
      </c>
      <c r="AZ53" s="35">
        <v>0.98867468481903475</v>
      </c>
      <c r="BA53" s="35">
        <v>0.39214133454609085</v>
      </c>
      <c r="BB53" s="35">
        <v>0.39231663679858797</v>
      </c>
      <c r="BC53" s="35">
        <v>0.89997633804236887</v>
      </c>
      <c r="BD53" s="35">
        <v>-4.0486625033846591E-2</v>
      </c>
      <c r="BG53" s="36" t="s">
        <v>107</v>
      </c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V53" s="16">
        <v>0</v>
      </c>
      <c r="BW53" s="18">
        <v>25</v>
      </c>
      <c r="BX53" s="48">
        <v>-0.41282988528697734</v>
      </c>
      <c r="BY53" s="48">
        <v>2.8478314707650889</v>
      </c>
      <c r="BZ53" s="18" t="e">
        <f t="shared" si="26"/>
        <v>#N/A</v>
      </c>
    </row>
    <row r="54" spans="1:78" x14ac:dyDescent="0.3">
      <c r="A54" s="19">
        <v>29</v>
      </c>
      <c r="B54" s="19">
        <v>0</v>
      </c>
      <c r="C54" s="19">
        <v>14</v>
      </c>
      <c r="D54" s="19">
        <v>97.389715034781204</v>
      </c>
      <c r="E54" s="22">
        <v>30621</v>
      </c>
      <c r="F54" s="22">
        <v>3790</v>
      </c>
      <c r="G54" s="23">
        <v>10497</v>
      </c>
      <c r="H54" s="23">
        <v>16334</v>
      </c>
      <c r="I54" s="24">
        <v>6.7</v>
      </c>
      <c r="J54" s="24">
        <v>480.6</v>
      </c>
      <c r="K54" s="22">
        <v>23893</v>
      </c>
      <c r="L54" s="22">
        <v>75097</v>
      </c>
      <c r="M54" s="22">
        <v>24130</v>
      </c>
      <c r="N54" s="22">
        <v>15525</v>
      </c>
      <c r="O54" s="25">
        <v>3853.17</v>
      </c>
      <c r="P54" s="24">
        <v>92.8</v>
      </c>
      <c r="Q54" s="22">
        <v>22936</v>
      </c>
      <c r="R54" s="23">
        <v>0</v>
      </c>
      <c r="U54" s="19">
        <v>29</v>
      </c>
      <c r="V54" s="19">
        <v>0</v>
      </c>
      <c r="W54" s="19">
        <v>14</v>
      </c>
      <c r="X54" s="19">
        <f t="shared" si="11"/>
        <v>1.2250293508057284</v>
      </c>
      <c r="Y54" s="19">
        <f t="shared" si="12"/>
        <v>1.7515614346787767E-2</v>
      </c>
      <c r="Z54" s="19">
        <f t="shared" si="13"/>
        <v>-0.44904277560794648</v>
      </c>
      <c r="AA54" s="19">
        <f t="shared" si="14"/>
        <v>0.26576408837157905</v>
      </c>
      <c r="AB54" s="19">
        <f t="shared" si="15"/>
        <v>1.9424356391036769E-2</v>
      </c>
      <c r="AC54" s="19">
        <f t="shared" si="16"/>
        <v>-1.0571430199985719</v>
      </c>
      <c r="AD54" s="19">
        <f t="shared" si="17"/>
        <v>3.1039017745961701E-2</v>
      </c>
      <c r="AE54" s="19">
        <f t="shared" si="18"/>
        <v>0.29379876285671053</v>
      </c>
      <c r="AF54" s="19">
        <f t="shared" si="19"/>
        <v>0.16711934225966965</v>
      </c>
      <c r="AG54" s="19">
        <f t="shared" si="20"/>
        <v>0.1581006785250656</v>
      </c>
      <c r="AH54" s="19">
        <f t="shared" si="21"/>
        <v>0.18707998724306835</v>
      </c>
      <c r="AI54" s="19">
        <f t="shared" si="22"/>
        <v>0.65029377276593603</v>
      </c>
      <c r="AJ54" s="19">
        <f t="shared" si="23"/>
        <v>0.64778988239934099</v>
      </c>
      <c r="AK54" s="19">
        <f t="shared" si="24"/>
        <v>7.1184076974742286E-2</v>
      </c>
      <c r="AL54" s="19">
        <f t="shared" si="25"/>
        <v>-0.40402566857224581</v>
      </c>
      <c r="AO54" s="34" t="s">
        <v>60</v>
      </c>
      <c r="AP54" s="35">
        <v>0.2069868697386196</v>
      </c>
      <c r="AQ54" s="35">
        <v>-0.29178593962225613</v>
      </c>
      <c r="AR54" s="35">
        <v>1.8150269501235099E-2</v>
      </c>
      <c r="AS54" s="35">
        <v>-0.45234492494596551</v>
      </c>
      <c r="AT54" s="35">
        <v>-0.2513843363933716</v>
      </c>
      <c r="AU54" s="35">
        <f>VARP(PCA!$AC$26:$AC$405)</f>
        <v>0.99736842105262757</v>
      </c>
      <c r="AV54" s="35">
        <v>-0.25216387464366757</v>
      </c>
      <c r="AW54" s="35">
        <v>-0.30045271771874366</v>
      </c>
      <c r="AX54" s="35">
        <v>-0.29354106820638065</v>
      </c>
      <c r="AY54" s="35">
        <v>-0.27894475477447794</v>
      </c>
      <c r="AZ54" s="35">
        <v>-0.26278818069353993</v>
      </c>
      <c r="BA54" s="35">
        <v>-0.3747119787366226</v>
      </c>
      <c r="BB54" s="35">
        <v>-0.37472163941649661</v>
      </c>
      <c r="BC54" s="35">
        <v>-0.30102765910684914</v>
      </c>
      <c r="BD54" s="35">
        <v>-0.15724017745308821</v>
      </c>
      <c r="BG54" s="36" t="s">
        <v>108</v>
      </c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  <c r="BV54" s="16">
        <v>0</v>
      </c>
      <c r="BW54" s="18">
        <v>26</v>
      </c>
      <c r="BX54" s="48">
        <v>-1.3622620359421103</v>
      </c>
      <c r="BY54" s="48">
        <v>3.3400776570915807</v>
      </c>
      <c r="BZ54" s="18" t="e">
        <f t="shared" si="26"/>
        <v>#N/A</v>
      </c>
    </row>
    <row r="55" spans="1:78" x14ac:dyDescent="0.3">
      <c r="A55" s="19">
        <v>30</v>
      </c>
      <c r="B55" s="19">
        <v>0</v>
      </c>
      <c r="C55" s="19">
        <v>14</v>
      </c>
      <c r="D55" s="19">
        <v>86.181172483090904</v>
      </c>
      <c r="E55" s="22">
        <v>13048</v>
      </c>
      <c r="F55" s="22">
        <v>8599</v>
      </c>
      <c r="G55" s="23">
        <v>1287</v>
      </c>
      <c r="H55" s="23">
        <v>3162</v>
      </c>
      <c r="I55" s="24">
        <v>23.7</v>
      </c>
      <c r="J55" s="24">
        <v>25.6</v>
      </c>
      <c r="K55" s="22">
        <v>7716</v>
      </c>
      <c r="L55" s="22">
        <v>26305</v>
      </c>
      <c r="M55" s="22">
        <v>8550</v>
      </c>
      <c r="N55" s="22">
        <v>2797</v>
      </c>
      <c r="O55" s="25">
        <v>3330.53</v>
      </c>
      <c r="P55" s="24">
        <v>80.2</v>
      </c>
      <c r="Q55" s="22">
        <v>2266</v>
      </c>
      <c r="R55" s="23">
        <v>0</v>
      </c>
      <c r="U55" s="19">
        <v>30</v>
      </c>
      <c r="V55" s="19">
        <v>0</v>
      </c>
      <c r="W55" s="19">
        <v>14</v>
      </c>
      <c r="X55" s="19">
        <f t="shared" si="11"/>
        <v>0.87818883261670755</v>
      </c>
      <c r="Y55" s="19">
        <f t="shared" si="12"/>
        <v>-0.31180012732455287</v>
      </c>
      <c r="Z55" s="19">
        <f t="shared" si="13"/>
        <v>0.43375604035694082</v>
      </c>
      <c r="AA55" s="19">
        <f t="shared" si="14"/>
        <v>-0.71383051390463093</v>
      </c>
      <c r="AB55" s="19">
        <f t="shared" si="15"/>
        <v>-0.27061951599214817</v>
      </c>
      <c r="AC55" s="19">
        <f t="shared" si="16"/>
        <v>2.1700881643456365</v>
      </c>
      <c r="AD55" s="19">
        <f t="shared" si="17"/>
        <v>-0.31585419701473111</v>
      </c>
      <c r="AE55" s="19">
        <f t="shared" si="18"/>
        <v>-0.53560195352735585</v>
      </c>
      <c r="AF55" s="19">
        <f t="shared" si="19"/>
        <v>-0.51618021591602214</v>
      </c>
      <c r="AG55" s="19">
        <f t="shared" si="20"/>
        <v>-0.4139948699417979</v>
      </c>
      <c r="AH55" s="19">
        <f t="shared" si="21"/>
        <v>-0.34032861606341996</v>
      </c>
      <c r="AI55" s="19">
        <f t="shared" si="22"/>
        <v>-0.40907570810443206</v>
      </c>
      <c r="AJ55" s="19">
        <f t="shared" si="23"/>
        <v>-0.41230238533188218</v>
      </c>
      <c r="AK55" s="19">
        <f t="shared" si="24"/>
        <v>-0.39224146337449195</v>
      </c>
      <c r="AL55" s="19">
        <f t="shared" si="25"/>
        <v>-0.40402566857224581</v>
      </c>
      <c r="AO55" s="34" t="s">
        <v>61</v>
      </c>
      <c r="AP55" s="35">
        <v>-8.7396930645839435E-2</v>
      </c>
      <c r="AQ55" s="35">
        <v>0.94296102545275373</v>
      </c>
      <c r="AR55" s="35">
        <v>-7.6258863594365109E-2</v>
      </c>
      <c r="AS55" s="35">
        <v>0.80527938682903977</v>
      </c>
      <c r="AT55" s="35">
        <v>0.95043185531065255</v>
      </c>
      <c r="AU55" s="35">
        <v>-0.25216387464366757</v>
      </c>
      <c r="AV55" s="35">
        <f>VARP(PCA!$AD$26:$AD$405)</f>
        <v>0.99736842105263235</v>
      </c>
      <c r="AW55" s="35">
        <v>0.88855448842114115</v>
      </c>
      <c r="AX55" s="35">
        <v>0.89303403939317161</v>
      </c>
      <c r="AY55" s="35">
        <v>0.90263188294667374</v>
      </c>
      <c r="AZ55" s="35">
        <v>0.950213804783274</v>
      </c>
      <c r="BA55" s="35">
        <v>0.42875015353293539</v>
      </c>
      <c r="BB55" s="35">
        <v>0.42891775608562244</v>
      </c>
      <c r="BC55" s="35">
        <v>0.83797875356622475</v>
      </c>
      <c r="BD55" s="35">
        <v>-1.0796899813252294E-2</v>
      </c>
      <c r="BG55" s="36" t="s">
        <v>109</v>
      </c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V55" s="16">
        <v>0</v>
      </c>
      <c r="BW55" s="18">
        <v>27</v>
      </c>
      <c r="BX55" s="48">
        <v>0.72124239997848716</v>
      </c>
      <c r="BY55" s="48">
        <v>-0.64697430681852341</v>
      </c>
      <c r="BZ55" s="18" t="e">
        <f t="shared" si="26"/>
        <v>#N/A</v>
      </c>
    </row>
    <row r="56" spans="1:78" x14ac:dyDescent="0.3">
      <c r="A56" s="19">
        <v>31</v>
      </c>
      <c r="B56" s="19">
        <v>0</v>
      </c>
      <c r="C56" s="19">
        <v>14</v>
      </c>
      <c r="D56" s="19">
        <v>111.968218768539</v>
      </c>
      <c r="E56" s="22">
        <v>11816</v>
      </c>
      <c r="F56" s="22">
        <v>6762</v>
      </c>
      <c r="G56" s="23">
        <v>1261</v>
      </c>
      <c r="H56" s="23">
        <v>3793</v>
      </c>
      <c r="I56" s="24">
        <v>20.7</v>
      </c>
      <c r="J56" s="24">
        <v>43.2</v>
      </c>
      <c r="K56" s="22">
        <v>8899</v>
      </c>
      <c r="L56" s="22">
        <v>28299</v>
      </c>
      <c r="M56" s="22">
        <v>8816</v>
      </c>
      <c r="N56" s="22">
        <v>3693</v>
      </c>
      <c r="O56" s="25">
        <v>3217.27</v>
      </c>
      <c r="P56" s="24">
        <v>77.5</v>
      </c>
      <c r="Q56" s="22">
        <v>2651</v>
      </c>
      <c r="R56" s="23">
        <v>0</v>
      </c>
      <c r="U56" s="19">
        <v>31</v>
      </c>
      <c r="V56" s="19">
        <v>0</v>
      </c>
      <c r="W56" s="19">
        <v>14</v>
      </c>
      <c r="X56" s="19">
        <f t="shared" si="11"/>
        <v>1.6761509632828651</v>
      </c>
      <c r="Y56" s="19">
        <f t="shared" si="12"/>
        <v>-0.33488764759650935</v>
      </c>
      <c r="Z56" s="19">
        <f t="shared" si="13"/>
        <v>9.6533868402792766E-2</v>
      </c>
      <c r="AA56" s="19">
        <f t="shared" si="14"/>
        <v>-0.7165959275484074</v>
      </c>
      <c r="AB56" s="19">
        <f t="shared" si="15"/>
        <v>-0.25672506689756958</v>
      </c>
      <c r="AC56" s="19">
        <f t="shared" si="16"/>
        <v>1.6005767788731291</v>
      </c>
      <c r="AD56" s="19">
        <f t="shared" si="17"/>
        <v>-0.30243591002618569</v>
      </c>
      <c r="AE56" s="19">
        <f t="shared" si="18"/>
        <v>-0.47494911013968499</v>
      </c>
      <c r="AF56" s="19">
        <f t="shared" si="19"/>
        <v>-0.48825557009288867</v>
      </c>
      <c r="AG56" s="19">
        <f t="shared" si="20"/>
        <v>-0.40422738496797345</v>
      </c>
      <c r="AH56" s="19">
        <f t="shared" si="21"/>
        <v>-0.30320117195887775</v>
      </c>
      <c r="AI56" s="19">
        <f t="shared" si="22"/>
        <v>-0.63864900406987324</v>
      </c>
      <c r="AJ56" s="19">
        <f t="shared" si="23"/>
        <v>-0.63946501413143031</v>
      </c>
      <c r="AK56" s="19">
        <f t="shared" si="24"/>
        <v>-0.38360968625623093</v>
      </c>
      <c r="AL56" s="19">
        <f t="shared" si="25"/>
        <v>-0.40402566857224581</v>
      </c>
      <c r="AO56" s="34" t="s">
        <v>62</v>
      </c>
      <c r="AP56" s="35">
        <v>-0.1828313466469588</v>
      </c>
      <c r="AQ56" s="35">
        <v>0.95564902882896663</v>
      </c>
      <c r="AR56" s="35">
        <v>7.6411553932822882E-2</v>
      </c>
      <c r="AS56" s="35">
        <v>0.8878028787936848</v>
      </c>
      <c r="AT56" s="35">
        <v>0.92994297909455037</v>
      </c>
      <c r="AU56" s="35">
        <v>-0.30045271771874366</v>
      </c>
      <c r="AV56" s="35">
        <v>0.88855448842114115</v>
      </c>
      <c r="AW56" s="35">
        <f>VARP(PCA!$AE$26:$AE$405)</f>
        <v>0.99736842105263179</v>
      </c>
      <c r="AX56" s="35">
        <v>0.98887734179271169</v>
      </c>
      <c r="AY56" s="35">
        <v>0.96510328149308677</v>
      </c>
      <c r="AZ56" s="35">
        <v>0.95319854208105081</v>
      </c>
      <c r="BA56" s="35">
        <v>0.3691131231925725</v>
      </c>
      <c r="BB56" s="35">
        <v>0.36929710140115773</v>
      </c>
      <c r="BC56" s="35">
        <v>0.84865134892666561</v>
      </c>
      <c r="BD56" s="35">
        <v>2.3090635667972453E-2</v>
      </c>
      <c r="BG56" s="36" t="s">
        <v>110</v>
      </c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V56" s="16">
        <v>0</v>
      </c>
      <c r="BW56" s="18">
        <v>28</v>
      </c>
      <c r="BX56" s="48">
        <v>1.3581396697754384</v>
      </c>
      <c r="BY56" s="48">
        <v>-1.9292606498605511E-2</v>
      </c>
      <c r="BZ56" s="18" t="e">
        <f t="shared" si="26"/>
        <v>#N/A</v>
      </c>
    </row>
    <row r="57" spans="1:78" x14ac:dyDescent="0.3">
      <c r="A57" s="19">
        <v>32</v>
      </c>
      <c r="B57" s="19">
        <v>0</v>
      </c>
      <c r="C57" s="19">
        <v>14</v>
      </c>
      <c r="D57" s="19">
        <v>88.413979173023606</v>
      </c>
      <c r="E57" s="22">
        <v>31778</v>
      </c>
      <c r="F57" s="22">
        <v>17699</v>
      </c>
      <c r="G57" s="23">
        <v>5699</v>
      </c>
      <c r="H57" s="23">
        <v>8380</v>
      </c>
      <c r="I57" s="24">
        <v>25.1</v>
      </c>
      <c r="J57" s="24">
        <v>106</v>
      </c>
      <c r="K57" s="22">
        <v>31187</v>
      </c>
      <c r="L57" s="22">
        <v>95741</v>
      </c>
      <c r="M57" s="22">
        <v>24533</v>
      </c>
      <c r="N57" s="22">
        <v>10576</v>
      </c>
      <c r="O57" s="25">
        <v>3130.03</v>
      </c>
      <c r="P57" s="24">
        <v>75.400000000000006</v>
      </c>
      <c r="Q57" s="22">
        <v>4612</v>
      </c>
      <c r="R57" s="23">
        <v>838</v>
      </c>
      <c r="U57" s="19">
        <v>32</v>
      </c>
      <c r="V57" s="19">
        <v>0</v>
      </c>
      <c r="W57" s="19">
        <v>14</v>
      </c>
      <c r="X57" s="19">
        <f t="shared" si="11"/>
        <v>0.94728147564150322</v>
      </c>
      <c r="Y57" s="19">
        <f t="shared" si="12"/>
        <v>3.9197644342448219E-2</v>
      </c>
      <c r="Z57" s="19">
        <f t="shared" si="13"/>
        <v>2.1042632612511962</v>
      </c>
      <c r="AA57" s="19">
        <f t="shared" si="14"/>
        <v>-0.24456109096840525</v>
      </c>
      <c r="AB57" s="19">
        <f t="shared" si="15"/>
        <v>-0.15572056927976896</v>
      </c>
      <c r="AC57" s="19">
        <f t="shared" si="16"/>
        <v>2.4358601442328069</v>
      </c>
      <c r="AD57" s="19">
        <f t="shared" si="17"/>
        <v>-0.25455702236251204</v>
      </c>
      <c r="AE57" s="19">
        <f t="shared" si="18"/>
        <v>0.66776481498660967</v>
      </c>
      <c r="AF57" s="19">
        <f t="shared" si="19"/>
        <v>0.45622485297820919</v>
      </c>
      <c r="AG57" s="19">
        <f t="shared" si="20"/>
        <v>0.17289878545909293</v>
      </c>
      <c r="AH57" s="19">
        <f t="shared" si="21"/>
        <v>-1.7991129803114153E-2</v>
      </c>
      <c r="AI57" s="19">
        <f t="shared" si="22"/>
        <v>-0.81548084532031462</v>
      </c>
      <c r="AJ57" s="19">
        <f t="shared" si="23"/>
        <v>-0.81614705875330051</v>
      </c>
      <c r="AK57" s="19">
        <f t="shared" si="24"/>
        <v>-0.3396436734538677</v>
      </c>
      <c r="AL57" s="19">
        <f t="shared" si="25"/>
        <v>5.4677328055509115E-2</v>
      </c>
      <c r="AO57" s="34" t="s">
        <v>63</v>
      </c>
      <c r="AP57" s="35">
        <v>-0.19609436847929848</v>
      </c>
      <c r="AQ57" s="35">
        <v>0.96710957271882592</v>
      </c>
      <c r="AR57" s="35">
        <v>2.426466032647354E-2</v>
      </c>
      <c r="AS57" s="35">
        <v>0.90439004002691292</v>
      </c>
      <c r="AT57" s="35">
        <v>0.94623046361101415</v>
      </c>
      <c r="AU57" s="35">
        <v>-0.29354106820638065</v>
      </c>
      <c r="AV57" s="35">
        <v>0.89303403939317161</v>
      </c>
      <c r="AW57" s="35">
        <v>0.98887734179271169</v>
      </c>
      <c r="AX57" s="35">
        <f>VARP(PCA!$AF$26:$AF$405)</f>
        <v>0.99736842105263235</v>
      </c>
      <c r="AY57" s="35">
        <v>0.98705648024507098</v>
      </c>
      <c r="AZ57" s="35">
        <v>0.96200832877916165</v>
      </c>
      <c r="BA57" s="35">
        <v>0.39454028993436524</v>
      </c>
      <c r="BB57" s="35">
        <v>0.39472421050625062</v>
      </c>
      <c r="BC57" s="35">
        <v>0.87877083218537</v>
      </c>
      <c r="BD57" s="35">
        <v>-1.0752193297399331E-2</v>
      </c>
      <c r="BG57" s="36" t="s">
        <v>111</v>
      </c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V57" s="16">
        <v>0</v>
      </c>
      <c r="BW57" s="18">
        <v>29</v>
      </c>
      <c r="BX57" s="48">
        <v>-0.6803797979755869</v>
      </c>
      <c r="BY57" s="48">
        <v>0.82843154937741248</v>
      </c>
      <c r="BZ57" s="18" t="e">
        <f t="shared" si="26"/>
        <v>#N/A</v>
      </c>
    </row>
    <row r="58" spans="1:78" x14ac:dyDescent="0.3">
      <c r="A58" s="19">
        <v>33</v>
      </c>
      <c r="B58" s="19">
        <v>0</v>
      </c>
      <c r="C58" s="19">
        <v>14</v>
      </c>
      <c r="D58" s="19">
        <v>56.925389435772502</v>
      </c>
      <c r="E58" s="22">
        <v>18456</v>
      </c>
      <c r="F58" s="22">
        <v>8384</v>
      </c>
      <c r="G58" s="23">
        <v>3866</v>
      </c>
      <c r="H58" s="23">
        <v>6206</v>
      </c>
      <c r="I58" s="24">
        <v>9.4</v>
      </c>
      <c r="J58" s="24">
        <v>204.1</v>
      </c>
      <c r="K58" s="22">
        <v>9694</v>
      </c>
      <c r="L58" s="22">
        <v>33713</v>
      </c>
      <c r="M58" s="22">
        <v>11745</v>
      </c>
      <c r="N58" s="22">
        <v>3953</v>
      </c>
      <c r="O58" s="25">
        <v>3568.59</v>
      </c>
      <c r="P58" s="24">
        <v>86</v>
      </c>
      <c r="Q58" s="22">
        <v>2756</v>
      </c>
      <c r="R58" s="23">
        <v>0</v>
      </c>
      <c r="U58" s="19">
        <v>33</v>
      </c>
      <c r="V58" s="19">
        <v>0</v>
      </c>
      <c r="W58" s="19">
        <v>14</v>
      </c>
      <c r="X58" s="19">
        <f t="shared" si="11"/>
        <v>-2.7110933643023877E-2</v>
      </c>
      <c r="Y58" s="19">
        <f t="shared" si="12"/>
        <v>-0.21045490846843209</v>
      </c>
      <c r="Z58" s="19">
        <f t="shared" si="13"/>
        <v>0.39428801261053809</v>
      </c>
      <c r="AA58" s="19">
        <f t="shared" si="14"/>
        <v>-0.4395227528546477</v>
      </c>
      <c r="AB58" s="19">
        <f t="shared" si="15"/>
        <v>-0.2035914604550684</v>
      </c>
      <c r="AC58" s="19">
        <f t="shared" si="16"/>
        <v>-0.54458277307331515</v>
      </c>
      <c r="AD58" s="19">
        <f t="shared" si="17"/>
        <v>-0.17976532045476704</v>
      </c>
      <c r="AE58" s="19">
        <f t="shared" si="18"/>
        <v>-0.43418916889437792</v>
      </c>
      <c r="AF58" s="19">
        <f t="shared" si="19"/>
        <v>-0.41243609542566462</v>
      </c>
      <c r="AG58" s="19">
        <f t="shared" si="20"/>
        <v>-0.296674890650936</v>
      </c>
      <c r="AH58" s="19">
        <f t="shared" si="21"/>
        <v>-0.29242758326782753</v>
      </c>
      <c r="AI58" s="19">
        <f t="shared" si="22"/>
        <v>7.3461982497128916E-2</v>
      </c>
      <c r="AJ58" s="19">
        <f t="shared" si="23"/>
        <v>7.5676595052331652E-2</v>
      </c>
      <c r="AK58" s="19">
        <f t="shared" si="24"/>
        <v>-0.38125556522397791</v>
      </c>
      <c r="AL58" s="19">
        <f t="shared" si="25"/>
        <v>-0.40402566857224581</v>
      </c>
      <c r="AO58" s="34" t="s">
        <v>64</v>
      </c>
      <c r="AP58" s="35">
        <v>-0.17944283371037992</v>
      </c>
      <c r="AQ58" s="35">
        <v>0.97355692041978326</v>
      </c>
      <c r="AR58" s="35">
        <v>-2.5510286949467591E-2</v>
      </c>
      <c r="AS58" s="35">
        <v>0.89380851264540473</v>
      </c>
      <c r="AT58" s="35">
        <v>0.96196745165596176</v>
      </c>
      <c r="AU58" s="35">
        <v>-0.27894475477447794</v>
      </c>
      <c r="AV58" s="35">
        <v>0.90263188294667374</v>
      </c>
      <c r="AW58" s="35">
        <v>0.96510328149308677</v>
      </c>
      <c r="AX58" s="35">
        <v>0.98705648024507098</v>
      </c>
      <c r="AY58" s="35">
        <f>VARP(PCA!$AG$26:$AG$405)</f>
        <v>0.99736842105263179</v>
      </c>
      <c r="AZ58" s="35">
        <v>0.96862755942687195</v>
      </c>
      <c r="BA58" s="35">
        <v>0.40389363077753659</v>
      </c>
      <c r="BB58" s="35">
        <v>0.40406644666288766</v>
      </c>
      <c r="BC58" s="35">
        <v>0.89250482753429461</v>
      </c>
      <c r="BD58" s="35">
        <v>-4.8535065040760689E-2</v>
      </c>
      <c r="BG58" s="36" t="s">
        <v>112</v>
      </c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  <c r="BV58" s="16">
        <v>0</v>
      </c>
      <c r="BW58" s="18">
        <v>30</v>
      </c>
      <c r="BX58" s="48">
        <v>1.7059124566256945</v>
      </c>
      <c r="BY58" s="48">
        <v>-1.1608880979283052</v>
      </c>
      <c r="BZ58" s="18" t="e">
        <f t="shared" si="26"/>
        <v>#N/A</v>
      </c>
    </row>
    <row r="59" spans="1:78" x14ac:dyDescent="0.3">
      <c r="A59" s="19">
        <v>34</v>
      </c>
      <c r="B59" s="19">
        <v>0</v>
      </c>
      <c r="C59" s="19">
        <v>14</v>
      </c>
      <c r="D59" s="19">
        <v>114.05079897914599</v>
      </c>
      <c r="E59" s="22">
        <v>42858</v>
      </c>
      <c r="F59" s="22">
        <v>6388</v>
      </c>
      <c r="G59" s="23">
        <v>12407</v>
      </c>
      <c r="H59" s="23">
        <v>24063</v>
      </c>
      <c r="I59" s="24">
        <v>13.2</v>
      </c>
      <c r="J59" s="24">
        <v>1403.2</v>
      </c>
      <c r="K59" s="22">
        <v>51165</v>
      </c>
      <c r="L59" s="22">
        <v>146740</v>
      </c>
      <c r="M59" s="22">
        <v>37138</v>
      </c>
      <c r="N59" s="22">
        <v>28848</v>
      </c>
      <c r="O59" s="25">
        <v>3634.53</v>
      </c>
      <c r="P59" s="24">
        <v>87.6</v>
      </c>
      <c r="Q59" s="22">
        <v>15423</v>
      </c>
      <c r="R59" s="23">
        <v>268</v>
      </c>
      <c r="U59" s="19">
        <v>34</v>
      </c>
      <c r="V59" s="19">
        <v>0</v>
      </c>
      <c r="W59" s="19">
        <v>14</v>
      </c>
      <c r="X59" s="19">
        <f t="shared" si="11"/>
        <v>1.7405949528636691</v>
      </c>
      <c r="Y59" s="19">
        <f t="shared" si="12"/>
        <v>0.24683540782725186</v>
      </c>
      <c r="Z59" s="19">
        <f t="shared" si="13"/>
        <v>2.7877857346259631E-2</v>
      </c>
      <c r="AA59" s="19">
        <f t="shared" si="14"/>
        <v>0.46891562912592877</v>
      </c>
      <c r="AB59" s="19">
        <f t="shared" si="15"/>
        <v>0.18961484300276138</v>
      </c>
      <c r="AC59" s="19">
        <f t="shared" si="16"/>
        <v>0.17679831519186065</v>
      </c>
      <c r="AD59" s="19">
        <f t="shared" si="17"/>
        <v>0.73443172090687425</v>
      </c>
      <c r="AE59" s="19">
        <f t="shared" si="18"/>
        <v>1.6920441938529558</v>
      </c>
      <c r="AF59" s="19">
        <f t="shared" si="19"/>
        <v>1.1704319805278507</v>
      </c>
      <c r="AG59" s="19">
        <f t="shared" si="20"/>
        <v>0.63575272566607721</v>
      </c>
      <c r="AH59" s="19">
        <f t="shared" si="21"/>
        <v>0.73914353390022913</v>
      </c>
      <c r="AI59" s="19">
        <f t="shared" si="22"/>
        <v>0.20711961216304073</v>
      </c>
      <c r="AJ59" s="19">
        <f t="shared" si="23"/>
        <v>0.21029148619280402</v>
      </c>
      <c r="AK59" s="19">
        <f t="shared" si="24"/>
        <v>-9.7258887933036942E-2</v>
      </c>
      <c r="AL59" s="19">
        <f t="shared" si="25"/>
        <v>-0.25732829017578002</v>
      </c>
      <c r="AO59" s="34" t="s">
        <v>65</v>
      </c>
      <c r="AP59" s="35">
        <v>-0.12762288258883719</v>
      </c>
      <c r="AQ59" s="35">
        <v>0.98431667208785911</v>
      </c>
      <c r="AR59" s="35">
        <v>-6.9448090655349098E-2</v>
      </c>
      <c r="AS59" s="35">
        <v>0.85133122959309881</v>
      </c>
      <c r="AT59" s="35">
        <v>0.98867468481903475</v>
      </c>
      <c r="AU59" s="35">
        <v>-0.26278818069353993</v>
      </c>
      <c r="AV59" s="35">
        <v>0.950213804783274</v>
      </c>
      <c r="AW59" s="35">
        <v>0.95319854208105081</v>
      </c>
      <c r="AX59" s="35">
        <v>0.96200832877916165</v>
      </c>
      <c r="AY59" s="35">
        <v>0.96862755942687195</v>
      </c>
      <c r="AZ59" s="35">
        <f>VARP(PCA!$AH$26:$AH$405)</f>
        <v>0.99736842105263102</v>
      </c>
      <c r="BA59" s="35">
        <v>0.3895145767843004</v>
      </c>
      <c r="BB59" s="35">
        <v>0.38969612627571487</v>
      </c>
      <c r="BC59" s="35">
        <v>0.89519210326322363</v>
      </c>
      <c r="BD59" s="35">
        <v>-1.3433613126857199E-2</v>
      </c>
      <c r="BG59" s="36" t="s">
        <v>113</v>
      </c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V59" s="16">
        <v>0</v>
      </c>
      <c r="BW59" s="18">
        <v>31</v>
      </c>
      <c r="BX59" s="48">
        <v>1.7154702196227654</v>
      </c>
      <c r="BY59" s="48">
        <v>-1.2912984059040051</v>
      </c>
      <c r="BZ59" s="18" t="e">
        <f t="shared" si="26"/>
        <v>#N/A</v>
      </c>
    </row>
    <row r="60" spans="1:78" x14ac:dyDescent="0.3">
      <c r="A60" s="19">
        <v>35</v>
      </c>
      <c r="B60" s="19">
        <v>0</v>
      </c>
      <c r="C60" s="19">
        <v>14</v>
      </c>
      <c r="D60" s="19">
        <v>26.584422946160501</v>
      </c>
      <c r="E60" s="22">
        <v>18710</v>
      </c>
      <c r="F60" s="22">
        <v>10318</v>
      </c>
      <c r="G60" s="23">
        <v>3004</v>
      </c>
      <c r="H60" s="23">
        <v>5388</v>
      </c>
      <c r="I60" s="24">
        <v>11.3</v>
      </c>
      <c r="J60" s="24">
        <v>254.6</v>
      </c>
      <c r="K60" s="22">
        <v>12691</v>
      </c>
      <c r="L60" s="22">
        <v>41213</v>
      </c>
      <c r="M60" s="22">
        <v>13101</v>
      </c>
      <c r="N60" s="22">
        <v>4740</v>
      </c>
      <c r="O60" s="25">
        <v>3273.22</v>
      </c>
      <c r="P60" s="24">
        <v>78.900000000000006</v>
      </c>
      <c r="Q60" s="22">
        <v>1200</v>
      </c>
      <c r="R60" s="23">
        <v>164</v>
      </c>
      <c r="U60" s="19">
        <v>35</v>
      </c>
      <c r="V60" s="19">
        <v>0</v>
      </c>
      <c r="W60" s="19">
        <v>14</v>
      </c>
      <c r="X60" s="19">
        <f t="shared" si="11"/>
        <v>-0.96599094333935598</v>
      </c>
      <c r="Y60" s="19">
        <f t="shared" si="12"/>
        <v>-0.20569498139937614</v>
      </c>
      <c r="Z60" s="19">
        <f t="shared" si="13"/>
        <v>0.74931669010608648</v>
      </c>
      <c r="AA60" s="19">
        <f t="shared" si="14"/>
        <v>-0.5312068513521605</v>
      </c>
      <c r="AB60" s="19">
        <f t="shared" si="15"/>
        <v>-0.22160359890097225</v>
      </c>
      <c r="AC60" s="19">
        <f t="shared" si="16"/>
        <v>-0.18389222894072707</v>
      </c>
      <c r="AD60" s="19">
        <f t="shared" si="17"/>
        <v>-0.14126398562967915</v>
      </c>
      <c r="AE60" s="19">
        <f t="shared" si="18"/>
        <v>-0.28053188095452214</v>
      </c>
      <c r="AF60" s="19">
        <f t="shared" si="19"/>
        <v>-0.30740357603072921</v>
      </c>
      <c r="AG60" s="19">
        <f t="shared" si="20"/>
        <v>-0.24688274920542463</v>
      </c>
      <c r="AH60" s="19">
        <f t="shared" si="21"/>
        <v>-0.2598167590376102</v>
      </c>
      <c r="AI60" s="19">
        <f t="shared" si="22"/>
        <v>-0.52524068772459365</v>
      </c>
      <c r="AJ60" s="19">
        <f t="shared" si="23"/>
        <v>-0.52167698438351617</v>
      </c>
      <c r="AK60" s="19">
        <f t="shared" si="24"/>
        <v>-0.41614139690193674</v>
      </c>
      <c r="AL60" s="19">
        <f t="shared" si="25"/>
        <v>-0.31425563104605031</v>
      </c>
      <c r="AO60" s="34" t="s">
        <v>66</v>
      </c>
      <c r="AP60" s="35">
        <v>-0.18505229868463888</v>
      </c>
      <c r="AQ60" s="35">
        <v>0.39139963704803477</v>
      </c>
      <c r="AR60" s="35">
        <v>-0.2856936167227615</v>
      </c>
      <c r="AS60" s="35">
        <v>0.49283884230173641</v>
      </c>
      <c r="AT60" s="35">
        <v>0.39214133454609085</v>
      </c>
      <c r="AU60" s="35">
        <v>-0.3747119787366226</v>
      </c>
      <c r="AV60" s="35">
        <v>0.42875015353293539</v>
      </c>
      <c r="AW60" s="35">
        <v>0.3691131231925725</v>
      </c>
      <c r="AX60" s="35">
        <v>0.39454028993436524</v>
      </c>
      <c r="AY60" s="35">
        <v>0.40389363077753659</v>
      </c>
      <c r="AZ60" s="35">
        <v>0.3895145767843004</v>
      </c>
      <c r="BA60" s="35">
        <f>VARP(PCA!$AI$26:$AI$405)</f>
        <v>0.99736842105269929</v>
      </c>
      <c r="BB60" s="35">
        <v>0.9973655354873231</v>
      </c>
      <c r="BC60" s="35">
        <v>0.47158394340913057</v>
      </c>
      <c r="BD60" s="35">
        <v>1.2047116832944755E-2</v>
      </c>
      <c r="BG60" s="36" t="s">
        <v>114</v>
      </c>
      <c r="BH60" s="36"/>
      <c r="BI60" s="36"/>
      <c r="BJ60" s="36"/>
      <c r="BK60" s="36"/>
      <c r="BL60" s="36"/>
      <c r="BM60" s="36"/>
      <c r="BN60" s="36"/>
      <c r="BO60" s="36"/>
      <c r="BP60" s="36"/>
      <c r="BQ60" s="36"/>
      <c r="BR60" s="36"/>
      <c r="BV60" s="16">
        <v>0</v>
      </c>
      <c r="BW60" s="18">
        <v>32</v>
      </c>
      <c r="BX60" s="48">
        <v>0.62122342693489863</v>
      </c>
      <c r="BY60" s="48">
        <v>-2.7213244043738438</v>
      </c>
      <c r="BZ60" s="18" t="e">
        <f t="shared" si="26"/>
        <v>#N/A</v>
      </c>
    </row>
    <row r="61" spans="1:78" x14ac:dyDescent="0.3">
      <c r="A61" s="19">
        <v>36</v>
      </c>
      <c r="B61" s="19">
        <v>0</v>
      </c>
      <c r="C61" s="19">
        <v>14</v>
      </c>
      <c r="D61" s="19">
        <v>62.002216128210698</v>
      </c>
      <c r="E61" s="22">
        <v>7880</v>
      </c>
      <c r="F61" s="22">
        <v>3442</v>
      </c>
      <c r="G61" s="23">
        <v>1506</v>
      </c>
      <c r="H61" s="23">
        <v>2932</v>
      </c>
      <c r="I61" s="24">
        <v>30.8</v>
      </c>
      <c r="J61" s="24">
        <v>14.7</v>
      </c>
      <c r="K61" s="22">
        <v>7645</v>
      </c>
      <c r="L61" s="22">
        <v>25214</v>
      </c>
      <c r="M61" s="22">
        <v>7382</v>
      </c>
      <c r="N61" s="22">
        <v>3038</v>
      </c>
      <c r="O61" s="25">
        <v>3103.03</v>
      </c>
      <c r="P61" s="24">
        <v>74.8</v>
      </c>
      <c r="Q61" s="22">
        <v>3456</v>
      </c>
      <c r="R61" s="23">
        <v>230</v>
      </c>
      <c r="U61" s="19">
        <v>36</v>
      </c>
      <c r="V61" s="19">
        <v>0</v>
      </c>
      <c r="W61" s="19">
        <v>14</v>
      </c>
      <c r="X61" s="19">
        <f t="shared" si="11"/>
        <v>0.12998792132769416</v>
      </c>
      <c r="Y61" s="19">
        <f t="shared" si="12"/>
        <v>-0.40864777729652624</v>
      </c>
      <c r="Z61" s="19">
        <f t="shared" si="13"/>
        <v>-0.51292590889049605</v>
      </c>
      <c r="AA61" s="19">
        <f t="shared" si="14"/>
        <v>-0.69053722205897505</v>
      </c>
      <c r="AB61" s="19">
        <f t="shared" si="15"/>
        <v>-0.27568405369698668</v>
      </c>
      <c r="AC61" s="19">
        <f t="shared" si="16"/>
        <v>3.5179317766305704</v>
      </c>
      <c r="AD61" s="19">
        <f t="shared" si="17"/>
        <v>-0.32416438611559173</v>
      </c>
      <c r="AE61" s="19">
        <f t="shared" si="18"/>
        <v>-0.53924214953794303</v>
      </c>
      <c r="AF61" s="19">
        <f t="shared" si="19"/>
        <v>-0.53145894640400548</v>
      </c>
      <c r="AG61" s="19">
        <f t="shared" si="20"/>
        <v>-0.45688367614265135</v>
      </c>
      <c r="AH61" s="19">
        <f t="shared" si="21"/>
        <v>-0.33034232808440805</v>
      </c>
      <c r="AI61" s="19">
        <f t="shared" si="22"/>
        <v>-0.87020871915985987</v>
      </c>
      <c r="AJ61" s="19">
        <f t="shared" si="23"/>
        <v>-0.86662764293097849</v>
      </c>
      <c r="AK61" s="19">
        <f t="shared" si="24"/>
        <v>-0.36556142500895789</v>
      </c>
      <c r="AL61" s="19">
        <f t="shared" si="25"/>
        <v>-0.27812866472453263</v>
      </c>
      <c r="AO61" s="34" t="s">
        <v>67</v>
      </c>
      <c r="AP61" s="35">
        <v>-0.18497237118295912</v>
      </c>
      <c r="AQ61" s="35">
        <v>0.39157040037137625</v>
      </c>
      <c r="AR61" s="35">
        <v>-0.28575055182725939</v>
      </c>
      <c r="AS61" s="35">
        <v>0.49299426985629147</v>
      </c>
      <c r="AT61" s="35">
        <v>0.39231663679858797</v>
      </c>
      <c r="AU61" s="35">
        <v>-0.37472163941649661</v>
      </c>
      <c r="AV61" s="35">
        <v>0.42891775608562244</v>
      </c>
      <c r="AW61" s="35">
        <v>0.36929710140115773</v>
      </c>
      <c r="AX61" s="35">
        <v>0.39472421050625062</v>
      </c>
      <c r="AY61" s="35">
        <v>0.40406644666288766</v>
      </c>
      <c r="AZ61" s="35">
        <v>0.38969612627571487</v>
      </c>
      <c r="BA61" s="35">
        <v>0.9973655354873231</v>
      </c>
      <c r="BB61" s="35">
        <f>VARP(PCA!$AJ$26:$AJ$405)</f>
        <v>0.99736842105259205</v>
      </c>
      <c r="BC61" s="35">
        <v>0.47180280072625425</v>
      </c>
      <c r="BD61" s="35">
        <v>1.2012259271084623E-2</v>
      </c>
      <c r="BG61" s="36" t="s">
        <v>115</v>
      </c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V61" s="16">
        <v>0</v>
      </c>
      <c r="BW61" s="18">
        <v>33</v>
      </c>
      <c r="BX61" s="48">
        <v>0.82075551264219937</v>
      </c>
      <c r="BY61" s="48">
        <v>0.29994983170979633</v>
      </c>
      <c r="BZ61" s="18" t="e">
        <f t="shared" si="26"/>
        <v>#N/A</v>
      </c>
    </row>
    <row r="62" spans="1:78" x14ac:dyDescent="0.3">
      <c r="A62" s="19">
        <v>37</v>
      </c>
      <c r="B62" s="19">
        <v>0</v>
      </c>
      <c r="C62" s="19">
        <v>14</v>
      </c>
      <c r="D62" s="19">
        <v>69.923158354283203</v>
      </c>
      <c r="E62" s="22">
        <v>29810</v>
      </c>
      <c r="F62" s="22">
        <v>12870</v>
      </c>
      <c r="G62" s="23">
        <v>7257</v>
      </c>
      <c r="H62" s="23">
        <v>9683</v>
      </c>
      <c r="I62" s="24">
        <v>13.3</v>
      </c>
      <c r="J62" s="24">
        <v>133.5</v>
      </c>
      <c r="K62" s="22">
        <v>23177</v>
      </c>
      <c r="L62" s="22">
        <v>67047</v>
      </c>
      <c r="M62" s="22">
        <v>18516</v>
      </c>
      <c r="N62" s="22">
        <v>7393</v>
      </c>
      <c r="O62" s="25">
        <v>3671.07</v>
      </c>
      <c r="P62" s="24">
        <v>88.4</v>
      </c>
      <c r="Q62" s="22">
        <v>4003</v>
      </c>
      <c r="R62" s="23">
        <v>778</v>
      </c>
      <c r="U62" s="19">
        <v>37</v>
      </c>
      <c r="V62" s="19">
        <v>0</v>
      </c>
      <c r="W62" s="19">
        <v>14</v>
      </c>
      <c r="X62" s="19">
        <f t="shared" si="11"/>
        <v>0.37509594438837091</v>
      </c>
      <c r="Y62" s="19">
        <f t="shared" si="12"/>
        <v>2.3175794924397771E-3</v>
      </c>
      <c r="Z62" s="19">
        <f t="shared" si="13"/>
        <v>1.2177930008447833</v>
      </c>
      <c r="AA62" s="19">
        <f t="shared" si="14"/>
        <v>-7.8848996468260296E-2</v>
      </c>
      <c r="AB62" s="19">
        <f t="shared" si="15"/>
        <v>-0.12702886219540138</v>
      </c>
      <c r="AC62" s="19">
        <f t="shared" si="16"/>
        <v>0.19578202804094449</v>
      </c>
      <c r="AD62" s="19">
        <f t="shared" si="17"/>
        <v>-0.23359094894290972</v>
      </c>
      <c r="AE62" s="19">
        <f t="shared" si="18"/>
        <v>0.25708918055276098</v>
      </c>
      <c r="AF62" s="19">
        <f t="shared" si="19"/>
        <v>5.4384438109105641E-2</v>
      </c>
      <c r="AG62" s="19">
        <f t="shared" si="20"/>
        <v>-4.8044662238283048E-2</v>
      </c>
      <c r="AH62" s="19">
        <f t="shared" si="21"/>
        <v>-0.1498847175093172</v>
      </c>
      <c r="AI62" s="19">
        <f t="shared" si="22"/>
        <v>0.2811846680925586</v>
      </c>
      <c r="AJ62" s="19">
        <f t="shared" si="23"/>
        <v>0.2775989317630414</v>
      </c>
      <c r="AK62" s="19">
        <f t="shared" si="24"/>
        <v>-0.3532975754409351</v>
      </c>
      <c r="AL62" s="19">
        <f t="shared" si="25"/>
        <v>2.1834631399583946E-2</v>
      </c>
      <c r="AO62" s="34" t="s">
        <v>68</v>
      </c>
      <c r="AP62" s="35">
        <v>-0.18905873126692721</v>
      </c>
      <c r="AQ62" s="35">
        <v>0.89035705887665395</v>
      </c>
      <c r="AR62" s="35">
        <v>-0.21953623404552089</v>
      </c>
      <c r="AS62" s="35">
        <v>0.83344536618056975</v>
      </c>
      <c r="AT62" s="35">
        <v>0.89997633804236887</v>
      </c>
      <c r="AU62" s="35">
        <v>-0.30102765910684914</v>
      </c>
      <c r="AV62" s="35">
        <v>0.83797875356622475</v>
      </c>
      <c r="AW62" s="35">
        <v>0.84865134892666561</v>
      </c>
      <c r="AX62" s="35">
        <v>0.87877083218537</v>
      </c>
      <c r="AY62" s="35">
        <v>0.89250482753429461</v>
      </c>
      <c r="AZ62" s="35">
        <v>0.89519210326322363</v>
      </c>
      <c r="BA62" s="35">
        <v>0.47158394340913057</v>
      </c>
      <c r="BB62" s="35">
        <v>0.47180280072625425</v>
      </c>
      <c r="BC62" s="35">
        <f>VARP(PCA!$AK$26:$AK$405)</f>
        <v>0.99736842105263135</v>
      </c>
      <c r="BD62" s="35">
        <v>-7.393370360103052E-2</v>
      </c>
      <c r="BG62" s="36" t="s">
        <v>116</v>
      </c>
      <c r="BH62" s="36"/>
      <c r="BI62" s="36"/>
      <c r="BJ62" s="36"/>
      <c r="BK62" s="36"/>
      <c r="BL62" s="36"/>
      <c r="BM62" s="36"/>
      <c r="BN62" s="36"/>
      <c r="BO62" s="36"/>
      <c r="BP62" s="36"/>
      <c r="BQ62" s="36"/>
      <c r="BR62" s="36"/>
      <c r="BV62" s="16">
        <v>0</v>
      </c>
      <c r="BW62" s="18">
        <v>34</v>
      </c>
      <c r="BX62" s="48">
        <v>-1.7782844438250045</v>
      </c>
      <c r="BY62" s="48">
        <v>-0.84626583541203637</v>
      </c>
      <c r="BZ62" s="18" t="e">
        <f t="shared" si="26"/>
        <v>#N/A</v>
      </c>
    </row>
    <row r="63" spans="1:78" x14ac:dyDescent="0.3">
      <c r="A63" s="19">
        <v>38</v>
      </c>
      <c r="B63" s="19">
        <v>0</v>
      </c>
      <c r="C63" s="19">
        <v>14</v>
      </c>
      <c r="D63" s="19">
        <v>76.047363807512596</v>
      </c>
      <c r="E63" s="22">
        <v>22617</v>
      </c>
      <c r="F63" s="22">
        <v>5554</v>
      </c>
      <c r="G63" s="23">
        <v>5931</v>
      </c>
      <c r="H63" s="23">
        <v>11132</v>
      </c>
      <c r="I63" s="24">
        <v>15.2</v>
      </c>
      <c r="J63" s="24">
        <v>369.1</v>
      </c>
      <c r="K63" s="22">
        <v>16493</v>
      </c>
      <c r="L63" s="22">
        <v>57173</v>
      </c>
      <c r="M63" s="22">
        <v>16661</v>
      </c>
      <c r="N63" s="22">
        <v>7325</v>
      </c>
      <c r="O63" s="25">
        <v>3702.17</v>
      </c>
      <c r="P63" s="24">
        <v>89.2</v>
      </c>
      <c r="Q63" s="22">
        <v>8244</v>
      </c>
      <c r="R63" s="23">
        <v>200</v>
      </c>
      <c r="U63" s="19">
        <v>38</v>
      </c>
      <c r="V63" s="19">
        <v>0</v>
      </c>
      <c r="W63" s="19">
        <v>14</v>
      </c>
      <c r="X63" s="19">
        <f t="shared" si="11"/>
        <v>0.56460520333959663</v>
      </c>
      <c r="Y63" s="19">
        <f t="shared" si="12"/>
        <v>-0.13247830793952706</v>
      </c>
      <c r="Z63" s="19">
        <f t="shared" si="13"/>
        <v>-0.12522137586536775</v>
      </c>
      <c r="AA63" s="19">
        <f t="shared" si="14"/>
        <v>-0.2198850923008612</v>
      </c>
      <c r="AB63" s="19">
        <f t="shared" si="15"/>
        <v>-9.5122274654918917E-2</v>
      </c>
      <c r="AC63" s="19">
        <f t="shared" si="16"/>
        <v>0.55647257217353219</v>
      </c>
      <c r="AD63" s="19">
        <f t="shared" si="17"/>
        <v>-5.3968879937153137E-2</v>
      </c>
      <c r="AE63" s="19">
        <f t="shared" si="18"/>
        <v>-8.5601948105896331E-2</v>
      </c>
      <c r="AF63" s="19">
        <f t="shared" si="19"/>
        <v>-8.3894374758306661E-2</v>
      </c>
      <c r="AG63" s="19">
        <f t="shared" si="20"/>
        <v>-0.11616001797679601</v>
      </c>
      <c r="AH63" s="19">
        <f t="shared" si="21"/>
        <v>-0.15270242532082262</v>
      </c>
      <c r="AI63" s="19">
        <f t="shared" si="22"/>
        <v>0.34422307092255316</v>
      </c>
      <c r="AJ63" s="19">
        <f t="shared" si="23"/>
        <v>0.34490637733327761</v>
      </c>
      <c r="AK63" s="19">
        <f t="shared" si="24"/>
        <v>-0.2582135059382209</v>
      </c>
      <c r="AL63" s="19">
        <f t="shared" si="25"/>
        <v>-0.29455001305249523</v>
      </c>
      <c r="AO63" s="34" t="s">
        <v>69</v>
      </c>
      <c r="AP63" s="35">
        <v>-8.3587772393951057E-2</v>
      </c>
      <c r="AQ63" s="35">
        <v>-2.7142446300632755E-2</v>
      </c>
      <c r="AR63" s="35">
        <v>3.7272939767071437E-4</v>
      </c>
      <c r="AS63" s="35">
        <v>4.1294244411881738E-2</v>
      </c>
      <c r="AT63" s="35">
        <v>-4.0486625033846591E-2</v>
      </c>
      <c r="AU63" s="35">
        <v>-0.15724017745308821</v>
      </c>
      <c r="AV63" s="35">
        <v>-1.0796899813252294E-2</v>
      </c>
      <c r="AW63" s="35">
        <v>2.3090635667972453E-2</v>
      </c>
      <c r="AX63" s="35">
        <v>-1.0752193297399331E-2</v>
      </c>
      <c r="AY63" s="35">
        <v>-4.8535065040760689E-2</v>
      </c>
      <c r="AZ63" s="35">
        <v>-1.3433613126857199E-2</v>
      </c>
      <c r="BA63" s="35">
        <v>1.2047116832944755E-2</v>
      </c>
      <c r="BB63" s="35">
        <v>1.2012259271084623E-2</v>
      </c>
      <c r="BC63" s="35">
        <v>-7.393370360103052E-2</v>
      </c>
      <c r="BD63" s="35">
        <f>VARP(PCA!$AL$26:$AL$405)</f>
        <v>0.99736842105263424</v>
      </c>
      <c r="BV63" s="16">
        <v>0</v>
      </c>
      <c r="BW63" s="18">
        <v>35</v>
      </c>
      <c r="BX63" s="48">
        <v>0.94807199004398157</v>
      </c>
      <c r="BY63" s="48">
        <v>-0.47058965802369473</v>
      </c>
      <c r="BZ63" s="18" t="e">
        <f t="shared" si="26"/>
        <v>#N/A</v>
      </c>
    </row>
    <row r="64" spans="1:78" x14ac:dyDescent="0.3">
      <c r="A64" s="19">
        <v>39</v>
      </c>
      <c r="B64" s="19">
        <v>0</v>
      </c>
      <c r="C64" s="19">
        <v>14</v>
      </c>
      <c r="D64" s="19">
        <v>61.089500639803198</v>
      </c>
      <c r="E64" s="22">
        <v>41834</v>
      </c>
      <c r="F64" s="22">
        <v>1680</v>
      </c>
      <c r="G64" s="23">
        <v>11401</v>
      </c>
      <c r="H64" s="23">
        <v>28753</v>
      </c>
      <c r="I64" s="24">
        <v>6.2</v>
      </c>
      <c r="J64" s="24">
        <v>1470.4</v>
      </c>
      <c r="K64" s="22">
        <v>30937</v>
      </c>
      <c r="L64" s="22">
        <v>97720</v>
      </c>
      <c r="M64" s="22">
        <v>32119</v>
      </c>
      <c r="N64" s="22">
        <v>27125</v>
      </c>
      <c r="O64" s="25">
        <v>5064.05</v>
      </c>
      <c r="P64" s="24">
        <v>122</v>
      </c>
      <c r="Q64" s="22">
        <v>37881</v>
      </c>
      <c r="R64" s="23">
        <v>1964</v>
      </c>
      <c r="U64" s="19">
        <v>39</v>
      </c>
      <c r="V64" s="19">
        <v>0</v>
      </c>
      <c r="W64" s="19">
        <v>14</v>
      </c>
      <c r="X64" s="19">
        <f t="shared" si="11"/>
        <v>0.1017445782259041</v>
      </c>
      <c r="Y64" s="19">
        <f t="shared" si="12"/>
        <v>0.22764578058822307</v>
      </c>
      <c r="Z64" s="19">
        <f t="shared" si="13"/>
        <v>-0.83638016418892225</v>
      </c>
      <c r="AA64" s="19">
        <f t="shared" si="14"/>
        <v>0.36191539352442309</v>
      </c>
      <c r="AB64" s="19">
        <f t="shared" si="15"/>
        <v>0.29288737272316356</v>
      </c>
      <c r="AC64" s="19">
        <f t="shared" si="16"/>
        <v>-1.1520615842439896</v>
      </c>
      <c r="AD64" s="19">
        <f t="shared" si="17"/>
        <v>0.78566518031768429</v>
      </c>
      <c r="AE64" s="19">
        <f t="shared" si="18"/>
        <v>0.65494722340003519</v>
      </c>
      <c r="AF64" s="19">
        <f t="shared" si="19"/>
        <v>0.48393943376255283</v>
      </c>
      <c r="AG64" s="19">
        <f t="shared" si="20"/>
        <v>0.45145570655470441</v>
      </c>
      <c r="AH64" s="19">
        <f t="shared" si="21"/>
        <v>0.6677477903822312</v>
      </c>
      <c r="AI64" s="19">
        <f t="shared" si="22"/>
        <v>3.1046970273892174</v>
      </c>
      <c r="AJ64" s="19">
        <f t="shared" si="23"/>
        <v>3.1045116457129707</v>
      </c>
      <c r="AK64" s="19">
        <f t="shared" si="24"/>
        <v>0.40625397056541984</v>
      </c>
      <c r="AL64" s="19">
        <f t="shared" si="25"/>
        <v>0.67102526863170486</v>
      </c>
      <c r="BV64" s="16">
        <v>0</v>
      </c>
      <c r="BW64" s="18">
        <v>36</v>
      </c>
      <c r="BX64" s="48">
        <v>1.9932179281100082</v>
      </c>
      <c r="BY64" s="48">
        <v>-1.551022121349638</v>
      </c>
      <c r="BZ64" s="18" t="e">
        <f t="shared" si="26"/>
        <v>#N/A</v>
      </c>
    </row>
    <row r="65" spans="1:78" x14ac:dyDescent="0.3">
      <c r="A65" s="19">
        <v>40</v>
      </c>
      <c r="B65" s="19">
        <v>0</v>
      </c>
      <c r="C65" s="19">
        <v>14</v>
      </c>
      <c r="D65" s="19">
        <v>100.73104611326301</v>
      </c>
      <c r="E65" s="22">
        <v>22018</v>
      </c>
      <c r="F65" s="22">
        <v>7833</v>
      </c>
      <c r="G65" s="23">
        <v>6946</v>
      </c>
      <c r="H65" s="23">
        <v>7239</v>
      </c>
      <c r="I65" s="24">
        <v>12.2</v>
      </c>
      <c r="J65" s="24">
        <v>277.10000000000002</v>
      </c>
      <c r="K65" s="22">
        <v>14004</v>
      </c>
      <c r="L65" s="22">
        <v>46270</v>
      </c>
      <c r="M65" s="22">
        <v>13484</v>
      </c>
      <c r="N65" s="22">
        <v>5253</v>
      </c>
      <c r="O65" s="25">
        <v>3158.83</v>
      </c>
      <c r="P65" s="24">
        <v>76.099999999999994</v>
      </c>
      <c r="Q65" s="22">
        <v>2114</v>
      </c>
      <c r="R65" s="23">
        <v>0</v>
      </c>
      <c r="U65" s="19">
        <v>40</v>
      </c>
      <c r="V65" s="19">
        <v>0</v>
      </c>
      <c r="W65" s="19">
        <v>14</v>
      </c>
      <c r="X65" s="19">
        <f t="shared" si="11"/>
        <v>1.3284245065413809</v>
      </c>
      <c r="Y65" s="19">
        <f t="shared" si="12"/>
        <v>-0.14370349027954488</v>
      </c>
      <c r="Z65" s="19">
        <f t="shared" si="13"/>
        <v>0.29313971824650131</v>
      </c>
      <c r="AA65" s="19">
        <f t="shared" si="14"/>
        <v>-0.11192759813035598</v>
      </c>
      <c r="AB65" s="19">
        <f t="shared" si="15"/>
        <v>-0.18084508024159815</v>
      </c>
      <c r="AC65" s="19">
        <f t="shared" si="16"/>
        <v>-1.3038813298975131E-2</v>
      </c>
      <c r="AD65" s="19">
        <f t="shared" si="17"/>
        <v>-0.12410992555909542</v>
      </c>
      <c r="AE65" s="19">
        <f t="shared" si="18"/>
        <v>-0.2132138899418326</v>
      </c>
      <c r="AF65" s="19">
        <f t="shared" si="19"/>
        <v>-0.23658364928670411</v>
      </c>
      <c r="AG65" s="19">
        <f t="shared" si="20"/>
        <v>-0.23281903963785028</v>
      </c>
      <c r="AH65" s="19">
        <f t="shared" si="21"/>
        <v>-0.23855963981257655</v>
      </c>
      <c r="AI65" s="19">
        <f t="shared" si="22"/>
        <v>-0.75710444655813358</v>
      </c>
      <c r="AJ65" s="19">
        <f t="shared" si="23"/>
        <v>-0.75725304387934456</v>
      </c>
      <c r="AK65" s="19">
        <f t="shared" si="24"/>
        <v>-0.395649333821182</v>
      </c>
      <c r="AL65" s="19">
        <f t="shared" si="25"/>
        <v>-0.40402566857224581</v>
      </c>
      <c r="BG65" s="37" t="s">
        <v>117</v>
      </c>
      <c r="BH65" s="40" t="s">
        <v>117</v>
      </c>
      <c r="BI65" s="40" t="s">
        <v>117</v>
      </c>
      <c r="BV65" s="16">
        <v>0</v>
      </c>
      <c r="BW65" s="18">
        <v>37</v>
      </c>
      <c r="BX65" s="48">
        <v>0.20129461328893747</v>
      </c>
      <c r="BY65" s="48">
        <v>-0.24720641531639373</v>
      </c>
      <c r="BZ65" s="18" t="e">
        <f t="shared" si="26"/>
        <v>#N/A</v>
      </c>
    </row>
    <row r="66" spans="1:78" x14ac:dyDescent="0.3">
      <c r="A66" s="19">
        <v>41</v>
      </c>
      <c r="B66" s="19">
        <v>0</v>
      </c>
      <c r="C66" s="19">
        <v>14</v>
      </c>
      <c r="D66" s="19">
        <v>36.371567891384402</v>
      </c>
      <c r="E66" s="22">
        <v>12076</v>
      </c>
      <c r="F66" s="22">
        <v>5215</v>
      </c>
      <c r="G66" s="23">
        <v>2403</v>
      </c>
      <c r="H66" s="23">
        <v>4458</v>
      </c>
      <c r="I66" s="24">
        <v>20.6</v>
      </c>
      <c r="J66" s="24">
        <v>111.3</v>
      </c>
      <c r="K66" s="22">
        <v>10068</v>
      </c>
      <c r="L66" s="22">
        <v>33277</v>
      </c>
      <c r="M66" s="22">
        <v>9635</v>
      </c>
      <c r="N66" s="22">
        <v>3353</v>
      </c>
      <c r="O66" s="25">
        <v>3253.31</v>
      </c>
      <c r="P66" s="24">
        <v>78.400000000000006</v>
      </c>
      <c r="Q66" s="22">
        <v>4776</v>
      </c>
      <c r="R66" s="23">
        <v>114</v>
      </c>
      <c r="U66" s="19">
        <v>41</v>
      </c>
      <c r="V66" s="19">
        <v>0</v>
      </c>
      <c r="W66" s="19">
        <v>14</v>
      </c>
      <c r="X66" s="19">
        <f t="shared" si="11"/>
        <v>-0.66313458099449474</v>
      </c>
      <c r="Y66" s="19">
        <f t="shared" si="12"/>
        <v>-0.33001528130534974</v>
      </c>
      <c r="Z66" s="19">
        <f t="shared" si="13"/>
        <v>-0.18745235914923067</v>
      </c>
      <c r="AA66" s="19">
        <f t="shared" si="14"/>
        <v>-0.59513045134868625</v>
      </c>
      <c r="AB66" s="19">
        <f t="shared" si="15"/>
        <v>-0.24208194701184091</v>
      </c>
      <c r="AC66" s="19">
        <f t="shared" si="16"/>
        <v>1.5815930660240458</v>
      </c>
      <c r="AD66" s="19">
        <f t="shared" si="17"/>
        <v>-0.25051628821255228</v>
      </c>
      <c r="AE66" s="19">
        <f t="shared" si="18"/>
        <v>-0.41501405188086238</v>
      </c>
      <c r="AF66" s="19">
        <f t="shared" si="19"/>
        <v>-0.41854198588649022</v>
      </c>
      <c r="AG66" s="19">
        <f t="shared" si="20"/>
        <v>-0.37415381281172433</v>
      </c>
      <c r="AH66" s="19">
        <f t="shared" si="21"/>
        <v>-0.31728971101640496</v>
      </c>
      <c r="AI66" s="19">
        <f t="shared" si="22"/>
        <v>-0.56559742728553208</v>
      </c>
      <c r="AJ66" s="19">
        <f t="shared" si="23"/>
        <v>-0.56374413786491395</v>
      </c>
      <c r="AK66" s="19">
        <f t="shared" si="24"/>
        <v>-0.33596676060349157</v>
      </c>
      <c r="AL66" s="19">
        <f t="shared" si="25"/>
        <v>-0.34162454492598798</v>
      </c>
      <c r="BH66" s="18" t="s">
        <v>150</v>
      </c>
      <c r="BI66" s="18" t="s">
        <v>149</v>
      </c>
      <c r="BV66" s="16">
        <v>0</v>
      </c>
      <c r="BW66" s="18">
        <v>38</v>
      </c>
      <c r="BX66" s="48">
        <v>0.36057037479784271</v>
      </c>
      <c r="BY66" s="48">
        <v>0.20899546881983183</v>
      </c>
      <c r="BZ66" s="18" t="e">
        <f t="shared" si="26"/>
        <v>#N/A</v>
      </c>
    </row>
    <row r="67" spans="1:78" x14ac:dyDescent="0.3">
      <c r="A67" s="19">
        <v>42</v>
      </c>
      <c r="B67" s="19">
        <v>0</v>
      </c>
      <c r="C67" s="19">
        <v>14</v>
      </c>
      <c r="D67" s="19">
        <v>53.139645790291397</v>
      </c>
      <c r="E67" s="22">
        <v>45441</v>
      </c>
      <c r="F67" s="22">
        <v>915</v>
      </c>
      <c r="G67" s="23">
        <v>17219</v>
      </c>
      <c r="H67" s="23">
        <v>27307</v>
      </c>
      <c r="I67" s="24">
        <v>10.3</v>
      </c>
      <c r="J67" s="24">
        <v>2273.1</v>
      </c>
      <c r="K67" s="22">
        <v>20771</v>
      </c>
      <c r="L67" s="22">
        <v>74692</v>
      </c>
      <c r="M67" s="22">
        <v>26268</v>
      </c>
      <c r="N67" s="22">
        <v>12394</v>
      </c>
      <c r="O67" s="25">
        <v>5078.16</v>
      </c>
      <c r="P67" s="24">
        <v>122.3</v>
      </c>
      <c r="Q67" s="22">
        <v>54970</v>
      </c>
      <c r="R67" s="23">
        <v>0</v>
      </c>
      <c r="U67" s="19">
        <v>42</v>
      </c>
      <c r="V67" s="19">
        <v>0</v>
      </c>
      <c r="W67" s="19">
        <v>14</v>
      </c>
      <c r="X67" s="19">
        <f t="shared" si="11"/>
        <v>-0.14425812576671751</v>
      </c>
      <c r="Y67" s="19">
        <f t="shared" si="12"/>
        <v>0.29524049294288796</v>
      </c>
      <c r="Z67" s="19">
        <f t="shared" si="13"/>
        <v>-0.97681291407728543</v>
      </c>
      <c r="AA67" s="19">
        <f t="shared" si="14"/>
        <v>0.98072987735102357</v>
      </c>
      <c r="AB67" s="19">
        <f t="shared" si="15"/>
        <v>0.26104684437013553</v>
      </c>
      <c r="AC67" s="19">
        <f t="shared" si="16"/>
        <v>-0.37372935743156283</v>
      </c>
      <c r="AD67" s="19">
        <f t="shared" si="17"/>
        <v>1.3976458033691306</v>
      </c>
      <c r="AE67" s="19">
        <f t="shared" si="18"/>
        <v>0.13373267912356746</v>
      </c>
      <c r="AF67" s="19">
        <f t="shared" si="19"/>
        <v>0.16144758621234315</v>
      </c>
      <c r="AG67" s="19">
        <f t="shared" si="20"/>
        <v>0.23660775699888806</v>
      </c>
      <c r="AH67" s="19">
        <f t="shared" si="21"/>
        <v>5.7341117275075335E-2</v>
      </c>
      <c r="AI67" s="19">
        <f t="shared" si="22"/>
        <v>3.1332974088661052</v>
      </c>
      <c r="AJ67" s="19">
        <f t="shared" si="23"/>
        <v>3.1297519378018093</v>
      </c>
      <c r="AK67" s="19">
        <f t="shared" si="24"/>
        <v>0.78939277361467308</v>
      </c>
      <c r="AL67" s="19">
        <f t="shared" si="25"/>
        <v>-0.40402566857224581</v>
      </c>
      <c r="BV67" s="16">
        <v>0</v>
      </c>
      <c r="BW67" s="18">
        <v>39</v>
      </c>
      <c r="BX67" s="48">
        <v>-2.6577138421693975</v>
      </c>
      <c r="BY67" s="48">
        <v>3.7513376971341819</v>
      </c>
      <c r="BZ67" s="18" t="e">
        <f t="shared" si="26"/>
        <v>#N/A</v>
      </c>
    </row>
    <row r="68" spans="1:78" x14ac:dyDescent="0.3">
      <c r="A68" s="19">
        <v>43</v>
      </c>
      <c r="B68" s="19">
        <v>0</v>
      </c>
      <c r="C68" s="19">
        <v>14</v>
      </c>
      <c r="D68" s="19">
        <v>74.289512470897193</v>
      </c>
      <c r="E68" s="22">
        <v>16263</v>
      </c>
      <c r="F68" s="22">
        <v>1560</v>
      </c>
      <c r="G68" s="23">
        <v>3442</v>
      </c>
      <c r="H68" s="23">
        <v>11261</v>
      </c>
      <c r="I68" s="24">
        <v>12.4</v>
      </c>
      <c r="J68" s="24">
        <v>300.60000000000002</v>
      </c>
      <c r="K68" s="22">
        <v>23759</v>
      </c>
      <c r="L68" s="22">
        <v>69521</v>
      </c>
      <c r="M68" s="22">
        <v>19962</v>
      </c>
      <c r="N68" s="22">
        <v>16101</v>
      </c>
      <c r="O68" s="25">
        <v>3889.27</v>
      </c>
      <c r="P68" s="24">
        <v>93.7</v>
      </c>
      <c r="Q68" s="22">
        <v>31924</v>
      </c>
      <c r="R68" s="23">
        <v>612</v>
      </c>
      <c r="U68" s="19">
        <v>43</v>
      </c>
      <c r="V68" s="19">
        <v>0</v>
      </c>
      <c r="W68" s="19">
        <v>14</v>
      </c>
      <c r="X68" s="19">
        <f t="shared" si="11"/>
        <v>0.51020972188612224</v>
      </c>
      <c r="Y68" s="19">
        <f t="shared" si="12"/>
        <v>-0.25155144414732872</v>
      </c>
      <c r="Z68" s="19">
        <f t="shared" si="13"/>
        <v>-0.85840883083807729</v>
      </c>
      <c r="AA68" s="19">
        <f t="shared" si="14"/>
        <v>-0.48462026766084887</v>
      </c>
      <c r="AB68" s="19">
        <f t="shared" si="15"/>
        <v>-9.2281729594379067E-2</v>
      </c>
      <c r="AC68" s="19">
        <f t="shared" si="16"/>
        <v>2.4928612399192227E-2</v>
      </c>
      <c r="AD68" s="19">
        <f t="shared" si="17"/>
        <v>-0.10619346281870799</v>
      </c>
      <c r="AE68" s="19">
        <f t="shared" si="18"/>
        <v>0.28692853376630656</v>
      </c>
      <c r="AF68" s="19">
        <f t="shared" si="19"/>
        <v>8.9031165173515003E-2</v>
      </c>
      <c r="AG68" s="19">
        <f t="shared" si="20"/>
        <v>5.0522673562666725E-3</v>
      </c>
      <c r="AH68" s="19">
        <f t="shared" si="21"/>
        <v>0.21094762988170263</v>
      </c>
      <c r="AI68" s="19">
        <f t="shared" si="22"/>
        <v>0.7234669670476982</v>
      </c>
      <c r="AJ68" s="19">
        <f t="shared" si="23"/>
        <v>0.72351075866585746</v>
      </c>
      <c r="AK68" s="19">
        <f t="shared" si="24"/>
        <v>0.27269683733559941</v>
      </c>
      <c r="AL68" s="19">
        <f t="shared" si="25"/>
        <v>-6.9030162681809032E-2</v>
      </c>
      <c r="BF68" s="18" t="s">
        <v>126</v>
      </c>
      <c r="BG68" s="39">
        <v>9.0086840000000006</v>
      </c>
      <c r="BH68" s="41">
        <f>BG68/$BG$84</f>
        <v>0.60057893446598531</v>
      </c>
      <c r="BI68" s="46">
        <f>BH68</f>
        <v>0.60057893446598531</v>
      </c>
      <c r="BV68" s="16">
        <v>0</v>
      </c>
      <c r="BW68" s="18">
        <v>40</v>
      </c>
      <c r="BX68" s="48">
        <v>0.97075218315560619</v>
      </c>
      <c r="BY68" s="48">
        <v>-1.0747526607920319</v>
      </c>
      <c r="BZ68" s="18" t="e">
        <f t="shared" si="26"/>
        <v>#N/A</v>
      </c>
    </row>
    <row r="69" spans="1:78" x14ac:dyDescent="0.3">
      <c r="A69" s="19">
        <v>44</v>
      </c>
      <c r="B69" s="19">
        <v>0</v>
      </c>
      <c r="C69" s="19">
        <v>14</v>
      </c>
      <c r="D69" s="19">
        <v>106.528294514731</v>
      </c>
      <c r="E69" s="22">
        <v>21675</v>
      </c>
      <c r="F69" s="22">
        <v>2026</v>
      </c>
      <c r="G69" s="23">
        <v>6279</v>
      </c>
      <c r="H69" s="23">
        <v>13370</v>
      </c>
      <c r="I69" s="24">
        <v>5.6</v>
      </c>
      <c r="J69" s="24">
        <v>362.6</v>
      </c>
      <c r="K69" s="22">
        <v>18568</v>
      </c>
      <c r="L69" s="22">
        <v>55199</v>
      </c>
      <c r="M69" s="22">
        <v>16889</v>
      </c>
      <c r="N69" s="22">
        <v>12463</v>
      </c>
      <c r="O69" s="25">
        <v>4211.62</v>
      </c>
      <c r="P69" s="24">
        <v>101.5</v>
      </c>
      <c r="Q69" s="22">
        <v>16406</v>
      </c>
      <c r="R69" s="23">
        <v>329</v>
      </c>
      <c r="U69" s="19">
        <v>44</v>
      </c>
      <c r="V69" s="19">
        <v>0</v>
      </c>
      <c r="W69" s="19">
        <v>14</v>
      </c>
      <c r="X69" s="19">
        <f t="shared" si="11"/>
        <v>1.5078163079609515</v>
      </c>
      <c r="Y69" s="19">
        <f t="shared" si="12"/>
        <v>-0.15013126580980549</v>
      </c>
      <c r="Z69" s="19">
        <f t="shared" si="13"/>
        <v>-0.77286417535052521</v>
      </c>
      <c r="AA69" s="19">
        <f t="shared" si="14"/>
        <v>-0.18287109429954512</v>
      </c>
      <c r="AB69" s="19">
        <f t="shared" si="15"/>
        <v>-4.5842120813925288E-2</v>
      </c>
      <c r="AC69" s="19">
        <f t="shared" si="16"/>
        <v>-1.2659638613384911</v>
      </c>
      <c r="AD69" s="19">
        <f t="shared" si="17"/>
        <v>-5.8924497290877322E-2</v>
      </c>
      <c r="AE69" s="19">
        <f t="shared" si="18"/>
        <v>2.0784062062672481E-2</v>
      </c>
      <c r="AF69" s="19">
        <f t="shared" si="19"/>
        <v>-0.11153893386305366</v>
      </c>
      <c r="AG69" s="19">
        <f t="shared" si="20"/>
        <v>-0.10778788799923214</v>
      </c>
      <c r="AH69" s="19">
        <f t="shared" si="21"/>
        <v>6.0200261966161732E-2</v>
      </c>
      <c r="AI69" s="19">
        <f t="shared" si="22"/>
        <v>1.376856971943158</v>
      </c>
      <c r="AJ69" s="19">
        <f t="shared" si="23"/>
        <v>1.3797583529756623</v>
      </c>
      <c r="AK69" s="19">
        <f t="shared" si="24"/>
        <v>-7.5219831031087397E-2</v>
      </c>
      <c r="AL69" s="19">
        <f t="shared" si="25"/>
        <v>-0.2239382152422561</v>
      </c>
      <c r="BF69" s="18" t="s">
        <v>127</v>
      </c>
      <c r="BG69" s="39">
        <v>1.88337</v>
      </c>
      <c r="BH69" s="41">
        <f t="shared" ref="BH69:BH82" si="27">BG69/$BG$84</f>
        <v>0.12555800023679403</v>
      </c>
      <c r="BI69" s="46">
        <f>BI68+BH69</f>
        <v>0.72613693470277929</v>
      </c>
      <c r="BV69" s="16">
        <v>0</v>
      </c>
      <c r="BW69" s="18">
        <v>41</v>
      </c>
      <c r="BX69" s="48">
        <v>1.39009335337882</v>
      </c>
      <c r="BY69" s="48">
        <v>-0.67540576315796019</v>
      </c>
      <c r="BZ69" s="18" t="e">
        <f t="shared" si="26"/>
        <v>#N/A</v>
      </c>
    </row>
    <row r="70" spans="1:78" x14ac:dyDescent="0.3">
      <c r="A70" s="19">
        <v>45</v>
      </c>
      <c r="B70" s="19">
        <v>0</v>
      </c>
      <c r="C70" s="19">
        <v>14</v>
      </c>
      <c r="D70" s="19">
        <v>24.7379636549176</v>
      </c>
      <c r="E70" s="22">
        <v>25187</v>
      </c>
      <c r="F70" s="22">
        <v>7175</v>
      </c>
      <c r="G70" s="23">
        <v>6033</v>
      </c>
      <c r="H70" s="23">
        <v>11979</v>
      </c>
      <c r="I70" s="24">
        <v>8.6999999999999993</v>
      </c>
      <c r="J70" s="24">
        <v>248.5</v>
      </c>
      <c r="K70" s="22">
        <v>16058</v>
      </c>
      <c r="L70" s="22">
        <v>53209</v>
      </c>
      <c r="M70" s="22">
        <v>15900</v>
      </c>
      <c r="N70" s="22">
        <v>8687</v>
      </c>
      <c r="O70" s="25">
        <v>4016.39</v>
      </c>
      <c r="P70" s="24">
        <v>96.8</v>
      </c>
      <c r="Q70" s="22">
        <v>3881</v>
      </c>
      <c r="R70" s="23">
        <v>313</v>
      </c>
      <c r="U70" s="19">
        <v>45</v>
      </c>
      <c r="V70" s="19">
        <v>0</v>
      </c>
      <c r="W70" s="19">
        <v>14</v>
      </c>
      <c r="X70" s="19">
        <f t="shared" si="11"/>
        <v>-1.0231283360410539</v>
      </c>
      <c r="Y70" s="19">
        <f t="shared" si="12"/>
        <v>-8.431684113844895E-2</v>
      </c>
      <c r="Z70" s="19">
        <f t="shared" si="13"/>
        <v>0.17234919612030128</v>
      </c>
      <c r="AA70" s="19">
        <f t="shared" si="14"/>
        <v>-0.20903616185219959</v>
      </c>
      <c r="AB70" s="19">
        <f t="shared" si="15"/>
        <v>-7.6471564063622405E-2</v>
      </c>
      <c r="AC70" s="19">
        <f t="shared" si="16"/>
        <v>-0.6774687630169004</v>
      </c>
      <c r="AD70" s="19">
        <f t="shared" si="17"/>
        <v>-0.14591464191548184</v>
      </c>
      <c r="AE70" s="19">
        <f t="shared" si="18"/>
        <v>-0.10790455746653606</v>
      </c>
      <c r="AF70" s="19">
        <f t="shared" si="19"/>
        <v>-0.13940756234250987</v>
      </c>
      <c r="AG70" s="19">
        <f t="shared" si="20"/>
        <v>-0.14410383777033151</v>
      </c>
      <c r="AH70" s="19">
        <f t="shared" si="21"/>
        <v>-9.6265395331551956E-2</v>
      </c>
      <c r="AI70" s="19">
        <f t="shared" si="22"/>
        <v>0.98113390491743868</v>
      </c>
      <c r="AJ70" s="19">
        <f t="shared" si="23"/>
        <v>0.98432711025052311</v>
      </c>
      <c r="AK70" s="19">
        <f t="shared" si="24"/>
        <v>-0.35603283987841</v>
      </c>
      <c r="AL70" s="19">
        <f t="shared" si="25"/>
        <v>-0.23269626768383614</v>
      </c>
      <c r="BF70" s="18" t="s">
        <v>128</v>
      </c>
      <c r="BG70" s="39">
        <v>1.1999629999999999</v>
      </c>
      <c r="BH70" s="41">
        <f t="shared" si="27"/>
        <v>7.9997533484203354E-2</v>
      </c>
      <c r="BI70" s="43">
        <f t="shared" ref="BI70:BI82" si="28">BI69+BH70</f>
        <v>0.80613446818698264</v>
      </c>
      <c r="BV70" s="16">
        <v>0</v>
      </c>
      <c r="BW70" s="18">
        <v>42</v>
      </c>
      <c r="BX70" s="48">
        <v>-2.5677238835169054</v>
      </c>
      <c r="BY70" s="48">
        <v>3.7227900552958446</v>
      </c>
      <c r="BZ70" s="18" t="e">
        <f t="shared" si="26"/>
        <v>#N/A</v>
      </c>
    </row>
    <row r="71" spans="1:78" x14ac:dyDescent="0.3">
      <c r="A71" s="19">
        <v>46</v>
      </c>
      <c r="B71" s="19">
        <v>0</v>
      </c>
      <c r="C71" s="19">
        <v>14</v>
      </c>
      <c r="D71" s="19">
        <v>126.34545165263999</v>
      </c>
      <c r="E71" s="22">
        <v>31086</v>
      </c>
      <c r="F71" s="22">
        <v>8123</v>
      </c>
      <c r="G71" s="23">
        <v>8458</v>
      </c>
      <c r="H71" s="23">
        <v>14505</v>
      </c>
      <c r="I71" s="24">
        <v>8.6999999999999993</v>
      </c>
      <c r="J71" s="24">
        <v>288.10000000000002</v>
      </c>
      <c r="K71" s="22">
        <v>31138</v>
      </c>
      <c r="L71" s="22">
        <v>93437</v>
      </c>
      <c r="M71" s="22">
        <v>26945</v>
      </c>
      <c r="N71" s="22">
        <v>14079</v>
      </c>
      <c r="O71" s="25">
        <v>3533.17</v>
      </c>
      <c r="P71" s="24">
        <v>85.1</v>
      </c>
      <c r="Q71" s="22">
        <v>2931</v>
      </c>
      <c r="R71" s="23">
        <v>102</v>
      </c>
      <c r="U71" s="19">
        <v>46</v>
      </c>
      <c r="V71" s="19">
        <v>0</v>
      </c>
      <c r="W71" s="19">
        <v>14</v>
      </c>
      <c r="X71" s="19">
        <f t="shared" si="11"/>
        <v>2.1210443899392875</v>
      </c>
      <c r="Y71" s="19">
        <f t="shared" si="12"/>
        <v>2.6229654059823301E-2</v>
      </c>
      <c r="Z71" s="19">
        <f t="shared" si="13"/>
        <v>0.3463756626486259</v>
      </c>
      <c r="AA71" s="19">
        <f t="shared" si="14"/>
        <v>4.8891841461569038E-2</v>
      </c>
      <c r="AB71" s="19">
        <f t="shared" si="15"/>
        <v>-2.0849728227004934E-2</v>
      </c>
      <c r="AC71" s="19">
        <f t="shared" si="16"/>
        <v>-0.6774687630169004</v>
      </c>
      <c r="AD71" s="19">
        <f t="shared" si="17"/>
        <v>-0.11572349619125449</v>
      </c>
      <c r="AE71" s="19">
        <f t="shared" si="18"/>
        <v>0.66525256703564106</v>
      </c>
      <c r="AF71" s="19">
        <f t="shared" si="19"/>
        <v>0.42395886302008506</v>
      </c>
      <c r="AG71" s="19">
        <f t="shared" si="20"/>
        <v>0.26146710785332111</v>
      </c>
      <c r="AH71" s="19">
        <f t="shared" si="21"/>
        <v>0.12716225936899683</v>
      </c>
      <c r="AI71" s="19">
        <f t="shared" si="22"/>
        <v>1.6671198528067732E-3</v>
      </c>
      <c r="AJ71" s="19">
        <f t="shared" si="23"/>
        <v>-4.4281214184800787E-5</v>
      </c>
      <c r="AK71" s="19">
        <f t="shared" si="24"/>
        <v>-0.37733203017022293</v>
      </c>
      <c r="AL71" s="19">
        <f t="shared" si="25"/>
        <v>-0.34819308425717299</v>
      </c>
      <c r="BF71" s="18" t="s">
        <v>129</v>
      </c>
      <c r="BG71" s="39">
        <v>0.91233900000000001</v>
      </c>
      <c r="BH71" s="41">
        <f t="shared" si="27"/>
        <v>6.082260011470738E-2</v>
      </c>
      <c r="BI71" s="43">
        <f t="shared" si="28"/>
        <v>0.86695706830169006</v>
      </c>
      <c r="BV71" s="16">
        <v>0</v>
      </c>
      <c r="BW71" s="18">
        <v>43</v>
      </c>
      <c r="BX71" s="48">
        <v>-0.22939952599705798</v>
      </c>
      <c r="BY71" s="48">
        <v>0.96572385230859226</v>
      </c>
      <c r="BZ71" s="18" t="e">
        <f t="shared" si="26"/>
        <v>#N/A</v>
      </c>
    </row>
    <row r="72" spans="1:78" x14ac:dyDescent="0.3">
      <c r="A72" s="19">
        <v>47</v>
      </c>
      <c r="B72" s="19">
        <v>0</v>
      </c>
      <c r="C72" s="19">
        <v>14</v>
      </c>
      <c r="D72" s="19">
        <v>31.006033003872599</v>
      </c>
      <c r="E72" s="22">
        <v>25300</v>
      </c>
      <c r="F72" s="22">
        <v>14173</v>
      </c>
      <c r="G72" s="23">
        <v>3895</v>
      </c>
      <c r="H72" s="23">
        <v>7232</v>
      </c>
      <c r="I72" s="24">
        <v>16.899999999999999</v>
      </c>
      <c r="J72" s="24">
        <v>178</v>
      </c>
      <c r="K72" s="22">
        <v>21135</v>
      </c>
      <c r="L72" s="22">
        <v>70346</v>
      </c>
      <c r="M72" s="22">
        <v>19557</v>
      </c>
      <c r="N72" s="22">
        <v>7234</v>
      </c>
      <c r="O72" s="25">
        <v>3449.24</v>
      </c>
      <c r="P72" s="24">
        <v>83.1</v>
      </c>
      <c r="Q72" s="22">
        <v>215</v>
      </c>
      <c r="R72" s="23">
        <v>2249</v>
      </c>
      <c r="U72" s="19">
        <v>47</v>
      </c>
      <c r="V72" s="19">
        <v>0</v>
      </c>
      <c r="W72" s="19">
        <v>14</v>
      </c>
      <c r="X72" s="19">
        <f t="shared" si="11"/>
        <v>-0.82916730934999516</v>
      </c>
      <c r="Y72" s="19">
        <f t="shared" si="12"/>
        <v>-8.2199235788829567E-2</v>
      </c>
      <c r="Z72" s="19">
        <f t="shared" si="13"/>
        <v>1.4569876062101914</v>
      </c>
      <c r="AA72" s="19">
        <f t="shared" si="14"/>
        <v>-0.4364382530212047</v>
      </c>
      <c r="AB72" s="19">
        <f t="shared" si="15"/>
        <v>-0.18099921834565846</v>
      </c>
      <c r="AC72" s="19">
        <f t="shared" si="16"/>
        <v>0.87919569060795288</v>
      </c>
      <c r="AD72" s="19">
        <f t="shared" si="17"/>
        <v>-0.19966403013664413</v>
      </c>
      <c r="AE72" s="19">
        <f t="shared" si="18"/>
        <v>0.15239509247362001</v>
      </c>
      <c r="AF72" s="19">
        <f t="shared" si="19"/>
        <v>0.10058474230695791</v>
      </c>
      <c r="AG72" s="19">
        <f t="shared" si="20"/>
        <v>-9.8192793144059667E-3</v>
      </c>
      <c r="AH72" s="19">
        <f t="shared" si="21"/>
        <v>-0.1564731813626902</v>
      </c>
      <c r="AI72" s="19">
        <f t="shared" si="22"/>
        <v>-0.16845548945656549</v>
      </c>
      <c r="AJ72" s="19">
        <f t="shared" si="23"/>
        <v>-0.16831289513977588</v>
      </c>
      <c r="AK72" s="19">
        <f t="shared" si="24"/>
        <v>-0.43822529420450063</v>
      </c>
      <c r="AL72" s="19">
        <f t="shared" si="25"/>
        <v>0.82702807774734943</v>
      </c>
      <c r="BF72" s="18" t="s">
        <v>130</v>
      </c>
      <c r="BG72" s="39">
        <v>0.86155349999999997</v>
      </c>
      <c r="BH72" s="41">
        <f t="shared" si="27"/>
        <v>5.7436900108322177E-2</v>
      </c>
      <c r="BI72" s="43">
        <f t="shared" si="28"/>
        <v>0.9243939684100122</v>
      </c>
      <c r="BV72" s="16">
        <v>0</v>
      </c>
      <c r="BW72" s="18">
        <v>44</v>
      </c>
      <c r="BX72" s="48">
        <v>-0.36724681581945395</v>
      </c>
      <c r="BY72" s="48">
        <v>1.9298791851993888</v>
      </c>
      <c r="BZ72" s="18" t="e">
        <f t="shared" si="26"/>
        <v>#N/A</v>
      </c>
    </row>
    <row r="73" spans="1:78" x14ac:dyDescent="0.3">
      <c r="A73" s="19">
        <v>48</v>
      </c>
      <c r="B73" s="19">
        <v>0</v>
      </c>
      <c r="C73" s="19">
        <v>14</v>
      </c>
      <c r="D73" s="19">
        <v>55.104668993216499</v>
      </c>
      <c r="E73" s="22">
        <v>10831</v>
      </c>
      <c r="F73" s="22">
        <v>6975</v>
      </c>
      <c r="G73" s="23">
        <v>1005</v>
      </c>
      <c r="H73" s="23">
        <v>2851</v>
      </c>
      <c r="I73" s="24">
        <v>18.8</v>
      </c>
      <c r="J73" s="24">
        <v>9.1</v>
      </c>
      <c r="K73" s="22">
        <v>6947</v>
      </c>
      <c r="L73" s="22">
        <v>22952</v>
      </c>
      <c r="M73" s="22">
        <v>6862</v>
      </c>
      <c r="N73" s="22">
        <v>2109</v>
      </c>
      <c r="O73" s="25">
        <v>3365.55</v>
      </c>
      <c r="P73" s="24">
        <v>81.099999999999994</v>
      </c>
      <c r="Q73" s="22">
        <v>5294</v>
      </c>
      <c r="R73" s="23">
        <v>0</v>
      </c>
      <c r="U73" s="19">
        <v>48</v>
      </c>
      <c r="V73" s="19">
        <v>0</v>
      </c>
      <c r="W73" s="19">
        <v>14</v>
      </c>
      <c r="X73" s="19">
        <f t="shared" si="11"/>
        <v>-8.3451855655068519E-2</v>
      </c>
      <c r="Y73" s="19">
        <f t="shared" si="12"/>
        <v>-0.35334641989186422</v>
      </c>
      <c r="Z73" s="19">
        <f t="shared" si="13"/>
        <v>0.13563475170504294</v>
      </c>
      <c r="AA73" s="19">
        <f t="shared" si="14"/>
        <v>-0.74382461573328362</v>
      </c>
      <c r="AB73" s="19">
        <f t="shared" si="15"/>
        <v>-0.27746765175825588</v>
      </c>
      <c r="AC73" s="19">
        <f t="shared" si="16"/>
        <v>1.2398862347405413</v>
      </c>
      <c r="AD73" s="19">
        <f t="shared" si="17"/>
        <v>-0.32843384106649254</v>
      </c>
      <c r="AE73" s="19">
        <f t="shared" si="18"/>
        <v>-0.57502886524765917</v>
      </c>
      <c r="AF73" s="19">
        <f t="shared" si="19"/>
        <v>-0.56313675425351795</v>
      </c>
      <c r="AG73" s="19">
        <f t="shared" si="20"/>
        <v>-0.47597800767042858</v>
      </c>
      <c r="AH73" s="19">
        <f t="shared" si="21"/>
        <v>-0.36883718921512204</v>
      </c>
      <c r="AI73" s="19">
        <f t="shared" si="22"/>
        <v>-0.33809162877625154</v>
      </c>
      <c r="AJ73" s="19">
        <f t="shared" si="23"/>
        <v>-0.33658150906536694</v>
      </c>
      <c r="AK73" s="19">
        <f t="shared" si="24"/>
        <v>-0.32435309684437674</v>
      </c>
      <c r="AL73" s="19">
        <f t="shared" si="25"/>
        <v>-0.40402566857224581</v>
      </c>
      <c r="BF73" s="18" t="s">
        <v>131</v>
      </c>
      <c r="BG73" s="39">
        <v>0.66417809999999999</v>
      </c>
      <c r="BH73" s="41">
        <f t="shared" si="27"/>
        <v>4.4278540083506381E-2</v>
      </c>
      <c r="BI73" s="43">
        <f t="shared" si="28"/>
        <v>0.9686725084935186</v>
      </c>
      <c r="BV73" s="16">
        <v>0</v>
      </c>
      <c r="BW73" s="18">
        <v>45</v>
      </c>
      <c r="BX73" s="48">
        <v>-7.672765675704972E-2</v>
      </c>
      <c r="BY73" s="48">
        <v>1.4883794525943981</v>
      </c>
      <c r="BZ73" s="18" t="e">
        <f t="shared" si="26"/>
        <v>#N/A</v>
      </c>
    </row>
    <row r="74" spans="1:78" x14ac:dyDescent="0.3">
      <c r="A74" s="19">
        <v>49</v>
      </c>
      <c r="B74" s="19">
        <v>0</v>
      </c>
      <c r="C74" s="19">
        <v>14</v>
      </c>
      <c r="D74" s="19">
        <v>115.72325621486399</v>
      </c>
      <c r="E74" s="22">
        <v>23553</v>
      </c>
      <c r="F74" s="22">
        <v>16002</v>
      </c>
      <c r="G74" s="23">
        <v>2781</v>
      </c>
      <c r="H74" s="23">
        <v>4770</v>
      </c>
      <c r="I74" s="24">
        <v>15.2</v>
      </c>
      <c r="J74" s="24">
        <v>100.8</v>
      </c>
      <c r="K74" s="22">
        <v>18493</v>
      </c>
      <c r="L74" s="22">
        <v>56219</v>
      </c>
      <c r="M74" s="22">
        <v>13666</v>
      </c>
      <c r="N74" s="22">
        <v>5314</v>
      </c>
      <c r="O74" s="25">
        <v>3556.24</v>
      </c>
      <c r="P74" s="24">
        <v>85.7</v>
      </c>
      <c r="Q74" s="22">
        <v>50</v>
      </c>
      <c r="R74" s="23">
        <v>0</v>
      </c>
      <c r="U74" s="19">
        <v>49</v>
      </c>
      <c r="V74" s="19">
        <v>0</v>
      </c>
      <c r="W74" s="19">
        <v>14</v>
      </c>
      <c r="X74" s="19">
        <f t="shared" si="11"/>
        <v>1.7923479735271746</v>
      </c>
      <c r="Y74" s="19">
        <f t="shared" si="12"/>
        <v>-0.1149377892913523</v>
      </c>
      <c r="Z74" s="19">
        <f t="shared" si="13"/>
        <v>1.7927412003877292</v>
      </c>
      <c r="AA74" s="19">
        <f t="shared" si="14"/>
        <v>-0.55492559145070497</v>
      </c>
      <c r="AB74" s="19">
        <f t="shared" si="15"/>
        <v>-0.23521179151658175</v>
      </c>
      <c r="AC74" s="19">
        <f t="shared" si="16"/>
        <v>0.55647257217353219</v>
      </c>
      <c r="AD74" s="19">
        <f t="shared" si="17"/>
        <v>-0.25852151624549136</v>
      </c>
      <c r="AE74" s="19">
        <f t="shared" si="18"/>
        <v>1.6938784586700114E-2</v>
      </c>
      <c r="AF74" s="19">
        <f t="shared" si="19"/>
        <v>-9.7254511225342441E-2</v>
      </c>
      <c r="AG74" s="19">
        <f t="shared" si="20"/>
        <v>-0.22613602360312823</v>
      </c>
      <c r="AH74" s="19">
        <f t="shared" si="21"/>
        <v>-0.23603199015813783</v>
      </c>
      <c r="AI74" s="19">
        <f t="shared" si="22"/>
        <v>4.8429047611262099E-2</v>
      </c>
      <c r="AJ74" s="19">
        <f t="shared" si="23"/>
        <v>5.0436302963493239E-2</v>
      </c>
      <c r="AK74" s="19">
        <f t="shared" si="24"/>
        <v>-0.44192462725518389</v>
      </c>
      <c r="AL74" s="19">
        <f t="shared" si="25"/>
        <v>-0.40402566857224581</v>
      </c>
      <c r="BF74" s="18" t="s">
        <v>132</v>
      </c>
      <c r="BG74" s="39">
        <v>0.195273</v>
      </c>
      <c r="BH74" s="41">
        <f t="shared" si="27"/>
        <v>1.301820002455146E-2</v>
      </c>
      <c r="BI74" s="44">
        <f t="shared" si="28"/>
        <v>0.98169070851807005</v>
      </c>
      <c r="BV74" s="16">
        <v>0</v>
      </c>
      <c r="BW74" s="18">
        <v>46</v>
      </c>
      <c r="BX74" s="48">
        <v>-0.26476253412605638</v>
      </c>
      <c r="BY74" s="48">
        <v>-0.54528760066773774</v>
      </c>
      <c r="BZ74" s="18" t="e">
        <f t="shared" si="26"/>
        <v>#N/A</v>
      </c>
    </row>
    <row r="75" spans="1:78" x14ac:dyDescent="0.3">
      <c r="A75" s="19">
        <v>50</v>
      </c>
      <c r="B75" s="19">
        <v>0</v>
      </c>
      <c r="C75" s="19">
        <v>6</v>
      </c>
      <c r="D75" s="19">
        <v>94.053524343052203</v>
      </c>
      <c r="E75" s="22">
        <v>32715</v>
      </c>
      <c r="F75" s="22">
        <v>19055</v>
      </c>
      <c r="G75" s="23">
        <v>3197</v>
      </c>
      <c r="H75" s="23">
        <v>10463</v>
      </c>
      <c r="I75" s="24">
        <v>12.9</v>
      </c>
      <c r="J75" s="24">
        <v>200.4</v>
      </c>
      <c r="K75" s="22">
        <v>21881</v>
      </c>
      <c r="L75" s="22">
        <v>69559</v>
      </c>
      <c r="M75" s="22">
        <v>21067</v>
      </c>
      <c r="N75" s="22">
        <v>6636</v>
      </c>
      <c r="O75" s="25">
        <v>3127.01</v>
      </c>
      <c r="P75" s="24">
        <v>75.3</v>
      </c>
      <c r="Q75" s="22">
        <v>2231</v>
      </c>
      <c r="R75" s="23">
        <v>2594</v>
      </c>
      <c r="U75" s="19">
        <v>50</v>
      </c>
      <c r="V75" s="19">
        <v>0</v>
      </c>
      <c r="W75" s="19">
        <v>6</v>
      </c>
      <c r="X75" s="19">
        <f t="shared" si="11"/>
        <v>1.1217932607467069</v>
      </c>
      <c r="Y75" s="19">
        <f t="shared" si="12"/>
        <v>5.6756902860973582E-2</v>
      </c>
      <c r="Z75" s="19">
        <f t="shared" si="13"/>
        <v>2.3531871943866483</v>
      </c>
      <c r="AA75" s="19">
        <f t="shared" si="14"/>
        <v>-0.51067897315028121</v>
      </c>
      <c r="AB75" s="19">
        <f t="shared" si="15"/>
        <v>-0.10985347345725346</v>
      </c>
      <c r="AC75" s="19">
        <f t="shared" si="16"/>
        <v>0.11984717664461011</v>
      </c>
      <c r="AD75" s="19">
        <f t="shared" si="17"/>
        <v>-0.18258621033304079</v>
      </c>
      <c r="AE75" s="19">
        <f t="shared" si="18"/>
        <v>0.19064278576795848</v>
      </c>
      <c r="AF75" s="19">
        <f t="shared" si="19"/>
        <v>8.9563329938449343E-2</v>
      </c>
      <c r="AG75" s="19">
        <f t="shared" si="20"/>
        <v>4.5627721852793256E-2</v>
      </c>
      <c r="AH75" s="19">
        <f t="shared" si="21"/>
        <v>-0.18125243535210567</v>
      </c>
      <c r="AI75" s="19">
        <f t="shared" si="22"/>
        <v>-0.82160225935718223</v>
      </c>
      <c r="AJ75" s="19">
        <f t="shared" si="23"/>
        <v>-0.82456048944958082</v>
      </c>
      <c r="AK75" s="19">
        <f t="shared" si="24"/>
        <v>-0.39302617038524296</v>
      </c>
      <c r="AL75" s="19">
        <f t="shared" si="25"/>
        <v>1.0158735835189192</v>
      </c>
      <c r="BF75" s="18" t="s">
        <v>133</v>
      </c>
      <c r="BG75" s="39">
        <v>0.1355759</v>
      </c>
      <c r="BH75" s="41">
        <f t="shared" si="27"/>
        <v>9.0383933503791428E-3</v>
      </c>
      <c r="BI75" s="44">
        <f t="shared" si="28"/>
        <v>0.9907291018684492</v>
      </c>
      <c r="BV75" s="16">
        <v>0</v>
      </c>
      <c r="BW75" s="18">
        <v>47</v>
      </c>
      <c r="BX75" s="48">
        <v>0.55175162440299175</v>
      </c>
      <c r="BY75" s="48">
        <v>-0.72215858357667995</v>
      </c>
      <c r="BZ75" s="18" t="e">
        <f t="shared" si="26"/>
        <v>#N/A</v>
      </c>
    </row>
    <row r="76" spans="1:78" x14ac:dyDescent="0.3">
      <c r="A76" s="19">
        <v>51</v>
      </c>
      <c r="B76" s="19">
        <v>0</v>
      </c>
      <c r="C76" s="19">
        <v>6</v>
      </c>
      <c r="D76" s="19">
        <v>82.208730113365405</v>
      </c>
      <c r="E76" s="22">
        <v>37717</v>
      </c>
      <c r="F76" s="22">
        <v>24486</v>
      </c>
      <c r="G76" s="23">
        <v>5386</v>
      </c>
      <c r="H76" s="23">
        <v>7845</v>
      </c>
      <c r="I76" s="24">
        <v>8</v>
      </c>
      <c r="J76" s="24">
        <v>69.400000000000006</v>
      </c>
      <c r="K76" s="22">
        <v>18818</v>
      </c>
      <c r="L76" s="22">
        <v>63886</v>
      </c>
      <c r="M76" s="22">
        <v>19943</v>
      </c>
      <c r="N76" s="22">
        <v>7535</v>
      </c>
      <c r="O76" s="25">
        <v>3343.68</v>
      </c>
      <c r="P76" s="24">
        <v>80.599999999999994</v>
      </c>
      <c r="Q76" s="22">
        <v>6252</v>
      </c>
      <c r="R76" s="23">
        <v>164</v>
      </c>
      <c r="U76" s="19">
        <v>51</v>
      </c>
      <c r="V76" s="19">
        <v>0</v>
      </c>
      <c r="W76" s="19">
        <v>6</v>
      </c>
      <c r="X76" s="19">
        <f t="shared" si="11"/>
        <v>0.75526437891207898</v>
      </c>
      <c r="Y76" s="19">
        <f t="shared" si="12"/>
        <v>0.15049373435474503</v>
      </c>
      <c r="Z76" s="19">
        <f t="shared" si="13"/>
        <v>3.3501679324829894</v>
      </c>
      <c r="AA76" s="19">
        <f t="shared" si="14"/>
        <v>-0.27785241675694528</v>
      </c>
      <c r="AB76" s="19">
        <f t="shared" si="15"/>
        <v>-0.16750112437580633</v>
      </c>
      <c r="AC76" s="19">
        <f t="shared" si="16"/>
        <v>-0.81035475296048531</v>
      </c>
      <c r="AD76" s="19">
        <f t="shared" si="17"/>
        <v>-0.28246096007732818</v>
      </c>
      <c r="AE76" s="19">
        <f t="shared" si="18"/>
        <v>3.3601653649247033E-2</v>
      </c>
      <c r="AF76" s="19">
        <f t="shared" si="19"/>
        <v>1.0116732268120199E-2</v>
      </c>
      <c r="AG76" s="19">
        <f t="shared" si="20"/>
        <v>4.3545898581363518E-3</v>
      </c>
      <c r="AH76" s="19">
        <f t="shared" si="21"/>
        <v>-0.14400068060882054</v>
      </c>
      <c r="AI76" s="19">
        <f t="shared" si="22"/>
        <v>-0.38242120658628392</v>
      </c>
      <c r="AJ76" s="19">
        <f t="shared" si="23"/>
        <v>-0.37864866254676471</v>
      </c>
      <c r="AK76" s="19">
        <f t="shared" si="24"/>
        <v>-0.30287454495010646</v>
      </c>
      <c r="AL76" s="19">
        <f t="shared" si="25"/>
        <v>-0.31425563104605031</v>
      </c>
      <c r="BF76" s="18" t="s">
        <v>134</v>
      </c>
      <c r="BG76" s="39">
        <v>7.4029559999999994E-2</v>
      </c>
      <c r="BH76" s="41">
        <f t="shared" si="27"/>
        <v>4.9353040093076551E-3</v>
      </c>
      <c r="BI76" s="42">
        <f t="shared" si="28"/>
        <v>0.99566440587775684</v>
      </c>
      <c r="BV76" s="16">
        <v>0</v>
      </c>
      <c r="BW76" s="18">
        <v>48</v>
      </c>
      <c r="BX76" s="48">
        <v>1.5500079832568743</v>
      </c>
      <c r="BY76" s="48">
        <v>-0.48518437064183956</v>
      </c>
      <c r="BZ76" s="18" t="e">
        <f t="shared" si="26"/>
        <v>#N/A</v>
      </c>
    </row>
    <row r="77" spans="1:78" x14ac:dyDescent="0.3">
      <c r="A77" s="19">
        <v>52</v>
      </c>
      <c r="B77" s="19">
        <v>0</v>
      </c>
      <c r="C77" s="19">
        <v>6</v>
      </c>
      <c r="D77" s="19">
        <v>70</v>
      </c>
      <c r="E77" s="22">
        <v>22889</v>
      </c>
      <c r="F77" s="22">
        <v>16718</v>
      </c>
      <c r="G77" s="23">
        <v>1377</v>
      </c>
      <c r="H77" s="23">
        <v>4794</v>
      </c>
      <c r="I77" s="24">
        <v>16.899999999999999</v>
      </c>
      <c r="J77" s="24">
        <v>50.7</v>
      </c>
      <c r="K77" s="22">
        <v>14642</v>
      </c>
      <c r="L77" s="22">
        <v>50244</v>
      </c>
      <c r="M77" s="22">
        <v>14491</v>
      </c>
      <c r="N77" s="22">
        <v>3774</v>
      </c>
      <c r="O77" s="25">
        <v>3251.54</v>
      </c>
      <c r="P77" s="24">
        <v>78.3</v>
      </c>
      <c r="Q77" s="22">
        <v>3116</v>
      </c>
      <c r="R77" s="23">
        <v>553</v>
      </c>
      <c r="U77" s="19">
        <v>52</v>
      </c>
      <c r="V77" s="19">
        <v>0</v>
      </c>
      <c r="W77" s="19">
        <v>6</v>
      </c>
      <c r="X77" s="19">
        <f t="shared" si="11"/>
        <v>0.37747375542812039</v>
      </c>
      <c r="Y77" s="19">
        <f t="shared" si="12"/>
        <v>-0.12738106320416004</v>
      </c>
      <c r="Z77" s="19">
        <f t="shared" si="13"/>
        <v>1.9241789113943542</v>
      </c>
      <c r="AA77" s="19">
        <f t="shared" si="14"/>
        <v>-0.7042579282146354</v>
      </c>
      <c r="AB77" s="19">
        <f t="shared" si="15"/>
        <v>-0.23468331801694642</v>
      </c>
      <c r="AC77" s="19">
        <f t="shared" si="16"/>
        <v>0.87919569060795288</v>
      </c>
      <c r="AD77" s="19">
        <f t="shared" si="17"/>
        <v>-0.29671789000265775</v>
      </c>
      <c r="AE77" s="19">
        <f t="shared" si="18"/>
        <v>-0.18050339621289432</v>
      </c>
      <c r="AF77" s="19">
        <f t="shared" si="19"/>
        <v>-0.18093041834330764</v>
      </c>
      <c r="AG77" s="19">
        <f t="shared" si="20"/>
        <v>-0.19584213223694324</v>
      </c>
      <c r="AH77" s="19">
        <f t="shared" si="21"/>
        <v>-0.29984478471281978</v>
      </c>
      <c r="AI77" s="19">
        <f t="shared" si="22"/>
        <v>-0.56918514345945781</v>
      </c>
      <c r="AJ77" s="19">
        <f t="shared" si="23"/>
        <v>-0.57215756856119415</v>
      </c>
      <c r="AK77" s="19">
        <f t="shared" si="24"/>
        <v>-0.37318429311339618</v>
      </c>
      <c r="AL77" s="19">
        <f t="shared" si="25"/>
        <v>-0.10132548106013545</v>
      </c>
      <c r="BF77" s="18" t="s">
        <v>135</v>
      </c>
      <c r="BG77" s="39">
        <v>4.0570370000000001E-2</v>
      </c>
      <c r="BH77" s="41">
        <f t="shared" si="27"/>
        <v>2.7046913384342016E-3</v>
      </c>
      <c r="BI77" s="42">
        <f t="shared" si="28"/>
        <v>0.99836909721619105</v>
      </c>
      <c r="BV77" s="16">
        <v>0</v>
      </c>
      <c r="BW77" s="18">
        <v>49</v>
      </c>
      <c r="BX77" s="48">
        <v>0.91355879957849617</v>
      </c>
      <c r="BY77" s="48">
        <v>-1.0339673734056078</v>
      </c>
      <c r="BZ77" s="18" t="e">
        <f t="shared" si="26"/>
        <v>#N/A</v>
      </c>
    </row>
    <row r="78" spans="1:78" x14ac:dyDescent="0.3">
      <c r="A78" s="19">
        <v>53</v>
      </c>
      <c r="B78" s="19">
        <v>0</v>
      </c>
      <c r="C78" s="19">
        <v>6</v>
      </c>
      <c r="D78" s="19">
        <v>106.42875042202201</v>
      </c>
      <c r="E78" s="22">
        <v>20570</v>
      </c>
      <c r="F78" s="22">
        <v>13704</v>
      </c>
      <c r="G78" s="23">
        <v>1127</v>
      </c>
      <c r="H78" s="23">
        <v>5739</v>
      </c>
      <c r="I78" s="24">
        <v>17.7</v>
      </c>
      <c r="J78" s="24">
        <v>79.400000000000006</v>
      </c>
      <c r="K78" s="22">
        <v>11065</v>
      </c>
      <c r="L78" s="22">
        <v>40726</v>
      </c>
      <c r="M78" s="22">
        <v>14148</v>
      </c>
      <c r="N78" s="22">
        <v>4292</v>
      </c>
      <c r="O78" s="25">
        <v>3275.78</v>
      </c>
      <c r="P78" s="24">
        <v>78.900000000000006</v>
      </c>
      <c r="Q78" s="22">
        <v>3274</v>
      </c>
      <c r="R78" s="23">
        <v>330</v>
      </c>
      <c r="U78" s="19">
        <v>53</v>
      </c>
      <c r="V78" s="19">
        <v>0</v>
      </c>
      <c r="W78" s="19">
        <v>6</v>
      </c>
      <c r="X78" s="19">
        <f t="shared" si="11"/>
        <v>1.5047359855605482</v>
      </c>
      <c r="Y78" s="19">
        <f t="shared" si="12"/>
        <v>-0.17083882254723401</v>
      </c>
      <c r="Z78" s="19">
        <f t="shared" si="13"/>
        <v>1.3708922340564105</v>
      </c>
      <c r="AA78" s="19">
        <f t="shared" si="14"/>
        <v>-0.73084844402017857</v>
      </c>
      <c r="AB78" s="19">
        <f t="shared" si="15"/>
        <v>-0.21387467396880569</v>
      </c>
      <c r="AC78" s="19">
        <f t="shared" si="16"/>
        <v>1.0310653934006218</v>
      </c>
      <c r="AD78" s="19">
        <f t="shared" si="17"/>
        <v>-0.27483693337929099</v>
      </c>
      <c r="AE78" s="19">
        <f t="shared" si="18"/>
        <v>-0.36389749663360305</v>
      </c>
      <c r="AF78" s="19">
        <f t="shared" si="19"/>
        <v>-0.31422368762344033</v>
      </c>
      <c r="AG78" s="19">
        <f t="shared" si="20"/>
        <v>-0.20843704707161168</v>
      </c>
      <c r="AH78" s="19">
        <f t="shared" si="21"/>
        <v>-0.27838048108988134</v>
      </c>
      <c r="AI78" s="19">
        <f t="shared" si="22"/>
        <v>-0.52005167450128775</v>
      </c>
      <c r="AJ78" s="19">
        <f t="shared" si="23"/>
        <v>-0.52167698438351617</v>
      </c>
      <c r="AK78" s="19">
        <f t="shared" si="24"/>
        <v>-0.36964190146486309</v>
      </c>
      <c r="AL78" s="19">
        <f t="shared" si="25"/>
        <v>-0.22339083696465734</v>
      </c>
      <c r="BF78" s="18" t="s">
        <v>136</v>
      </c>
      <c r="BG78" s="39">
        <v>1.8418339999999998E-2</v>
      </c>
      <c r="BH78" s="41">
        <f t="shared" si="27"/>
        <v>1.2278893356490509E-3</v>
      </c>
      <c r="BI78" s="42">
        <f t="shared" si="28"/>
        <v>0.99959698655184015</v>
      </c>
      <c r="BV78" s="16">
        <v>0</v>
      </c>
      <c r="BW78" s="18">
        <v>50</v>
      </c>
      <c r="BX78" s="48">
        <v>0.77677503984815688</v>
      </c>
      <c r="BY78" s="48">
        <v>-1.9402184060022549</v>
      </c>
      <c r="BZ78" s="18" t="e">
        <f t="shared" si="26"/>
        <v>#N/A</v>
      </c>
    </row>
    <row r="79" spans="1:78" x14ac:dyDescent="0.3">
      <c r="A79" s="19">
        <v>54</v>
      </c>
      <c r="B79" s="19">
        <v>0</v>
      </c>
      <c r="C79" s="19">
        <v>6</v>
      </c>
      <c r="D79" s="19">
        <v>57.202253488152202</v>
      </c>
      <c r="E79" s="22">
        <v>19042</v>
      </c>
      <c r="F79" s="22">
        <v>13527</v>
      </c>
      <c r="G79" s="23">
        <v>1891</v>
      </c>
      <c r="H79" s="23">
        <v>3624</v>
      </c>
      <c r="I79" s="24">
        <v>12.2</v>
      </c>
      <c r="J79" s="24">
        <v>54.8</v>
      </c>
      <c r="K79" s="22">
        <v>8478</v>
      </c>
      <c r="L79" s="22">
        <v>28992</v>
      </c>
      <c r="M79" s="22">
        <v>9425</v>
      </c>
      <c r="N79" s="22">
        <v>3407</v>
      </c>
      <c r="O79" s="25">
        <v>3436.38</v>
      </c>
      <c r="P79" s="24">
        <v>82.8</v>
      </c>
      <c r="Q79" s="22">
        <v>2004</v>
      </c>
      <c r="R79" s="23">
        <v>0</v>
      </c>
      <c r="U79" s="19">
        <v>54</v>
      </c>
      <c r="V79" s="19">
        <v>0</v>
      </c>
      <c r="W79" s="19">
        <v>6</v>
      </c>
      <c r="X79" s="19">
        <f t="shared" si="11"/>
        <v>-1.8543568978756621E-2</v>
      </c>
      <c r="Y79" s="19">
        <f t="shared" si="12"/>
        <v>-0.19947334444297227</v>
      </c>
      <c r="Z79" s="19">
        <f t="shared" si="13"/>
        <v>1.3383999507489068</v>
      </c>
      <c r="AA79" s="19">
        <f t="shared" si="14"/>
        <v>-0.64958782771843859</v>
      </c>
      <c r="AB79" s="19">
        <f t="shared" si="15"/>
        <v>-0.26044640112416828</v>
      </c>
      <c r="AC79" s="19">
        <f t="shared" si="16"/>
        <v>-1.3038813298975131E-2</v>
      </c>
      <c r="AD79" s="19">
        <f t="shared" si="17"/>
        <v>-0.29359203905646253</v>
      </c>
      <c r="AE79" s="19">
        <f t="shared" si="18"/>
        <v>-0.49653393437147658</v>
      </c>
      <c r="AF79" s="19">
        <f t="shared" si="19"/>
        <v>-0.47855056530079665</v>
      </c>
      <c r="AG79" s="19">
        <f t="shared" si="20"/>
        <v>-0.38186498515948047</v>
      </c>
      <c r="AH79" s="19">
        <f t="shared" si="21"/>
        <v>-0.31505211951903295</v>
      </c>
      <c r="AI79" s="19">
        <f t="shared" si="22"/>
        <v>-0.19452217307051123</v>
      </c>
      <c r="AJ79" s="19">
        <f t="shared" si="23"/>
        <v>-0.19355318722861428</v>
      </c>
      <c r="AK79" s="19">
        <f t="shared" si="24"/>
        <v>-0.39811555585497088</v>
      </c>
      <c r="AL79" s="19">
        <f t="shared" si="25"/>
        <v>-0.40402566857224581</v>
      </c>
      <c r="BF79" s="18" t="s">
        <v>137</v>
      </c>
      <c r="BG79" s="39">
        <v>5.0149690000000002E-3</v>
      </c>
      <c r="BH79" s="41">
        <f t="shared" si="27"/>
        <v>3.3433126729719322E-4</v>
      </c>
      <c r="BI79" s="42">
        <f t="shared" si="28"/>
        <v>0.99993131781913736</v>
      </c>
      <c r="BV79" s="16">
        <v>0</v>
      </c>
      <c r="BW79" s="18">
        <v>51</v>
      </c>
      <c r="BX79" s="48">
        <v>0.50069182784630251</v>
      </c>
      <c r="BY79" s="48">
        <v>-1.5582054865446777</v>
      </c>
      <c r="BZ79" s="18" t="e">
        <f t="shared" si="26"/>
        <v>#N/A</v>
      </c>
    </row>
    <row r="80" spans="1:78" x14ac:dyDescent="0.3">
      <c r="A80" s="19">
        <v>55</v>
      </c>
      <c r="B80" s="19">
        <v>0</v>
      </c>
      <c r="C80" s="19">
        <v>6</v>
      </c>
      <c r="D80" s="19">
        <v>49.844983448423797</v>
      </c>
      <c r="E80" s="22">
        <v>21911</v>
      </c>
      <c r="F80" s="22">
        <v>13751</v>
      </c>
      <c r="G80" s="23">
        <v>3072</v>
      </c>
      <c r="H80" s="23">
        <v>5088</v>
      </c>
      <c r="I80" s="24">
        <v>15.1</v>
      </c>
      <c r="J80" s="24">
        <v>38.9</v>
      </c>
      <c r="K80" s="22">
        <v>10471</v>
      </c>
      <c r="L80" s="22">
        <v>39796</v>
      </c>
      <c r="M80" s="22">
        <v>15155</v>
      </c>
      <c r="N80" s="22">
        <v>3746</v>
      </c>
      <c r="O80" s="25">
        <v>3315.19</v>
      </c>
      <c r="P80" s="24">
        <v>79.900000000000006</v>
      </c>
      <c r="Q80" s="22">
        <v>9907</v>
      </c>
      <c r="R80" s="23">
        <v>1205</v>
      </c>
      <c r="U80" s="19">
        <v>55</v>
      </c>
      <c r="V80" s="19">
        <v>0</v>
      </c>
      <c r="W80" s="19">
        <v>6</v>
      </c>
      <c r="X80" s="19">
        <f t="shared" si="11"/>
        <v>-0.24620915005389241</v>
      </c>
      <c r="Y80" s="19">
        <f t="shared" si="12"/>
        <v>-0.14570865640706057</v>
      </c>
      <c r="Z80" s="19">
        <f t="shared" si="13"/>
        <v>1.3795201284939962</v>
      </c>
      <c r="AA80" s="19">
        <f t="shared" si="14"/>
        <v>-0.52397423105305274</v>
      </c>
      <c r="AB80" s="19">
        <f t="shared" si="15"/>
        <v>-0.22820951764641376</v>
      </c>
      <c r="AC80" s="19">
        <f t="shared" si="16"/>
        <v>0.53748885932444868</v>
      </c>
      <c r="AD80" s="19">
        <f t="shared" si="17"/>
        <v>-0.30571424150634169</v>
      </c>
      <c r="AE80" s="19">
        <f t="shared" si="18"/>
        <v>-0.3943520942433042</v>
      </c>
      <c r="AF80" s="19">
        <f t="shared" si="19"/>
        <v>-0.32724772002841235</v>
      </c>
      <c r="AG80" s="19">
        <f t="shared" si="20"/>
        <v>-0.17146013967070464</v>
      </c>
      <c r="AH80" s="19">
        <f t="shared" si="21"/>
        <v>-0.30100501734108676</v>
      </c>
      <c r="AI80" s="19">
        <f t="shared" si="22"/>
        <v>-0.44016924827845549</v>
      </c>
      <c r="AJ80" s="19">
        <f t="shared" si="23"/>
        <v>-0.43754267742072062</v>
      </c>
      <c r="AK80" s="19">
        <f t="shared" si="24"/>
        <v>-0.22092871282739476</v>
      </c>
      <c r="AL80" s="19">
        <f t="shared" si="25"/>
        <v>0.25556515593425144</v>
      </c>
      <c r="BF80" s="18" t="s">
        <v>138</v>
      </c>
      <c r="BG80" s="39">
        <v>1.02739E-3</v>
      </c>
      <c r="BH80" s="41">
        <f t="shared" si="27"/>
        <v>6.8492666795839282E-5</v>
      </c>
      <c r="BI80" s="42">
        <f t="shared" si="28"/>
        <v>0.99999981048593323</v>
      </c>
      <c r="BV80" s="16">
        <v>0</v>
      </c>
      <c r="BW80" s="18">
        <v>52</v>
      </c>
      <c r="BX80" s="48">
        <v>1.2235256487237762</v>
      </c>
      <c r="BY80" s="48">
        <v>-1.5307194545683414</v>
      </c>
      <c r="BZ80" s="18" t="e">
        <f t="shared" si="26"/>
        <v>#N/A</v>
      </c>
    </row>
    <row r="81" spans="1:78" x14ac:dyDescent="0.3">
      <c r="A81" s="19">
        <v>56</v>
      </c>
      <c r="B81" s="19">
        <v>0</v>
      </c>
      <c r="C81" s="19">
        <v>6</v>
      </c>
      <c r="D81" s="19">
        <v>46.456337091314403</v>
      </c>
      <c r="E81" s="22">
        <v>32752</v>
      </c>
      <c r="F81" s="22">
        <v>19709</v>
      </c>
      <c r="G81" s="23">
        <v>4942</v>
      </c>
      <c r="H81" s="23">
        <v>8101</v>
      </c>
      <c r="I81" s="24">
        <v>13</v>
      </c>
      <c r="J81" s="24">
        <v>190.3</v>
      </c>
      <c r="K81" s="22">
        <v>16777</v>
      </c>
      <c r="L81" s="22">
        <v>60146</v>
      </c>
      <c r="M81" s="22">
        <v>20646</v>
      </c>
      <c r="N81" s="22">
        <v>6191</v>
      </c>
      <c r="O81" s="25">
        <v>3197.23</v>
      </c>
      <c r="P81" s="24">
        <v>77</v>
      </c>
      <c r="Q81" s="22">
        <v>19097</v>
      </c>
      <c r="R81" s="23">
        <v>874</v>
      </c>
      <c r="U81" s="19">
        <v>56</v>
      </c>
      <c r="V81" s="19">
        <v>0</v>
      </c>
      <c r="W81" s="19">
        <v>6</v>
      </c>
      <c r="X81" s="19">
        <f t="shared" si="11"/>
        <v>-0.35106844402890752</v>
      </c>
      <c r="Y81" s="19">
        <f t="shared" si="12"/>
        <v>5.74502780639463E-2</v>
      </c>
      <c r="Z81" s="19">
        <f t="shared" si="13"/>
        <v>2.473243427624543</v>
      </c>
      <c r="AA81" s="19">
        <f t="shared" si="14"/>
        <v>-0.32507717282758997</v>
      </c>
      <c r="AB81" s="19">
        <f t="shared" si="15"/>
        <v>-0.16186407371302958</v>
      </c>
      <c r="AC81" s="19">
        <f t="shared" si="16"/>
        <v>0.13883088949369363</v>
      </c>
      <c r="AD81" s="19">
        <f t="shared" si="17"/>
        <v>-0.19028647729805837</v>
      </c>
      <c r="AE81" s="19">
        <f t="shared" si="18"/>
        <v>-7.1041164063547629E-2</v>
      </c>
      <c r="AF81" s="19">
        <f t="shared" si="19"/>
        <v>-4.2259484070154257E-2</v>
      </c>
      <c r="AG81" s="19">
        <f t="shared" si="20"/>
        <v>3.0168657288958241E-2</v>
      </c>
      <c r="AH81" s="19">
        <f t="shared" si="21"/>
        <v>-0.1996918467656339</v>
      </c>
      <c r="AI81" s="19">
        <f t="shared" si="22"/>
        <v>-0.67926924820855783</v>
      </c>
      <c r="AJ81" s="19">
        <f t="shared" si="23"/>
        <v>-0.68153216761282809</v>
      </c>
      <c r="AK81" s="19">
        <f t="shared" si="24"/>
        <v>-1.4887072004488978E-2</v>
      </c>
      <c r="AL81" s="19">
        <f t="shared" si="25"/>
        <v>7.4382946049064216E-2</v>
      </c>
      <c r="BF81" s="18" t="s">
        <v>139</v>
      </c>
      <c r="BG81" s="39">
        <v>2.842711E-6</v>
      </c>
      <c r="BH81" s="41">
        <f t="shared" si="27"/>
        <v>1.8951406702407759E-7</v>
      </c>
      <c r="BI81" s="42">
        <f t="shared" si="28"/>
        <v>1.0000000000000002</v>
      </c>
      <c r="BV81" s="16">
        <v>0</v>
      </c>
      <c r="BW81" s="18">
        <v>53</v>
      </c>
      <c r="BX81" s="48">
        <v>1.3925153487050685</v>
      </c>
      <c r="BY81" s="48">
        <v>-1.4993630552742518</v>
      </c>
      <c r="BZ81" s="18" t="e">
        <f t="shared" si="26"/>
        <v>#N/A</v>
      </c>
    </row>
    <row r="82" spans="1:78" x14ac:dyDescent="0.3">
      <c r="A82" s="19">
        <v>57</v>
      </c>
      <c r="B82" s="19">
        <v>0</v>
      </c>
      <c r="C82" s="19">
        <v>6</v>
      </c>
      <c r="D82" s="19">
        <v>32.478854558336103</v>
      </c>
      <c r="E82" s="22">
        <v>26946</v>
      </c>
      <c r="F82" s="22">
        <v>15160</v>
      </c>
      <c r="G82" s="23">
        <v>4415</v>
      </c>
      <c r="H82" s="23">
        <v>7371</v>
      </c>
      <c r="I82" s="24">
        <v>14.1</v>
      </c>
      <c r="J82" s="24">
        <v>204.8</v>
      </c>
      <c r="K82" s="22">
        <v>16934</v>
      </c>
      <c r="L82" s="22">
        <v>55513</v>
      </c>
      <c r="M82" s="22">
        <v>17055</v>
      </c>
      <c r="N82" s="22">
        <v>5832</v>
      </c>
      <c r="O82" s="25">
        <v>3144.7</v>
      </c>
      <c r="P82" s="24">
        <v>75.8</v>
      </c>
      <c r="Q82" s="22">
        <v>8392</v>
      </c>
      <c r="R82" s="23">
        <v>330</v>
      </c>
      <c r="U82" s="19">
        <v>57</v>
      </c>
      <c r="V82" s="19">
        <v>0</v>
      </c>
      <c r="W82" s="19">
        <v>6</v>
      </c>
      <c r="X82" s="19">
        <f t="shared" si="11"/>
        <v>-0.78359187536343777</v>
      </c>
      <c r="Y82" s="19">
        <f t="shared" si="12"/>
        <v>-5.1353409191718852E-2</v>
      </c>
      <c r="Z82" s="19">
        <f t="shared" si="13"/>
        <v>1.6381733893994914</v>
      </c>
      <c r="AA82" s="19">
        <f t="shared" si="14"/>
        <v>-0.3811299801456749</v>
      </c>
      <c r="AB82" s="19">
        <f t="shared" si="15"/>
        <v>-0.17793847599360391</v>
      </c>
      <c r="AC82" s="19">
        <f t="shared" si="16"/>
        <v>0.34765173083361295</v>
      </c>
      <c r="AD82" s="19">
        <f t="shared" si="17"/>
        <v>-0.17923163858590443</v>
      </c>
      <c r="AE82" s="19">
        <f t="shared" si="18"/>
        <v>-6.2991716547178805E-2</v>
      </c>
      <c r="AF82" s="19">
        <f t="shared" si="19"/>
        <v>-0.10714157238438569</v>
      </c>
      <c r="AG82" s="19">
        <f t="shared" si="20"/>
        <v>-0.1016923898576725</v>
      </c>
      <c r="AH82" s="19">
        <f t="shared" si="21"/>
        <v>-0.21456768653519936</v>
      </c>
      <c r="AI82" s="19">
        <f t="shared" si="22"/>
        <v>-0.7857453672008291</v>
      </c>
      <c r="AJ82" s="19">
        <f t="shared" si="23"/>
        <v>-0.78249333596818305</v>
      </c>
      <c r="AK82" s="19">
        <f t="shared" si="24"/>
        <v>-0.25489531629275952</v>
      </c>
      <c r="AL82" s="19">
        <f t="shared" si="25"/>
        <v>-0.22339083696465734</v>
      </c>
      <c r="BF82" s="18" t="s">
        <v>140</v>
      </c>
      <c r="BG82" s="39">
        <v>4.7783079999999997E-16</v>
      </c>
      <c r="BH82" s="41">
        <f t="shared" si="27"/>
        <v>3.1855386726743805E-17</v>
      </c>
      <c r="BI82" s="42">
        <f t="shared" si="28"/>
        <v>1.0000000000000002</v>
      </c>
      <c r="BV82" s="16">
        <v>0</v>
      </c>
      <c r="BW82" s="18">
        <v>54</v>
      </c>
      <c r="BX82" s="48">
        <v>1.212050482051477</v>
      </c>
      <c r="BY82" s="48">
        <v>-0.46706462855518843</v>
      </c>
      <c r="BZ82" s="18" t="e">
        <f t="shared" si="26"/>
        <v>#N/A</v>
      </c>
    </row>
    <row r="83" spans="1:78" x14ac:dyDescent="0.3">
      <c r="A83" s="19">
        <v>58</v>
      </c>
      <c r="B83" s="19">
        <v>0</v>
      </c>
      <c r="C83" s="19">
        <v>6</v>
      </c>
      <c r="D83" s="19">
        <v>11.704072142349199</v>
      </c>
      <c r="E83" s="22">
        <v>41038</v>
      </c>
      <c r="F83" s="22">
        <v>26524</v>
      </c>
      <c r="G83" s="23">
        <v>4946</v>
      </c>
      <c r="H83" s="23">
        <v>9568</v>
      </c>
      <c r="I83" s="24">
        <v>10</v>
      </c>
      <c r="J83" s="24">
        <v>126.2</v>
      </c>
      <c r="K83" s="22">
        <v>30019</v>
      </c>
      <c r="L83" s="22">
        <v>94681</v>
      </c>
      <c r="M83" s="22">
        <v>26478</v>
      </c>
      <c r="N83" s="22">
        <v>11721</v>
      </c>
      <c r="O83" s="25">
        <v>3239.53</v>
      </c>
      <c r="P83" s="24">
        <v>78</v>
      </c>
      <c r="Q83" s="22">
        <v>5665</v>
      </c>
      <c r="R83" s="23">
        <v>2080</v>
      </c>
      <c r="U83" s="19">
        <v>58</v>
      </c>
      <c r="V83" s="19">
        <v>0</v>
      </c>
      <c r="W83" s="19">
        <v>6</v>
      </c>
      <c r="X83" s="19">
        <f t="shared" si="11"/>
        <v>-1.4264530025077895</v>
      </c>
      <c r="Y83" s="19">
        <f t="shared" si="12"/>
        <v>0.21272884378913429</v>
      </c>
      <c r="Z83" s="19">
        <f t="shared" si="13"/>
        <v>3.7242881210744718</v>
      </c>
      <c r="AA83" s="19">
        <f t="shared" si="14"/>
        <v>-0.32465172457470126</v>
      </c>
      <c r="AB83" s="19">
        <f t="shared" si="15"/>
        <v>-0.12956113104782063</v>
      </c>
      <c r="AC83" s="19">
        <f t="shared" si="16"/>
        <v>-0.43068049597881375</v>
      </c>
      <c r="AD83" s="19">
        <f t="shared" si="17"/>
        <v>-0.23915648843247686</v>
      </c>
      <c r="AE83" s="19">
        <f t="shared" si="18"/>
        <v>0.60788102709413339</v>
      </c>
      <c r="AF83" s="19">
        <f t="shared" si="19"/>
        <v>0.44138025690372501</v>
      </c>
      <c r="AG83" s="19">
        <f t="shared" si="20"/>
        <v>0.24431892934664426</v>
      </c>
      <c r="AH83" s="19">
        <f t="shared" si="21"/>
        <v>2.9454097317087695E-2</v>
      </c>
      <c r="AI83" s="19">
        <f t="shared" si="22"/>
        <v>-0.59352891252660323</v>
      </c>
      <c r="AJ83" s="19">
        <f t="shared" si="23"/>
        <v>-0.59739786065003264</v>
      </c>
      <c r="AK83" s="19">
        <f t="shared" si="24"/>
        <v>-0.31603520253041611</v>
      </c>
      <c r="AL83" s="19">
        <f t="shared" si="25"/>
        <v>0.73452114883316022</v>
      </c>
      <c r="BV83" s="16">
        <v>0</v>
      </c>
      <c r="BW83" s="18">
        <v>55</v>
      </c>
      <c r="BX83" s="48">
        <v>1.0843640038508275</v>
      </c>
      <c r="BY83" s="48">
        <v>-0.87180941622889752</v>
      </c>
      <c r="BZ83" s="18" t="e">
        <f t="shared" si="26"/>
        <v>#N/A</v>
      </c>
    </row>
    <row r="84" spans="1:78" x14ac:dyDescent="0.3">
      <c r="A84" s="19">
        <v>59</v>
      </c>
      <c r="B84" s="19">
        <v>0</v>
      </c>
      <c r="C84" s="19">
        <v>6</v>
      </c>
      <c r="D84" s="19">
        <v>29.351350054308799</v>
      </c>
      <c r="E84" s="22">
        <v>21002</v>
      </c>
      <c r="F84" s="22">
        <v>7793</v>
      </c>
      <c r="G84" s="23">
        <v>8218</v>
      </c>
      <c r="H84" s="23">
        <v>4991</v>
      </c>
      <c r="I84" s="24">
        <v>8.3000000000000007</v>
      </c>
      <c r="J84" s="24">
        <v>348</v>
      </c>
      <c r="K84" s="22">
        <v>11094</v>
      </c>
      <c r="L84" s="22">
        <v>37550</v>
      </c>
      <c r="M84" s="22">
        <v>8757</v>
      </c>
      <c r="N84" s="22">
        <v>3279</v>
      </c>
      <c r="O84" s="25">
        <v>5112.84</v>
      </c>
      <c r="P84" s="24">
        <v>123.2</v>
      </c>
      <c r="Q84" s="22">
        <v>17131</v>
      </c>
      <c r="R84" s="23">
        <v>867</v>
      </c>
      <c r="U84" s="19">
        <v>59</v>
      </c>
      <c r="V84" s="19">
        <v>0</v>
      </c>
      <c r="W84" s="19">
        <v>6</v>
      </c>
      <c r="X84" s="19">
        <f t="shared" si="11"/>
        <v>-0.88037031714682035</v>
      </c>
      <c r="Y84" s="19">
        <f t="shared" si="12"/>
        <v>-0.16274319855576874</v>
      </c>
      <c r="Z84" s="19">
        <f t="shared" si="13"/>
        <v>0.28579682936344963</v>
      </c>
      <c r="AA84" s="19">
        <f t="shared" si="14"/>
        <v>2.3364946288247607E-2</v>
      </c>
      <c r="AB84" s="19">
        <f t="shared" si="15"/>
        <v>-0.23034543137410649</v>
      </c>
      <c r="AC84" s="19">
        <f t="shared" si="16"/>
        <v>-0.75340361441323445</v>
      </c>
      <c r="AD84" s="19">
        <f t="shared" si="17"/>
        <v>-7.005557627001166E-2</v>
      </c>
      <c r="AE84" s="19">
        <f t="shared" si="18"/>
        <v>-0.36241065600956041</v>
      </c>
      <c r="AF84" s="19">
        <f t="shared" si="19"/>
        <v>-0.35870145850321566</v>
      </c>
      <c r="AG84" s="19">
        <f t="shared" si="20"/>
        <v>-0.40639385719900967</v>
      </c>
      <c r="AH84" s="19">
        <f t="shared" si="21"/>
        <v>-0.32035604010539614</v>
      </c>
      <c r="AI84" s="19">
        <f t="shared" si="22"/>
        <v>3.2035923223755658</v>
      </c>
      <c r="AJ84" s="19">
        <f t="shared" si="23"/>
        <v>3.2054728140683255</v>
      </c>
      <c r="AK84" s="19">
        <f t="shared" si="24"/>
        <v>-5.8965185808388082E-2</v>
      </c>
      <c r="AL84" s="19">
        <f t="shared" si="25"/>
        <v>7.0551298105872948E-2</v>
      </c>
      <c r="BF84" s="31" t="s">
        <v>148</v>
      </c>
      <c r="BG84" s="39">
        <f>SUM(BG68:BG83)</f>
        <v>14.999999971710997</v>
      </c>
      <c r="BH84" s="31">
        <f>SUM(BH68:BH83)</f>
        <v>1.0000000000000002</v>
      </c>
      <c r="BV84" s="16">
        <v>0</v>
      </c>
      <c r="BW84" s="18">
        <v>56</v>
      </c>
      <c r="BX84" s="48">
        <v>0.60725198300492922</v>
      </c>
      <c r="BY84" s="48">
        <v>-1.5780076710654043</v>
      </c>
      <c r="BZ84" s="18" t="e">
        <f t="shared" si="26"/>
        <v>#N/A</v>
      </c>
    </row>
    <row r="85" spans="1:78" x14ac:dyDescent="0.3">
      <c r="A85" s="19">
        <v>60</v>
      </c>
      <c r="B85" s="19">
        <v>0</v>
      </c>
      <c r="C85" s="19">
        <v>6</v>
      </c>
      <c r="D85" s="19">
        <v>76.378077341422497</v>
      </c>
      <c r="E85" s="22">
        <v>33651</v>
      </c>
      <c r="F85" s="22">
        <v>17763</v>
      </c>
      <c r="G85" s="23">
        <v>5864</v>
      </c>
      <c r="H85" s="23">
        <v>10024</v>
      </c>
      <c r="I85" s="24">
        <v>8.9</v>
      </c>
      <c r="J85" s="24">
        <v>143.9</v>
      </c>
      <c r="K85" s="22">
        <v>22805</v>
      </c>
      <c r="L85" s="22">
        <v>66338</v>
      </c>
      <c r="M85" s="22">
        <v>19454</v>
      </c>
      <c r="N85" s="22">
        <v>8292</v>
      </c>
      <c r="O85" s="25">
        <v>3065.51</v>
      </c>
      <c r="P85" s="24">
        <v>73.900000000000006</v>
      </c>
      <c r="Q85" s="22">
        <v>6673</v>
      </c>
      <c r="R85" s="23">
        <v>180</v>
      </c>
      <c r="U85" s="19">
        <v>60</v>
      </c>
      <c r="V85" s="19">
        <v>0</v>
      </c>
      <c r="W85" s="19">
        <v>6</v>
      </c>
      <c r="X85" s="19">
        <f t="shared" si="11"/>
        <v>0.57483890258679571</v>
      </c>
      <c r="Y85" s="19">
        <f t="shared" si="12"/>
        <v>7.4297421509148323E-2</v>
      </c>
      <c r="Z85" s="19">
        <f t="shared" si="13"/>
        <v>2.1160118834640791</v>
      </c>
      <c r="AA85" s="19">
        <f t="shared" si="14"/>
        <v>-0.22701135053674676</v>
      </c>
      <c r="AB85" s="19">
        <f t="shared" si="15"/>
        <v>-0.11952013455474954</v>
      </c>
      <c r="AC85" s="19">
        <f t="shared" si="16"/>
        <v>-0.63950133731873304</v>
      </c>
      <c r="AD85" s="19">
        <f t="shared" si="17"/>
        <v>-0.22566196117695103</v>
      </c>
      <c r="AE85" s="19">
        <f t="shared" si="18"/>
        <v>0.23801660427193805</v>
      </c>
      <c r="AF85" s="19">
        <f t="shared" si="19"/>
        <v>4.445536394230442E-2</v>
      </c>
      <c r="AG85" s="19">
        <f t="shared" si="20"/>
        <v>-1.3601425751638762E-2</v>
      </c>
      <c r="AH85" s="19">
        <f t="shared" si="21"/>
        <v>-0.11263296276603207</v>
      </c>
      <c r="AI85" s="19">
        <f t="shared" si="22"/>
        <v>-0.94626019421392427</v>
      </c>
      <c r="AJ85" s="19">
        <f t="shared" si="23"/>
        <v>-0.94234851919749385</v>
      </c>
      <c r="AK85" s="19">
        <f t="shared" si="24"/>
        <v>-0.29343564062078731</v>
      </c>
      <c r="AL85" s="19">
        <f t="shared" si="25"/>
        <v>-0.30549757860447024</v>
      </c>
      <c r="BV85" s="16">
        <v>0</v>
      </c>
      <c r="BW85" s="18">
        <v>57</v>
      </c>
      <c r="BX85" s="48">
        <v>0.80642314374657054</v>
      </c>
      <c r="BY85" s="48">
        <v>-1.3640795822521523</v>
      </c>
      <c r="BZ85" s="18" t="e">
        <f t="shared" si="26"/>
        <v>#N/A</v>
      </c>
    </row>
    <row r="86" spans="1:78" x14ac:dyDescent="0.3">
      <c r="A86" s="19">
        <v>61</v>
      </c>
      <c r="B86" s="19">
        <v>0</v>
      </c>
      <c r="C86" s="19">
        <v>6</v>
      </c>
      <c r="D86" s="19">
        <v>43.166129448886998</v>
      </c>
      <c r="E86" s="22">
        <v>20667</v>
      </c>
      <c r="F86" s="22">
        <v>14218</v>
      </c>
      <c r="G86" s="23">
        <v>2103</v>
      </c>
      <c r="H86" s="23">
        <v>4346</v>
      </c>
      <c r="I86" s="24">
        <v>13</v>
      </c>
      <c r="J86" s="24">
        <v>103</v>
      </c>
      <c r="K86" s="22">
        <v>10754</v>
      </c>
      <c r="L86" s="22">
        <v>37757</v>
      </c>
      <c r="M86" s="22">
        <v>12453</v>
      </c>
      <c r="N86" s="22">
        <v>3866</v>
      </c>
      <c r="O86" s="25">
        <v>3257.97</v>
      </c>
      <c r="P86" s="24">
        <v>78.5</v>
      </c>
      <c r="Q86" s="22">
        <v>702</v>
      </c>
      <c r="R86" s="23">
        <v>580</v>
      </c>
      <c r="U86" s="19">
        <v>61</v>
      </c>
      <c r="V86" s="19">
        <v>0</v>
      </c>
      <c r="W86" s="19">
        <v>6</v>
      </c>
      <c r="X86" s="19">
        <f t="shared" si="11"/>
        <v>-0.45288162075427069</v>
      </c>
      <c r="Y86" s="19">
        <f t="shared" si="12"/>
        <v>-0.16902105512322443</v>
      </c>
      <c r="Z86" s="19">
        <f t="shared" si="13"/>
        <v>1.4652483562036245</v>
      </c>
      <c r="AA86" s="19">
        <f t="shared" si="14"/>
        <v>-0.62703907031533801</v>
      </c>
      <c r="AB86" s="19">
        <f t="shared" si="15"/>
        <v>-0.24454815667680574</v>
      </c>
      <c r="AC86" s="19">
        <f t="shared" si="16"/>
        <v>0.13883088949369363</v>
      </c>
      <c r="AD86" s="19">
        <f t="shared" si="17"/>
        <v>-0.25684423037192317</v>
      </c>
      <c r="AE86" s="19">
        <f t="shared" si="18"/>
        <v>-0.3798425805673018</v>
      </c>
      <c r="AF86" s="19">
        <f t="shared" si="19"/>
        <v>-0.35580256096791546</v>
      </c>
      <c r="AG86" s="19">
        <f t="shared" si="20"/>
        <v>-0.27067722387850085</v>
      </c>
      <c r="AH86" s="19">
        <f t="shared" si="21"/>
        <v>-0.29603259179137126</v>
      </c>
      <c r="AI86" s="19">
        <f t="shared" si="22"/>
        <v>-0.5561518016524849</v>
      </c>
      <c r="AJ86" s="19">
        <f t="shared" si="23"/>
        <v>-0.55533070716863486</v>
      </c>
      <c r="AK86" s="19">
        <f t="shared" si="24"/>
        <v>-0.42730665665490813</v>
      </c>
      <c r="AL86" s="19">
        <f t="shared" si="25"/>
        <v>-8.6546267564969123E-2</v>
      </c>
      <c r="BF86" s="37" t="s">
        <v>84</v>
      </c>
      <c r="BV86" s="16">
        <v>0</v>
      </c>
      <c r="BW86" s="18">
        <v>58</v>
      </c>
      <c r="BX86" s="48">
        <v>2.0100326135820972E-3</v>
      </c>
      <c r="BY86" s="48">
        <v>-1.7363360946810111</v>
      </c>
      <c r="BZ86" s="18" t="e">
        <f t="shared" si="26"/>
        <v>#N/A</v>
      </c>
    </row>
    <row r="87" spans="1:78" x14ac:dyDescent="0.3">
      <c r="A87" s="19">
        <v>62</v>
      </c>
      <c r="B87" s="19">
        <v>0</v>
      </c>
      <c r="C87" s="19">
        <v>6</v>
      </c>
      <c r="D87" s="19">
        <v>52.973299031695902</v>
      </c>
      <c r="E87" s="22">
        <v>11166</v>
      </c>
      <c r="F87" s="22">
        <v>6861</v>
      </c>
      <c r="G87" s="23">
        <v>1344</v>
      </c>
      <c r="H87" s="23">
        <v>2961</v>
      </c>
      <c r="I87" s="24">
        <v>12.2</v>
      </c>
      <c r="J87" s="24">
        <v>52.3</v>
      </c>
      <c r="K87" s="22">
        <v>6412</v>
      </c>
      <c r="L87" s="22">
        <v>21997</v>
      </c>
      <c r="M87" s="22">
        <v>7219</v>
      </c>
      <c r="N87" s="22">
        <v>2422</v>
      </c>
      <c r="O87" s="25">
        <v>3217.95</v>
      </c>
      <c r="P87" s="24">
        <v>77.5</v>
      </c>
      <c r="Q87" s="22">
        <v>8375</v>
      </c>
      <c r="R87" s="23">
        <v>0</v>
      </c>
      <c r="U87" s="19">
        <v>62</v>
      </c>
      <c r="V87" s="19">
        <v>0</v>
      </c>
      <c r="W87" s="19">
        <v>6</v>
      </c>
      <c r="X87" s="19">
        <f t="shared" si="11"/>
        <v>-0.1494056099899562</v>
      </c>
      <c r="Y87" s="19">
        <f t="shared" si="12"/>
        <v>-0.3470685633244085</v>
      </c>
      <c r="Z87" s="19">
        <f t="shared" si="13"/>
        <v>0.11470751838834566</v>
      </c>
      <c r="AA87" s="19">
        <f t="shared" si="14"/>
        <v>-0.70776787630096705</v>
      </c>
      <c r="AB87" s="19">
        <f t="shared" si="15"/>
        <v>-0.27504548155159403</v>
      </c>
      <c r="AC87" s="19">
        <f t="shared" si="16"/>
        <v>-1.3038813298975131E-2</v>
      </c>
      <c r="AD87" s="19">
        <f t="shared" si="17"/>
        <v>-0.29549804573097183</v>
      </c>
      <c r="AE87" s="19">
        <f t="shared" si="18"/>
        <v>-0.60245851124292871</v>
      </c>
      <c r="AF87" s="19">
        <f t="shared" si="19"/>
        <v>-0.57651089505647302</v>
      </c>
      <c r="AG87" s="19">
        <f t="shared" si="20"/>
        <v>-0.46286901467924307</v>
      </c>
      <c r="AH87" s="19">
        <f t="shared" si="21"/>
        <v>-0.35586744590628083</v>
      </c>
      <c r="AI87" s="19">
        <f t="shared" si="22"/>
        <v>-0.63727067243243318</v>
      </c>
      <c r="AJ87" s="19">
        <f t="shared" si="23"/>
        <v>-0.63946501413143031</v>
      </c>
      <c r="AK87" s="19">
        <f t="shared" si="24"/>
        <v>-0.25527645969798146</v>
      </c>
      <c r="AL87" s="19">
        <f t="shared" si="25"/>
        <v>-0.40402566857224581</v>
      </c>
      <c r="BV87" s="16">
        <v>0</v>
      </c>
      <c r="BW87" s="18">
        <v>59</v>
      </c>
      <c r="BX87" s="48">
        <v>-0.67245049086541986</v>
      </c>
      <c r="BY87" s="48">
        <v>4.1122741596384573</v>
      </c>
      <c r="BZ87" s="18" t="e">
        <f t="shared" si="26"/>
        <v>#N/A</v>
      </c>
    </row>
    <row r="88" spans="1:78" x14ac:dyDescent="0.3">
      <c r="A88" s="19">
        <v>63</v>
      </c>
      <c r="B88" s="19">
        <v>0</v>
      </c>
      <c r="C88" s="19">
        <v>6</v>
      </c>
      <c r="D88" s="19">
        <v>41.729547282283399</v>
      </c>
      <c r="E88" s="22">
        <v>37677</v>
      </c>
      <c r="F88" s="22">
        <v>13948</v>
      </c>
      <c r="G88" s="23">
        <v>9738</v>
      </c>
      <c r="H88" s="23">
        <v>13991</v>
      </c>
      <c r="I88" s="24">
        <v>8.9</v>
      </c>
      <c r="J88" s="24">
        <v>433.1</v>
      </c>
      <c r="K88" s="22">
        <v>19848</v>
      </c>
      <c r="L88" s="22">
        <v>69432</v>
      </c>
      <c r="M88" s="22">
        <v>25926</v>
      </c>
      <c r="N88" s="22">
        <v>9752</v>
      </c>
      <c r="O88" s="25">
        <v>4022.67</v>
      </c>
      <c r="P88" s="24">
        <v>96.9</v>
      </c>
      <c r="Q88" s="22">
        <v>18393</v>
      </c>
      <c r="R88" s="23">
        <v>381</v>
      </c>
      <c r="U88" s="19">
        <v>63</v>
      </c>
      <c r="V88" s="19">
        <v>0</v>
      </c>
      <c r="W88" s="19">
        <v>6</v>
      </c>
      <c r="X88" s="19">
        <f t="shared" si="11"/>
        <v>-0.4973356522028784</v>
      </c>
      <c r="Y88" s="19">
        <f t="shared" si="12"/>
        <v>0.14974413954072047</v>
      </c>
      <c r="Z88" s="19">
        <f t="shared" si="13"/>
        <v>1.4156838562430258</v>
      </c>
      <c r="AA88" s="19">
        <f t="shared" si="14"/>
        <v>0.18503528238595002</v>
      </c>
      <c r="AB88" s="19">
        <f t="shared" si="15"/>
        <v>-3.2167869010861376E-2</v>
      </c>
      <c r="AC88" s="19">
        <f t="shared" si="16"/>
        <v>-0.63950133731873304</v>
      </c>
      <c r="AD88" s="19">
        <f t="shared" si="17"/>
        <v>-5.1751090697150226E-3</v>
      </c>
      <c r="AE88" s="19">
        <f t="shared" si="18"/>
        <v>8.6410130985934197E-2</v>
      </c>
      <c r="AF88" s="19">
        <f t="shared" si="19"/>
        <v>8.7784779276695105E-2</v>
      </c>
      <c r="AG88" s="19">
        <f t="shared" si="20"/>
        <v>0.22404956203254228</v>
      </c>
      <c r="AH88" s="19">
        <f t="shared" si="21"/>
        <v>-5.21351185778271E-2</v>
      </c>
      <c r="AI88" s="19">
        <f t="shared" si="22"/>
        <v>0.99386320298085917</v>
      </c>
      <c r="AJ88" s="19">
        <f t="shared" si="23"/>
        <v>0.99274054094680342</v>
      </c>
      <c r="AK88" s="19">
        <f t="shared" si="24"/>
        <v>-3.067089302073769E-2</v>
      </c>
      <c r="AL88" s="19">
        <f t="shared" si="25"/>
        <v>-0.19547454480712095</v>
      </c>
      <c r="BF88" s="18" t="s">
        <v>118</v>
      </c>
      <c r="BG88" s="18" t="s">
        <v>119</v>
      </c>
      <c r="BH88" s="18" t="s">
        <v>120</v>
      </c>
      <c r="BI88" s="18" t="s">
        <v>121</v>
      </c>
      <c r="BJ88" s="18" t="s">
        <v>122</v>
      </c>
      <c r="BK88" s="18" t="s">
        <v>123</v>
      </c>
      <c r="BL88" s="18" t="s">
        <v>124</v>
      </c>
      <c r="BM88" s="18" t="s">
        <v>125</v>
      </c>
      <c r="BN88" s="18" t="s">
        <v>141</v>
      </c>
      <c r="BO88" s="18" t="s">
        <v>142</v>
      </c>
      <c r="BP88" s="18" t="s">
        <v>143</v>
      </c>
      <c r="BQ88" s="18" t="s">
        <v>144</v>
      </c>
      <c r="BR88" s="18" t="s">
        <v>145</v>
      </c>
      <c r="BS88" s="18" t="s">
        <v>146</v>
      </c>
      <c r="BT88" s="18" t="s">
        <v>147</v>
      </c>
      <c r="BV88" s="16">
        <v>0</v>
      </c>
      <c r="BW88" s="18">
        <v>60</v>
      </c>
      <c r="BX88" s="48">
        <v>0.56416397070537705</v>
      </c>
      <c r="BY88" s="48">
        <v>-1.7873864669036317</v>
      </c>
      <c r="BZ88" s="18" t="e">
        <f t="shared" si="26"/>
        <v>#N/A</v>
      </c>
    </row>
    <row r="89" spans="1:78" x14ac:dyDescent="0.3">
      <c r="A89" s="19">
        <v>64</v>
      </c>
      <c r="B89" s="19">
        <v>0</v>
      </c>
      <c r="C89" s="19">
        <v>6</v>
      </c>
      <c r="D89" s="19">
        <v>65.345476378056006</v>
      </c>
      <c r="E89" s="22">
        <v>19413</v>
      </c>
      <c r="F89" s="22">
        <v>11319</v>
      </c>
      <c r="G89" s="23">
        <v>2857</v>
      </c>
      <c r="H89" s="23">
        <v>5237</v>
      </c>
      <c r="I89" s="24">
        <v>12.8</v>
      </c>
      <c r="J89" s="24">
        <v>79.3</v>
      </c>
      <c r="K89" s="22">
        <v>11821</v>
      </c>
      <c r="L89" s="22">
        <v>37202</v>
      </c>
      <c r="M89" s="22">
        <v>11264</v>
      </c>
      <c r="N89" s="22">
        <v>3861</v>
      </c>
      <c r="O89" s="25">
        <v>3243.52</v>
      </c>
      <c r="P89" s="24">
        <v>78.099999999999994</v>
      </c>
      <c r="Q89" s="22">
        <v>986</v>
      </c>
      <c r="R89" s="23">
        <v>0</v>
      </c>
      <c r="U89" s="19">
        <v>64</v>
      </c>
      <c r="V89" s="19">
        <v>0</v>
      </c>
      <c r="W89" s="19">
        <v>6</v>
      </c>
      <c r="X89" s="19">
        <f t="shared" si="11"/>
        <v>0.23344277392333618</v>
      </c>
      <c r="Y89" s="19">
        <f t="shared" si="12"/>
        <v>-0.19252085254289447</v>
      </c>
      <c r="Z89" s="19">
        <f t="shared" si="13"/>
        <v>0.93307248440445456</v>
      </c>
      <c r="AA89" s="19">
        <f t="shared" si="14"/>
        <v>-0.54684207464581991</v>
      </c>
      <c r="AB89" s="19">
        <f t="shared" si="15"/>
        <v>-0.22492857800284446</v>
      </c>
      <c r="AC89" s="19">
        <f t="shared" si="16"/>
        <v>0.1008634637955266</v>
      </c>
      <c r="AD89" s="19">
        <f t="shared" si="17"/>
        <v>-0.27491317364627132</v>
      </c>
      <c r="AE89" s="19">
        <f t="shared" si="18"/>
        <v>-0.32513709967580162</v>
      </c>
      <c r="AF89" s="19">
        <f t="shared" si="19"/>
        <v>-0.36357496740314066</v>
      </c>
      <c r="AG89" s="19">
        <f t="shared" si="20"/>
        <v>-0.31433714731412993</v>
      </c>
      <c r="AH89" s="19">
        <f t="shared" si="21"/>
        <v>-0.29623977618927611</v>
      </c>
      <c r="AI89" s="19">
        <f t="shared" si="22"/>
        <v>-0.58544134894809308</v>
      </c>
      <c r="AJ89" s="19">
        <f t="shared" si="23"/>
        <v>-0.58898442995375355</v>
      </c>
      <c r="AK89" s="19">
        <f t="shared" si="24"/>
        <v>-0.4209393197676714</v>
      </c>
      <c r="AL89" s="19">
        <f t="shared" si="25"/>
        <v>-0.40402566857224581</v>
      </c>
      <c r="BF89" s="47">
        <v>7.0802444000000006E-2</v>
      </c>
      <c r="BG89" s="47">
        <v>-0.18723939000000001</v>
      </c>
      <c r="BH89" s="45">
        <v>0.44626212050000003</v>
      </c>
      <c r="BI89" s="45">
        <v>0.51527129900000002</v>
      </c>
      <c r="BJ89" s="45">
        <v>0.66833571800000002</v>
      </c>
      <c r="BK89" s="45">
        <v>0.169331389</v>
      </c>
      <c r="BL89" s="18">
        <v>-0.13296218579999999</v>
      </c>
      <c r="BM89" s="18">
        <v>4.47718124E-2</v>
      </c>
      <c r="BN89" s="18">
        <v>-9.7071269999999994E-3</v>
      </c>
      <c r="BO89" s="18">
        <v>-1.5466150000000001E-3</v>
      </c>
      <c r="BP89" s="18">
        <v>6.336927E-3</v>
      </c>
      <c r="BQ89" s="18">
        <v>9.2742550000000003E-3</v>
      </c>
      <c r="BR89" s="18">
        <v>4.6929314000000001E-3</v>
      </c>
      <c r="BS89" s="38">
        <v>9.8201699999999999E-5</v>
      </c>
      <c r="BT89" s="38">
        <v>0</v>
      </c>
      <c r="BU89" s="38"/>
      <c r="BV89" s="16">
        <v>0</v>
      </c>
      <c r="BW89" s="18">
        <v>61</v>
      </c>
      <c r="BX89" s="48">
        <v>1.1918180014607143</v>
      </c>
      <c r="BY89" s="48">
        <v>-0.90412877836266436</v>
      </c>
      <c r="BZ89" s="18" t="e">
        <f t="shared" si="26"/>
        <v>#N/A</v>
      </c>
    </row>
    <row r="90" spans="1:78" x14ac:dyDescent="0.3">
      <c r="A90" s="19">
        <v>65</v>
      </c>
      <c r="B90" s="19">
        <v>0</v>
      </c>
      <c r="C90" s="19">
        <v>6</v>
      </c>
      <c r="D90" s="19">
        <v>63.448945707658702</v>
      </c>
      <c r="E90" s="22">
        <v>16364</v>
      </c>
      <c r="F90" s="22">
        <v>8049</v>
      </c>
      <c r="G90" s="23">
        <v>2843</v>
      </c>
      <c r="H90" s="23">
        <v>5472</v>
      </c>
      <c r="I90" s="24">
        <v>12.5</v>
      </c>
      <c r="J90" s="24">
        <v>66.599999999999994</v>
      </c>
      <c r="K90" s="22">
        <v>10377</v>
      </c>
      <c r="L90" s="22">
        <v>35540</v>
      </c>
      <c r="M90" s="22">
        <v>11471</v>
      </c>
      <c r="N90" s="22">
        <v>3854</v>
      </c>
      <c r="O90" s="25">
        <v>3207.52</v>
      </c>
      <c r="P90" s="24">
        <v>77.3</v>
      </c>
      <c r="Q90" s="22">
        <v>6168</v>
      </c>
      <c r="R90" s="23">
        <v>0</v>
      </c>
      <c r="U90" s="19">
        <v>65</v>
      </c>
      <c r="V90" s="19">
        <v>0</v>
      </c>
      <c r="W90" s="19">
        <v>6</v>
      </c>
      <c r="X90" s="19">
        <f t="shared" si="11"/>
        <v>0.17475595737707847</v>
      </c>
      <c r="Y90" s="19">
        <f t="shared" si="12"/>
        <v>-0.24965871724191668</v>
      </c>
      <c r="Z90" s="19">
        <f t="shared" si="13"/>
        <v>0.33279131821498031</v>
      </c>
      <c r="AA90" s="19">
        <f t="shared" si="14"/>
        <v>-0.54833114353093027</v>
      </c>
      <c r="AB90" s="19">
        <f t="shared" si="15"/>
        <v>-0.21975394165224862</v>
      </c>
      <c r="AC90" s="19">
        <f t="shared" si="16"/>
        <v>4.3912325248275742E-2</v>
      </c>
      <c r="AD90" s="19">
        <f t="shared" si="17"/>
        <v>-0.28459568755277859</v>
      </c>
      <c r="AE90" s="19">
        <f t="shared" si="18"/>
        <v>-0.39917150867985624</v>
      </c>
      <c r="AF90" s="19">
        <f t="shared" si="19"/>
        <v>-0.38685017370105834</v>
      </c>
      <c r="AG90" s="19">
        <f t="shared" si="20"/>
        <v>-0.30673613457134169</v>
      </c>
      <c r="AH90" s="19">
        <f t="shared" si="21"/>
        <v>-0.29652983434634284</v>
      </c>
      <c r="AI90" s="19">
        <f t="shared" si="22"/>
        <v>-0.65841184740082015</v>
      </c>
      <c r="AJ90" s="19">
        <f t="shared" si="23"/>
        <v>-0.65629187552398971</v>
      </c>
      <c r="AK90" s="19">
        <f t="shared" si="24"/>
        <v>-0.30475784177590887</v>
      </c>
      <c r="AL90" s="19">
        <f t="shared" si="25"/>
        <v>-0.40402566857224581</v>
      </c>
      <c r="BF90" s="47">
        <v>-0.32532042500000002</v>
      </c>
      <c r="BG90" s="47">
        <v>-0.13417356999999999</v>
      </c>
      <c r="BH90" s="45">
        <v>8.3123439999999995E-4</v>
      </c>
      <c r="BI90" s="45">
        <v>8.209226E-3</v>
      </c>
      <c r="BJ90" s="45">
        <v>1.9957105999999999E-2</v>
      </c>
      <c r="BK90" s="45">
        <v>-1.5622535E-2</v>
      </c>
      <c r="BL90" s="18">
        <v>0.12559550380000001</v>
      </c>
      <c r="BM90" s="18">
        <v>-4.2410184900000002E-2</v>
      </c>
      <c r="BN90" s="18">
        <v>7.9195502000000001E-2</v>
      </c>
      <c r="BO90" s="18">
        <v>-0.42607048199999997</v>
      </c>
      <c r="BP90" s="18">
        <v>-0.179916616</v>
      </c>
      <c r="BQ90" s="18">
        <v>0.26714066400000003</v>
      </c>
      <c r="BR90" s="18">
        <v>-2.5704909999999998E-3</v>
      </c>
      <c r="BS90" s="38">
        <v>-6.3999290000000002E-5</v>
      </c>
      <c r="BT90" s="38">
        <v>-0.75255039999999995</v>
      </c>
      <c r="BU90" s="38"/>
      <c r="BV90" s="16">
        <v>0</v>
      </c>
      <c r="BW90" s="18">
        <v>62</v>
      </c>
      <c r="BX90" s="48">
        <v>1.4547528990347112</v>
      </c>
      <c r="BY90" s="48">
        <v>-0.42952182374153197</v>
      </c>
      <c r="BZ90" s="18" t="e">
        <f t="shared" si="26"/>
        <v>#N/A</v>
      </c>
    </row>
    <row r="91" spans="1:78" x14ac:dyDescent="0.3">
      <c r="A91" s="19">
        <v>66</v>
      </c>
      <c r="B91" s="19">
        <v>0</v>
      </c>
      <c r="C91" s="19">
        <v>6</v>
      </c>
      <c r="D91" s="19">
        <v>23.508188240514901</v>
      </c>
      <c r="E91" s="22">
        <v>18404</v>
      </c>
      <c r="F91" s="22">
        <v>6763</v>
      </c>
      <c r="G91" s="23">
        <v>5590</v>
      </c>
      <c r="H91" s="23">
        <v>6051</v>
      </c>
      <c r="I91" s="24">
        <v>14.3</v>
      </c>
      <c r="J91" s="24">
        <v>110</v>
      </c>
      <c r="K91" s="22">
        <v>12509</v>
      </c>
      <c r="L91" s="22">
        <v>44553</v>
      </c>
      <c r="M91" s="22">
        <v>15580</v>
      </c>
      <c r="N91" s="22">
        <v>5632</v>
      </c>
      <c r="O91" s="25">
        <v>4050.02</v>
      </c>
      <c r="P91" s="24">
        <v>97.6</v>
      </c>
      <c r="Q91" s="22">
        <v>28804</v>
      </c>
      <c r="R91" s="23">
        <v>520</v>
      </c>
      <c r="U91" s="19">
        <v>66</v>
      </c>
      <c r="V91" s="19">
        <v>0</v>
      </c>
      <c r="W91" s="19">
        <v>6</v>
      </c>
      <c r="X91" s="19">
        <f t="shared" ref="X91:X154" si="29">(D91-D$23)/D$24</f>
        <v>-1.0611828770324894</v>
      </c>
      <c r="Y91" s="19">
        <f t="shared" ref="Y91:Y154" si="30">(E91-E$23)/E$24</f>
        <v>-0.21142938172666403</v>
      </c>
      <c r="Z91" s="19">
        <f t="shared" ref="Z91:Z154" si="31">(F91-F$23)/F$24</f>
        <v>9.6717440624869061E-2</v>
      </c>
      <c r="AA91" s="19">
        <f t="shared" ref="AA91:AA154" si="32">(G91-G$23)/G$24</f>
        <v>-0.25615455585962205</v>
      </c>
      <c r="AB91" s="19">
        <f t="shared" ref="AB91:AB154" si="33">(H91-H$23)/H$24</f>
        <v>-0.20700451847354651</v>
      </c>
      <c r="AC91" s="19">
        <f t="shared" ref="AC91:AC154" si="34">(I91-I$23)/I$24</f>
        <v>0.3856191565317803</v>
      </c>
      <c r="AD91" s="19">
        <f t="shared" ref="AD91:AD154" si="35">(J91-J$23)/J$24</f>
        <v>-0.25150741168329716</v>
      </c>
      <c r="AE91" s="19">
        <f t="shared" ref="AE91:AE154" si="36">(K91-K$23)/K$24</f>
        <v>-0.28986308762954843</v>
      </c>
      <c r="AF91" s="19">
        <f t="shared" ref="AF91:AF154" si="37">(L91-L$23)/L$24</f>
        <v>-0.26062909406018464</v>
      </c>
      <c r="AG91" s="19">
        <f t="shared" ref="AG91:AG154" si="38">(M91-M$23)/M$24</f>
        <v>-0.15585419563357902</v>
      </c>
      <c r="AH91" s="19">
        <f t="shared" ref="AH91:AH154" si="39">(N91-N$23)/N$24</f>
        <v>-0.22285506245139183</v>
      </c>
      <c r="AI91" s="19">
        <f t="shared" ref="AI91:AI154" si="40">(O91-O$23)/O$24</f>
        <v>1.049300512222028</v>
      </c>
      <c r="AJ91" s="19">
        <f t="shared" ref="AJ91:AJ154" si="41">(P91-P$23)/P$24</f>
        <v>1.0516345558207594</v>
      </c>
      <c r="AK91" s="19">
        <f t="shared" ref="AK91:AK154" si="42">(Q91-Q$23)/Q$24</f>
        <v>0.20274581237722444</v>
      </c>
      <c r="AL91" s="19">
        <f t="shared" ref="AL91:AL154" si="43">(R91-R$23)/R$24</f>
        <v>-0.11938896422089429</v>
      </c>
      <c r="BF91" s="47">
        <v>3.2751823999999999E-2</v>
      </c>
      <c r="BG91" s="47">
        <v>-0.36520585</v>
      </c>
      <c r="BH91" s="45">
        <v>-0.41619448209999999</v>
      </c>
      <c r="BI91" s="45">
        <v>-0.41693775199999999</v>
      </c>
      <c r="BJ91" s="45">
        <v>0.57844742199999999</v>
      </c>
      <c r="BK91" s="45">
        <v>-0.34471810899999999</v>
      </c>
      <c r="BL91" s="18">
        <v>2.4582134200000001E-2</v>
      </c>
      <c r="BM91" s="18">
        <v>0.15545041979999999</v>
      </c>
      <c r="BN91" s="18">
        <v>0.163303843</v>
      </c>
      <c r="BO91" s="18">
        <v>-4.5898721000000003E-2</v>
      </c>
      <c r="BP91" s="18">
        <v>1.8259027000000001E-2</v>
      </c>
      <c r="BQ91" s="18">
        <v>-7.2544249000000005E-2</v>
      </c>
      <c r="BR91" s="18">
        <v>4.8147974999999997E-3</v>
      </c>
      <c r="BS91" s="38">
        <v>-5.4263469999999998E-5</v>
      </c>
      <c r="BT91" s="38">
        <v>7.6823699999999995E-2</v>
      </c>
      <c r="BU91" s="38"/>
      <c r="BV91" s="16">
        <v>0</v>
      </c>
      <c r="BW91" s="18">
        <v>63</v>
      </c>
      <c r="BX91" s="48">
        <v>-0.62303956694129159</v>
      </c>
      <c r="BY91" s="48">
        <v>0.80297307596406053</v>
      </c>
      <c r="BZ91" s="18" t="e">
        <f t="shared" si="26"/>
        <v>#N/A</v>
      </c>
    </row>
    <row r="92" spans="1:78" x14ac:dyDescent="0.3">
      <c r="A92" s="19">
        <v>67</v>
      </c>
      <c r="B92" s="19">
        <v>0</v>
      </c>
      <c r="C92" s="19">
        <v>6</v>
      </c>
      <c r="D92" s="19">
        <v>108.59836122646</v>
      </c>
      <c r="E92" s="22">
        <v>28714</v>
      </c>
      <c r="F92" s="22">
        <v>18310</v>
      </c>
      <c r="G92" s="23">
        <v>3508</v>
      </c>
      <c r="H92" s="23">
        <v>6896</v>
      </c>
      <c r="I92" s="24">
        <v>12.5</v>
      </c>
      <c r="J92" s="24">
        <v>75.7</v>
      </c>
      <c r="K92" s="22">
        <v>14788</v>
      </c>
      <c r="L92" s="22">
        <v>53528</v>
      </c>
      <c r="M92" s="22">
        <v>17389</v>
      </c>
      <c r="N92" s="22">
        <v>6573</v>
      </c>
      <c r="O92" s="25">
        <v>3144.81</v>
      </c>
      <c r="P92" s="24">
        <v>75.8</v>
      </c>
      <c r="Q92" s="22">
        <v>4591</v>
      </c>
      <c r="R92" s="23">
        <v>138</v>
      </c>
      <c r="U92" s="19">
        <v>67</v>
      </c>
      <c r="V92" s="19">
        <v>0</v>
      </c>
      <c r="W92" s="19">
        <v>6</v>
      </c>
      <c r="X92" s="19">
        <f t="shared" si="29"/>
        <v>1.5718730760617829</v>
      </c>
      <c r="Y92" s="19">
        <f t="shared" si="30"/>
        <v>-1.8221318411833217E-2</v>
      </c>
      <c r="Z92" s="19">
        <f t="shared" si="31"/>
        <v>2.2164258889398107</v>
      </c>
      <c r="AA92" s="19">
        <f t="shared" si="32"/>
        <v>-0.47760037148818552</v>
      </c>
      <c r="AB92" s="19">
        <f t="shared" si="33"/>
        <v>-0.18839784734055295</v>
      </c>
      <c r="AC92" s="19">
        <f t="shared" si="34"/>
        <v>4.3912325248275742E-2</v>
      </c>
      <c r="AD92" s="19">
        <f t="shared" si="35"/>
        <v>-0.27765782325756477</v>
      </c>
      <c r="AE92" s="19">
        <f t="shared" si="36"/>
        <v>-0.17301792272633479</v>
      </c>
      <c r="AF92" s="19">
        <f t="shared" si="37"/>
        <v>-0.13494017918424528</v>
      </c>
      <c r="AG92" s="19">
        <f t="shared" si="38"/>
        <v>-8.94279538379079E-2</v>
      </c>
      <c r="AH92" s="19">
        <f t="shared" si="39"/>
        <v>-0.1838629587657063</v>
      </c>
      <c r="AI92" s="19">
        <f t="shared" si="40"/>
        <v>-0.78552240178888999</v>
      </c>
      <c r="AJ92" s="19">
        <f t="shared" si="41"/>
        <v>-0.78249333596818305</v>
      </c>
      <c r="AK92" s="19">
        <f t="shared" si="42"/>
        <v>-0.34011449766031826</v>
      </c>
      <c r="AL92" s="19">
        <f t="shared" si="43"/>
        <v>-0.32848746626361791</v>
      </c>
      <c r="BF92" s="47">
        <v>-0.30835934599999998</v>
      </c>
      <c r="BG92" s="47">
        <v>4.2113110000000002E-2</v>
      </c>
      <c r="BH92" s="45">
        <v>-8.9865965500000006E-2</v>
      </c>
      <c r="BI92" s="45">
        <v>7.6700759999999996E-3</v>
      </c>
      <c r="BJ92" s="45">
        <v>-3.7753205999999997E-2</v>
      </c>
      <c r="BK92" s="45">
        <v>0.144280609</v>
      </c>
      <c r="BL92" s="18">
        <v>-0.6432128641</v>
      </c>
      <c r="BM92" s="18">
        <v>-0.25891233009999998</v>
      </c>
      <c r="BN92" s="18">
        <v>0.57492435200000003</v>
      </c>
      <c r="BO92" s="18">
        <v>-0.13178556999999999</v>
      </c>
      <c r="BP92" s="18">
        <v>-7.8497777000000005E-2</v>
      </c>
      <c r="BQ92" s="18">
        <v>-0.14188476799999999</v>
      </c>
      <c r="BR92" s="18">
        <v>-1.50522564E-2</v>
      </c>
      <c r="BS92" s="38">
        <v>-7.9696960000000003E-5</v>
      </c>
      <c r="BT92" s="38">
        <v>0.1325914</v>
      </c>
      <c r="BU92" s="38"/>
      <c r="BV92" s="16">
        <v>0</v>
      </c>
      <c r="BW92" s="18">
        <v>64</v>
      </c>
      <c r="BX92" s="48">
        <v>1.2082573216398751</v>
      </c>
      <c r="BY92" s="48">
        <v>-0.89142613974382134</v>
      </c>
      <c r="BZ92" s="18" t="e">
        <f t="shared" si="26"/>
        <v>#N/A</v>
      </c>
    </row>
    <row r="93" spans="1:78" x14ac:dyDescent="0.3">
      <c r="A93" s="19">
        <v>68</v>
      </c>
      <c r="B93" s="19">
        <v>0</v>
      </c>
      <c r="C93" s="19">
        <v>6</v>
      </c>
      <c r="D93" s="19">
        <v>97.745437090069601</v>
      </c>
      <c r="E93" s="22">
        <v>15099</v>
      </c>
      <c r="F93" s="22">
        <v>1365</v>
      </c>
      <c r="G93" s="23">
        <v>3044</v>
      </c>
      <c r="H93" s="23">
        <v>10690</v>
      </c>
      <c r="I93" s="24">
        <v>13.7</v>
      </c>
      <c r="J93" s="24">
        <v>71</v>
      </c>
      <c r="K93" s="22">
        <v>10265</v>
      </c>
      <c r="L93" s="22">
        <v>37000</v>
      </c>
      <c r="M93" s="22">
        <v>10149</v>
      </c>
      <c r="N93" s="22">
        <v>5830</v>
      </c>
      <c r="O93" s="25">
        <v>3643.59</v>
      </c>
      <c r="P93" s="24">
        <v>87.8</v>
      </c>
      <c r="Q93" s="22">
        <v>4020</v>
      </c>
      <c r="R93" s="23">
        <v>0</v>
      </c>
      <c r="U93" s="19">
        <v>68</v>
      </c>
      <c r="V93" s="19">
        <v>0</v>
      </c>
      <c r="W93" s="19">
        <v>6</v>
      </c>
      <c r="X93" s="19">
        <f t="shared" si="29"/>
        <v>1.2360369212742801</v>
      </c>
      <c r="Y93" s="19">
        <f t="shared" si="30"/>
        <v>-0.27336465323544346</v>
      </c>
      <c r="Z93" s="19">
        <f t="shared" si="31"/>
        <v>-0.89420541414295418</v>
      </c>
      <c r="AA93" s="19">
        <f t="shared" si="32"/>
        <v>-0.52695236882327356</v>
      </c>
      <c r="AB93" s="19">
        <f t="shared" si="33"/>
        <v>-0.1048549949398694</v>
      </c>
      <c r="AC93" s="19">
        <f t="shared" si="34"/>
        <v>0.27171687943727857</v>
      </c>
      <c r="AD93" s="19">
        <f t="shared" si="35"/>
        <v>-0.28124111580564226</v>
      </c>
      <c r="AE93" s="19">
        <f t="shared" si="36"/>
        <v>-0.40491378971064163</v>
      </c>
      <c r="AF93" s="19">
        <f t="shared" si="37"/>
        <v>-0.36640384325884429</v>
      </c>
      <c r="AG93" s="19">
        <f t="shared" si="38"/>
        <v>-0.35527980049388297</v>
      </c>
      <c r="AH93" s="19">
        <f t="shared" si="39"/>
        <v>-0.21465056029436128</v>
      </c>
      <c r="AI93" s="19">
        <f t="shared" si="40"/>
        <v>0.22548385427364359</v>
      </c>
      <c r="AJ93" s="19">
        <f t="shared" si="41"/>
        <v>0.22711834758536337</v>
      </c>
      <c r="AK93" s="19">
        <f t="shared" si="42"/>
        <v>-0.35291643203571316</v>
      </c>
      <c r="AL93" s="19">
        <f t="shared" si="43"/>
        <v>-0.40402566857224581</v>
      </c>
      <c r="BF93" s="47">
        <v>-0.32234829599999998</v>
      </c>
      <c r="BG93" s="47">
        <v>-0.12256827000000001</v>
      </c>
      <c r="BH93" s="45">
        <v>6.9504397600000004E-2</v>
      </c>
      <c r="BI93" s="45">
        <v>5.8070332000000002E-2</v>
      </c>
      <c r="BJ93" s="45">
        <v>-3.8119620999999999E-2</v>
      </c>
      <c r="BK93" s="45">
        <v>-6.8772670000000003E-3</v>
      </c>
      <c r="BL93" s="18">
        <v>0.27779050160000002</v>
      </c>
      <c r="BM93" s="18">
        <v>-1.48776881E-2</v>
      </c>
      <c r="BN93" s="18">
        <v>-4.5556562000000002E-2</v>
      </c>
      <c r="BO93" s="18">
        <v>-0.467852818</v>
      </c>
      <c r="BP93" s="18">
        <v>-0.19734478699999999</v>
      </c>
      <c r="BQ93" s="18">
        <v>0.35197135400000001</v>
      </c>
      <c r="BR93" s="18">
        <v>-4.8170979999999998E-4</v>
      </c>
      <c r="BS93" s="38">
        <v>-5.2192140000000001E-5</v>
      </c>
      <c r="BT93" s="38">
        <v>0.64045730000000001</v>
      </c>
      <c r="BU93" s="38"/>
      <c r="BV93" s="16">
        <v>0</v>
      </c>
      <c r="BW93" s="18">
        <v>65</v>
      </c>
      <c r="BX93" s="48">
        <v>1.215877371994406</v>
      </c>
      <c r="BY93" s="48">
        <v>-0.70155207513702256</v>
      </c>
      <c r="BZ93" s="18" t="e">
        <f t="shared" si="26"/>
        <v>#N/A</v>
      </c>
    </row>
    <row r="94" spans="1:78" x14ac:dyDescent="0.3">
      <c r="A94" s="19">
        <v>69</v>
      </c>
      <c r="B94" s="19">
        <v>0</v>
      </c>
      <c r="C94" s="19">
        <v>6</v>
      </c>
      <c r="D94" s="19">
        <v>64.101138361359105</v>
      </c>
      <c r="E94" s="22">
        <v>9801</v>
      </c>
      <c r="F94" s="22">
        <v>5159</v>
      </c>
      <c r="G94" s="23">
        <v>1420</v>
      </c>
      <c r="H94" s="23">
        <v>3222</v>
      </c>
      <c r="I94" s="24">
        <v>20.8</v>
      </c>
      <c r="J94" s="24">
        <v>21</v>
      </c>
      <c r="K94" s="22">
        <v>6981</v>
      </c>
      <c r="L94" s="22">
        <v>24530</v>
      </c>
      <c r="M94" s="22">
        <v>7769</v>
      </c>
      <c r="N94" s="22">
        <v>2734</v>
      </c>
      <c r="O94" s="25">
        <v>3267.12</v>
      </c>
      <c r="P94" s="24">
        <v>78.7</v>
      </c>
      <c r="Q94" s="22">
        <v>1979</v>
      </c>
      <c r="R94" s="23">
        <v>104</v>
      </c>
      <c r="U94" s="19">
        <v>69</v>
      </c>
      <c r="V94" s="19">
        <v>0</v>
      </c>
      <c r="W94" s="19">
        <v>6</v>
      </c>
      <c r="X94" s="19">
        <f t="shared" si="29"/>
        <v>0.19493760337836055</v>
      </c>
      <c r="Y94" s="19">
        <f t="shared" si="30"/>
        <v>-0.37264848635299669</v>
      </c>
      <c r="Z94" s="19">
        <f t="shared" si="31"/>
        <v>-0.19773240358550301</v>
      </c>
      <c r="AA94" s="19">
        <f t="shared" si="32"/>
        <v>-0.69968435949608199</v>
      </c>
      <c r="AB94" s="19">
        <f t="shared" si="33"/>
        <v>-0.26929833224305988</v>
      </c>
      <c r="AC94" s="19">
        <f t="shared" si="34"/>
        <v>1.6195604917222128</v>
      </c>
      <c r="AD94" s="19">
        <f t="shared" si="35"/>
        <v>-0.31936124929582826</v>
      </c>
      <c r="AE94" s="19">
        <f t="shared" si="36"/>
        <v>-0.57328567279188503</v>
      </c>
      <c r="AF94" s="19">
        <f t="shared" si="37"/>
        <v>-0.5410379121728236</v>
      </c>
      <c r="AG94" s="19">
        <f t="shared" si="38"/>
        <v>-0.44267308710178638</v>
      </c>
      <c r="AH94" s="19">
        <f t="shared" si="39"/>
        <v>-0.34293913947702059</v>
      </c>
      <c r="AI94" s="19">
        <f t="shared" si="40"/>
        <v>-0.53760513329574999</v>
      </c>
      <c r="AJ94" s="19">
        <f t="shared" si="41"/>
        <v>-0.53850384577607546</v>
      </c>
      <c r="AK94" s="19">
        <f t="shared" si="42"/>
        <v>-0.39867606086265017</v>
      </c>
      <c r="AL94" s="19">
        <f t="shared" si="43"/>
        <v>-0.34709832770197546</v>
      </c>
      <c r="BF94" s="47">
        <v>0.12554294299999999</v>
      </c>
      <c r="BG94" s="47">
        <v>-0.29655225000000002</v>
      </c>
      <c r="BH94" s="45">
        <v>0.43515090340000001</v>
      </c>
      <c r="BI94" s="45">
        <v>8.3645277000000004E-2</v>
      </c>
      <c r="BJ94" s="45">
        <v>-0.29402619200000002</v>
      </c>
      <c r="BK94" s="45">
        <v>-0.75341323199999999</v>
      </c>
      <c r="BL94" s="18">
        <v>-0.18065154259999999</v>
      </c>
      <c r="BM94" s="18">
        <v>-6.1074134999999996E-3</v>
      </c>
      <c r="BN94" s="18">
        <v>0.109434381</v>
      </c>
      <c r="BO94" s="18">
        <v>-1.7700879999999999E-2</v>
      </c>
      <c r="BP94" s="18">
        <v>-2.4673723000000002E-2</v>
      </c>
      <c r="BQ94" s="18">
        <v>-1.5476602000000001E-2</v>
      </c>
      <c r="BR94" s="18">
        <v>-7.0845120000000003E-3</v>
      </c>
      <c r="BS94" s="38">
        <v>-4.6297599999999999E-6</v>
      </c>
      <c r="BT94" s="38">
        <v>-1.110223E-15</v>
      </c>
      <c r="BU94" s="38"/>
      <c r="BV94" s="16">
        <v>0</v>
      </c>
      <c r="BW94" s="18">
        <v>66</v>
      </c>
      <c r="BX94" s="48">
        <v>0.12827749960890689</v>
      </c>
      <c r="BY94" s="48">
        <v>1.396718367737644</v>
      </c>
      <c r="BZ94" s="18" t="e">
        <f t="shared" ref="BZ94:BZ157" si="44">IF(BV94=1,BY94,NA())</f>
        <v>#N/A</v>
      </c>
    </row>
    <row r="95" spans="1:78" x14ac:dyDescent="0.3">
      <c r="A95" s="19">
        <v>70</v>
      </c>
      <c r="B95" s="19">
        <v>0</v>
      </c>
      <c r="C95" s="19">
        <v>6</v>
      </c>
      <c r="D95" s="19">
        <v>75.3915438315221</v>
      </c>
      <c r="E95" s="22">
        <v>34115</v>
      </c>
      <c r="F95" s="22">
        <v>24726</v>
      </c>
      <c r="G95" s="23">
        <v>3621</v>
      </c>
      <c r="H95" s="23">
        <v>5768</v>
      </c>
      <c r="I95" s="24">
        <v>13.9</v>
      </c>
      <c r="J95" s="24">
        <v>74.3</v>
      </c>
      <c r="K95" s="22">
        <v>19079</v>
      </c>
      <c r="L95" s="22">
        <v>67288</v>
      </c>
      <c r="M95" s="22">
        <v>22026</v>
      </c>
      <c r="N95" s="22">
        <v>6390</v>
      </c>
      <c r="O95" s="25">
        <v>3021.19</v>
      </c>
      <c r="P95" s="24">
        <v>72.8</v>
      </c>
      <c r="Q95" s="22">
        <v>1317</v>
      </c>
      <c r="R95" s="23">
        <v>182</v>
      </c>
      <c r="U95" s="19">
        <v>70</v>
      </c>
      <c r="V95" s="19">
        <v>0</v>
      </c>
      <c r="W95" s="19">
        <v>6</v>
      </c>
      <c r="X95" s="19">
        <f t="shared" si="29"/>
        <v>0.54431131238434916</v>
      </c>
      <c r="Y95" s="19">
        <f t="shared" si="30"/>
        <v>8.2992721351833248E-2</v>
      </c>
      <c r="Z95" s="19">
        <f t="shared" si="31"/>
        <v>3.3942252657812992</v>
      </c>
      <c r="AA95" s="19">
        <f t="shared" si="32"/>
        <v>-0.46558145834407999</v>
      </c>
      <c r="AB95" s="19">
        <f t="shared" si="33"/>
        <v>-0.21323610182341302</v>
      </c>
      <c r="AC95" s="19">
        <f t="shared" si="34"/>
        <v>0.30968430513544593</v>
      </c>
      <c r="AD95" s="19">
        <f t="shared" si="35"/>
        <v>-0.27872518699528998</v>
      </c>
      <c r="AE95" s="19">
        <f t="shared" si="36"/>
        <v>4.6983219265630871E-2</v>
      </c>
      <c r="AF95" s="19">
        <f t="shared" si="37"/>
        <v>5.7759483065662906E-2</v>
      </c>
      <c r="AG95" s="19">
        <f t="shared" si="38"/>
        <v>8.0842075574213162E-2</v>
      </c>
      <c r="AH95" s="19">
        <f t="shared" si="39"/>
        <v>-0.1914459077290224</v>
      </c>
      <c r="AI95" s="19">
        <f t="shared" si="40"/>
        <v>-1.0360949856423931</v>
      </c>
      <c r="AJ95" s="19">
        <f t="shared" si="41"/>
        <v>-1.0348962568565696</v>
      </c>
      <c r="AK95" s="19">
        <f t="shared" si="42"/>
        <v>-0.41351823346599764</v>
      </c>
      <c r="AL95" s="19">
        <f t="shared" si="43"/>
        <v>-0.30440282204927277</v>
      </c>
      <c r="BF95" s="47">
        <v>-0.31141012499999998</v>
      </c>
      <c r="BG95" s="47">
        <v>-8.8225120000000004E-2</v>
      </c>
      <c r="BH95" s="45">
        <v>7.3929100100000006E-2</v>
      </c>
      <c r="BI95" s="45">
        <v>9.4581459000000007E-2</v>
      </c>
      <c r="BJ95" s="45">
        <v>3.1084447000000001E-2</v>
      </c>
      <c r="BK95" s="45">
        <v>-5.4147108999999999E-2</v>
      </c>
      <c r="BL95" s="18">
        <v>0.52139629629999995</v>
      </c>
      <c r="BM95" s="18">
        <v>-0.34887118820000002</v>
      </c>
      <c r="BN95" s="18">
        <v>0.44562609600000003</v>
      </c>
      <c r="BO95" s="18">
        <v>0.46129066499999999</v>
      </c>
      <c r="BP95" s="18">
        <v>0.26356859999999999</v>
      </c>
      <c r="BQ95" s="18">
        <v>4.8565763999999997E-2</v>
      </c>
      <c r="BR95" s="18">
        <v>1.29148426E-2</v>
      </c>
      <c r="BS95" s="38">
        <v>1.1654719999999999E-4</v>
      </c>
      <c r="BT95" s="38">
        <v>-5.3151929999999997E-15</v>
      </c>
      <c r="BU95" s="38"/>
      <c r="BV95" s="16">
        <v>0</v>
      </c>
      <c r="BW95" s="18">
        <v>67</v>
      </c>
      <c r="BX95" s="48">
        <v>1.0630636004512972</v>
      </c>
      <c r="BY95" s="48">
        <v>-1.9216636895417578</v>
      </c>
      <c r="BZ95" s="18" t="e">
        <f t="shared" si="44"/>
        <v>#N/A</v>
      </c>
    </row>
    <row r="96" spans="1:78" x14ac:dyDescent="0.3">
      <c r="A96" s="19">
        <v>71</v>
      </c>
      <c r="B96" s="19">
        <v>1</v>
      </c>
      <c r="C96" s="19">
        <v>6</v>
      </c>
      <c r="D96" s="19">
        <v>0</v>
      </c>
      <c r="E96" s="22">
        <v>124252</v>
      </c>
      <c r="F96" s="22">
        <v>4960</v>
      </c>
      <c r="G96" s="23">
        <v>22277</v>
      </c>
      <c r="H96" s="23">
        <v>97015</v>
      </c>
      <c r="I96" s="24">
        <v>7.9</v>
      </c>
      <c r="J96" s="24">
        <v>1643.5</v>
      </c>
      <c r="K96" s="22">
        <v>56090</v>
      </c>
      <c r="L96" s="22">
        <v>209771</v>
      </c>
      <c r="M96" s="22">
        <v>74866</v>
      </c>
      <c r="N96" s="22">
        <v>43922</v>
      </c>
      <c r="O96" s="25">
        <v>4060.17</v>
      </c>
      <c r="P96" s="24">
        <v>97.8</v>
      </c>
      <c r="Q96" s="22">
        <v>103178</v>
      </c>
      <c r="R96" s="23">
        <v>0</v>
      </c>
      <c r="U96" s="19">
        <v>71</v>
      </c>
      <c r="V96" s="19">
        <v>1</v>
      </c>
      <c r="W96" s="19">
        <v>6</v>
      </c>
      <c r="X96" s="19">
        <f t="shared" si="29"/>
        <v>-1.7886273376680637</v>
      </c>
      <c r="Y96" s="19">
        <f t="shared" si="30"/>
        <v>1.7721484151451314</v>
      </c>
      <c r="Z96" s="19">
        <f t="shared" si="31"/>
        <v>-0.23426327577868508</v>
      </c>
      <c r="AA96" s="19">
        <f t="shared" si="32"/>
        <v>1.5187091931287728</v>
      </c>
      <c r="AB96" s="19">
        <f t="shared" si="33"/>
        <v>1.7959981240609235</v>
      </c>
      <c r="AC96" s="19">
        <f t="shared" si="34"/>
        <v>-0.82933846580956883</v>
      </c>
      <c r="AD96" s="19">
        <f t="shared" si="35"/>
        <v>0.9176370824607083</v>
      </c>
      <c r="AE96" s="19">
        <f t="shared" si="36"/>
        <v>1.9445507481084745</v>
      </c>
      <c r="AF96" s="19">
        <f t="shared" si="37"/>
        <v>2.0531392778588073</v>
      </c>
      <c r="AG96" s="19">
        <f t="shared" si="38"/>
        <v>2.0211199177429595</v>
      </c>
      <c r="AH96" s="19">
        <f t="shared" si="39"/>
        <v>1.3637630567036552</v>
      </c>
      <c r="AI96" s="19">
        <f t="shared" si="40"/>
        <v>1.0698741388691166</v>
      </c>
      <c r="AJ96" s="19">
        <f t="shared" si="41"/>
        <v>1.0684614172133187</v>
      </c>
      <c r="AK96" s="19">
        <f t="shared" si="42"/>
        <v>1.8702257900227952</v>
      </c>
      <c r="AL96" s="19">
        <f t="shared" si="43"/>
        <v>-0.40402566857224581</v>
      </c>
      <c r="BF96" s="47">
        <v>-0.318713574</v>
      </c>
      <c r="BG96" s="47">
        <v>-0.14589516999999999</v>
      </c>
      <c r="BH96" s="45">
        <v>-8.4803357699999998E-2</v>
      </c>
      <c r="BI96" s="45">
        <v>-1.3518199E-2</v>
      </c>
      <c r="BJ96" s="45">
        <v>3.6821442000000003E-2</v>
      </c>
      <c r="BK96" s="45">
        <v>-5.5045492000000001E-2</v>
      </c>
      <c r="BL96" s="18">
        <v>-0.21738539609999999</v>
      </c>
      <c r="BM96" s="18">
        <v>-8.7883214500000001E-2</v>
      </c>
      <c r="BN96" s="18">
        <v>-0.33786530100000001</v>
      </c>
      <c r="BO96" s="18">
        <v>0.50300982699999996</v>
      </c>
      <c r="BP96" s="18">
        <v>-0.428163876</v>
      </c>
      <c r="BQ96" s="18">
        <v>0.23124968300000001</v>
      </c>
      <c r="BR96" s="18">
        <v>-0.45433846389999999</v>
      </c>
      <c r="BS96" s="38">
        <v>-4.499792E-4</v>
      </c>
      <c r="BT96" s="38">
        <v>5.8092420000000001E-14</v>
      </c>
      <c r="BU96" s="38"/>
      <c r="BV96" s="16">
        <v>0</v>
      </c>
      <c r="BW96" s="18">
        <v>68</v>
      </c>
      <c r="BX96" s="48">
        <v>0.92396921632579609</v>
      </c>
      <c r="BY96" s="48">
        <v>0.45002281158353119</v>
      </c>
      <c r="BZ96" s="18" t="e">
        <f t="shared" si="44"/>
        <v>#N/A</v>
      </c>
    </row>
    <row r="97" spans="1:78" x14ac:dyDescent="0.3">
      <c r="A97" s="19">
        <v>72</v>
      </c>
      <c r="B97" s="19">
        <v>0</v>
      </c>
      <c r="C97" s="19">
        <v>6</v>
      </c>
      <c r="D97" s="19">
        <v>65.4201242172565</v>
      </c>
      <c r="E97" s="22">
        <v>15473</v>
      </c>
      <c r="F97" s="22">
        <v>1606</v>
      </c>
      <c r="G97" s="23">
        <v>3257</v>
      </c>
      <c r="H97" s="23">
        <v>10610</v>
      </c>
      <c r="I97" s="24">
        <v>14.7</v>
      </c>
      <c r="J97" s="24">
        <v>90.7</v>
      </c>
      <c r="K97" s="22">
        <v>9986</v>
      </c>
      <c r="L97" s="22">
        <v>40766</v>
      </c>
      <c r="M97" s="22">
        <v>13518</v>
      </c>
      <c r="N97" s="22">
        <v>5843</v>
      </c>
      <c r="O97" s="25">
        <v>3371.93</v>
      </c>
      <c r="P97" s="24">
        <v>81.2</v>
      </c>
      <c r="Q97" s="22">
        <v>17187</v>
      </c>
      <c r="R97" s="23">
        <v>0</v>
      </c>
      <c r="U97" s="19">
        <v>72</v>
      </c>
      <c r="V97" s="19">
        <v>0</v>
      </c>
      <c r="W97" s="19">
        <v>6</v>
      </c>
      <c r="X97" s="19">
        <f t="shared" si="29"/>
        <v>0.23575269915318561</v>
      </c>
      <c r="Y97" s="19">
        <f t="shared" si="30"/>
        <v>-0.26635594172431382</v>
      </c>
      <c r="Z97" s="19">
        <f t="shared" si="31"/>
        <v>-0.84996450862256778</v>
      </c>
      <c r="AA97" s="19">
        <f t="shared" si="32"/>
        <v>-0.50429724935695086</v>
      </c>
      <c r="AB97" s="19">
        <f t="shared" si="33"/>
        <v>-0.10661657327198713</v>
      </c>
      <c r="AC97" s="19">
        <f t="shared" si="34"/>
        <v>0.46155400792811435</v>
      </c>
      <c r="AD97" s="19">
        <f t="shared" si="35"/>
        <v>-0.26622178321050893</v>
      </c>
      <c r="AE97" s="19">
        <f t="shared" si="36"/>
        <v>-0.41921822192125885</v>
      </c>
      <c r="AF97" s="19">
        <f t="shared" si="37"/>
        <v>-0.31366351418666738</v>
      </c>
      <c r="AG97" s="19">
        <f t="shared" si="38"/>
        <v>-0.23157056411488022</v>
      </c>
      <c r="AH97" s="19">
        <f t="shared" si="39"/>
        <v>-0.21411188085980878</v>
      </c>
      <c r="AI97" s="19">
        <f t="shared" si="40"/>
        <v>-0.32515963488379673</v>
      </c>
      <c r="AJ97" s="19">
        <f t="shared" si="41"/>
        <v>-0.32816807836908668</v>
      </c>
      <c r="AK97" s="19">
        <f t="shared" si="42"/>
        <v>-5.7709654591186481E-2</v>
      </c>
      <c r="AL97" s="19">
        <f t="shared" si="43"/>
        <v>-0.40402566857224581</v>
      </c>
      <c r="BF97" s="47">
        <v>-0.32381170399999998</v>
      </c>
      <c r="BG97" s="47">
        <v>-0.12583510000000001</v>
      </c>
      <c r="BH97" s="45">
        <v>-4.3333675299999999E-2</v>
      </c>
      <c r="BI97" s="45">
        <v>-2.5261866000000001E-2</v>
      </c>
      <c r="BJ97" s="45">
        <v>-2.1713739999999998E-3</v>
      </c>
      <c r="BK97" s="45">
        <v>-3.9718656999999997E-2</v>
      </c>
      <c r="BL97" s="18">
        <v>-0.24171517579999999</v>
      </c>
      <c r="BM97" s="18">
        <v>-2.80285802E-2</v>
      </c>
      <c r="BN97" s="18">
        <v>-0.316562605</v>
      </c>
      <c r="BO97" s="18">
        <v>0.194444599</v>
      </c>
      <c r="BP97" s="18">
        <v>0.155135093</v>
      </c>
      <c r="BQ97" s="18">
        <v>0.16647627200000001</v>
      </c>
      <c r="BR97" s="18">
        <v>0.7913261976</v>
      </c>
      <c r="BS97" s="38">
        <v>1.5627390000000001E-3</v>
      </c>
      <c r="BT97" s="38">
        <v>-6.8306470000000006E-14</v>
      </c>
      <c r="BU97" s="38"/>
      <c r="BV97" s="16">
        <v>0</v>
      </c>
      <c r="BW97" s="18">
        <v>69</v>
      </c>
      <c r="BX97" s="48">
        <v>1.6619945881312785</v>
      </c>
      <c r="BY97" s="48">
        <v>-0.75412074561225007</v>
      </c>
      <c r="BZ97" s="18" t="e">
        <f t="shared" si="44"/>
        <v>#N/A</v>
      </c>
    </row>
    <row r="98" spans="1:78" x14ac:dyDescent="0.3">
      <c r="A98" s="19">
        <v>73</v>
      </c>
      <c r="B98" s="19">
        <v>0</v>
      </c>
      <c r="C98" s="19">
        <v>6</v>
      </c>
      <c r="D98" s="19">
        <v>77.211116584448703</v>
      </c>
      <c r="E98" s="22">
        <v>19054</v>
      </c>
      <c r="F98" s="22">
        <v>1774</v>
      </c>
      <c r="G98" s="23">
        <v>3179</v>
      </c>
      <c r="H98" s="23">
        <v>14101</v>
      </c>
      <c r="I98" s="24">
        <v>14</v>
      </c>
      <c r="J98" s="24">
        <v>126.6</v>
      </c>
      <c r="K98" s="22">
        <v>10826</v>
      </c>
      <c r="L98" s="22">
        <v>41219</v>
      </c>
      <c r="M98" s="22">
        <v>12743</v>
      </c>
      <c r="N98" s="22">
        <v>7800</v>
      </c>
      <c r="O98" s="25">
        <v>3684.12</v>
      </c>
      <c r="P98" s="24">
        <v>88.8</v>
      </c>
      <c r="Q98" s="22">
        <v>28318</v>
      </c>
      <c r="R98" s="23">
        <v>0</v>
      </c>
      <c r="U98" s="19">
        <v>73</v>
      </c>
      <c r="V98" s="19">
        <v>0</v>
      </c>
      <c r="W98" s="19">
        <v>6</v>
      </c>
      <c r="X98" s="19">
        <f t="shared" si="29"/>
        <v>0.60061671994266841</v>
      </c>
      <c r="Y98" s="19">
        <f t="shared" si="30"/>
        <v>-0.19924846599876489</v>
      </c>
      <c r="Z98" s="19">
        <f t="shared" si="31"/>
        <v>-0.81912437531375082</v>
      </c>
      <c r="AA98" s="19">
        <f t="shared" si="32"/>
        <v>-0.51259349028828027</v>
      </c>
      <c r="AB98" s="19">
        <f t="shared" si="33"/>
        <v>-2.9745698804199493E-2</v>
      </c>
      <c r="AC98" s="19">
        <f t="shared" si="34"/>
        <v>0.32866801798452944</v>
      </c>
      <c r="AD98" s="19">
        <f t="shared" si="35"/>
        <v>-0.23885152736455537</v>
      </c>
      <c r="AE98" s="19">
        <f t="shared" si="36"/>
        <v>-0.37615111419036834</v>
      </c>
      <c r="AF98" s="19">
        <f t="shared" si="37"/>
        <v>-0.30731955001521327</v>
      </c>
      <c r="AG98" s="19">
        <f t="shared" si="38"/>
        <v>-0.2600284620649328</v>
      </c>
      <c r="AH98" s="19">
        <f t="shared" si="39"/>
        <v>-0.13301990751986553</v>
      </c>
      <c r="AI98" s="19">
        <f t="shared" si="40"/>
        <v>0.30763647378167158</v>
      </c>
      <c r="AJ98" s="19">
        <f t="shared" si="41"/>
        <v>0.31125265454815892</v>
      </c>
      <c r="AK98" s="19">
        <f t="shared" si="42"/>
        <v>0.19184959502793911</v>
      </c>
      <c r="AL98" s="19">
        <f t="shared" si="43"/>
        <v>-0.40402566857224581</v>
      </c>
      <c r="BF98" s="47">
        <v>-0.32467820400000003</v>
      </c>
      <c r="BG98" s="47">
        <v>-0.11737013</v>
      </c>
      <c r="BH98" s="45">
        <v>1.2476668200000001E-2</v>
      </c>
      <c r="BI98" s="45">
        <v>-2.0089306000000001E-2</v>
      </c>
      <c r="BJ98" s="45">
        <v>-2.3718923999999999E-2</v>
      </c>
      <c r="BK98" s="45">
        <v>-1.6836522999999999E-2</v>
      </c>
      <c r="BL98" s="18">
        <v>-0.14791738600000001</v>
      </c>
      <c r="BM98" s="18">
        <v>-8.7754878000000005E-3</v>
      </c>
      <c r="BN98" s="18">
        <v>-0.30586739699999999</v>
      </c>
      <c r="BO98" s="18">
        <v>-0.18954768</v>
      </c>
      <c r="BP98" s="18">
        <v>0.74747442900000005</v>
      </c>
      <c r="BQ98" s="18">
        <v>-9.6892881E-2</v>
      </c>
      <c r="BR98" s="18">
        <v>-0.39982004329999998</v>
      </c>
      <c r="BS98" s="38">
        <v>-9.7166989999999996E-4</v>
      </c>
      <c r="BT98" s="38">
        <v>3.1558089999999997E-14</v>
      </c>
      <c r="BU98" s="38"/>
      <c r="BV98" s="16">
        <v>0</v>
      </c>
      <c r="BW98" s="18">
        <v>70</v>
      </c>
      <c r="BX98" s="48">
        <v>0.96173334293742363</v>
      </c>
      <c r="BY98" s="48">
        <v>-2.6020312002297179</v>
      </c>
      <c r="BZ98" s="18" t="e">
        <f t="shared" si="44"/>
        <v>#N/A</v>
      </c>
    </row>
    <row r="99" spans="1:78" x14ac:dyDescent="0.3">
      <c r="A99" s="19">
        <v>74</v>
      </c>
      <c r="B99" s="19">
        <v>0</v>
      </c>
      <c r="C99" s="19">
        <v>12</v>
      </c>
      <c r="D99" s="19">
        <v>50.669487829505698</v>
      </c>
      <c r="E99" s="22">
        <v>40957</v>
      </c>
      <c r="F99" s="22">
        <v>1377</v>
      </c>
      <c r="G99" s="23">
        <v>14111</v>
      </c>
      <c r="H99" s="23">
        <v>25469</v>
      </c>
      <c r="I99" s="24">
        <v>8.1999999999999993</v>
      </c>
      <c r="J99" s="24">
        <v>342.6</v>
      </c>
      <c r="K99" s="22">
        <v>17586</v>
      </c>
      <c r="L99" s="22">
        <v>68033</v>
      </c>
      <c r="M99" s="22">
        <v>25025</v>
      </c>
      <c r="N99" s="22">
        <v>11400</v>
      </c>
      <c r="O99" s="25">
        <v>3668.76</v>
      </c>
      <c r="P99" s="24">
        <v>88.4</v>
      </c>
      <c r="Q99" s="22">
        <v>44582</v>
      </c>
      <c r="R99" s="23">
        <v>0</v>
      </c>
      <c r="U99" s="19">
        <v>74</v>
      </c>
      <c r="V99" s="19">
        <v>0</v>
      </c>
      <c r="W99" s="19">
        <v>12</v>
      </c>
      <c r="X99" s="19">
        <f t="shared" si="29"/>
        <v>-0.22069543803783384</v>
      </c>
      <c r="Y99" s="19">
        <f t="shared" si="30"/>
        <v>0.21121091429073455</v>
      </c>
      <c r="Z99" s="19">
        <f t="shared" si="31"/>
        <v>-0.89200254747803864</v>
      </c>
      <c r="AA99" s="19">
        <f t="shared" si="32"/>
        <v>0.65015658485651096</v>
      </c>
      <c r="AB99" s="19">
        <f t="shared" si="33"/>
        <v>0.22057458218973056</v>
      </c>
      <c r="AC99" s="19">
        <f t="shared" si="34"/>
        <v>-0.77238732726231829</v>
      </c>
      <c r="AD99" s="19">
        <f t="shared" si="35"/>
        <v>-7.4172550686951735E-2</v>
      </c>
      <c r="AE99" s="19">
        <f t="shared" si="36"/>
        <v>-2.9563437689392371E-2</v>
      </c>
      <c r="AF99" s="19">
        <f t="shared" si="37"/>
        <v>6.8192713325559817E-2</v>
      </c>
      <c r="AG99" s="19">
        <f t="shared" si="38"/>
        <v>0.190964960673836</v>
      </c>
      <c r="AH99" s="19">
        <f t="shared" si="39"/>
        <v>1.6152858971598794E-2</v>
      </c>
      <c r="AI99" s="19">
        <f t="shared" si="40"/>
        <v>0.27650239444184205</v>
      </c>
      <c r="AJ99" s="19">
        <f t="shared" si="41"/>
        <v>0.2775989317630414</v>
      </c>
      <c r="AK99" s="19">
        <f t="shared" si="42"/>
        <v>0.55649173282377584</v>
      </c>
      <c r="AL99" s="19">
        <f t="shared" si="43"/>
        <v>-0.40402566857224581</v>
      </c>
      <c r="BF99" s="47">
        <v>-0.32392218699999997</v>
      </c>
      <c r="BG99" s="47">
        <v>-0.12636488000000001</v>
      </c>
      <c r="BH99" s="45">
        <v>4.2712768200000001E-2</v>
      </c>
      <c r="BI99" s="45">
        <v>7.1464633E-2</v>
      </c>
      <c r="BJ99" s="45">
        <v>-2.6658728E-2</v>
      </c>
      <c r="BK99" s="45">
        <v>-1.2929563E-2</v>
      </c>
      <c r="BL99" s="18">
        <v>0.20704737549999999</v>
      </c>
      <c r="BM99" s="18">
        <v>-4.6431695500000002E-2</v>
      </c>
      <c r="BN99" s="18">
        <v>-0.20727348500000001</v>
      </c>
      <c r="BO99" s="18">
        <v>-8.2523315999999999E-2</v>
      </c>
      <c r="BP99" s="18">
        <v>-0.28969148</v>
      </c>
      <c r="BQ99" s="18">
        <v>-0.82823764700000002</v>
      </c>
      <c r="BR99" s="18">
        <v>8.1247861800000001E-2</v>
      </c>
      <c r="BS99" s="38">
        <v>-1.3169169999999999E-4</v>
      </c>
      <c r="BT99" s="38">
        <v>-4.3798299999999997E-14</v>
      </c>
      <c r="BU99" s="38"/>
      <c r="BV99" s="16">
        <v>1</v>
      </c>
      <c r="BW99" s="18">
        <v>71</v>
      </c>
      <c r="BX99" s="48">
        <v>-5.4922426643862732</v>
      </c>
      <c r="BY99" s="48">
        <v>0.39751995424311842</v>
      </c>
      <c r="BZ99" s="18">
        <f t="shared" si="44"/>
        <v>0.39751995424311842</v>
      </c>
    </row>
    <row r="100" spans="1:78" x14ac:dyDescent="0.3">
      <c r="A100" s="19">
        <v>75</v>
      </c>
      <c r="B100" s="19">
        <v>0</v>
      </c>
      <c r="C100" s="19">
        <v>12</v>
      </c>
      <c r="D100" s="19">
        <v>35.597359378464397</v>
      </c>
      <c r="E100" s="22">
        <v>29632</v>
      </c>
      <c r="F100" s="22">
        <v>11958</v>
      </c>
      <c r="G100" s="23">
        <v>8253</v>
      </c>
      <c r="H100" s="23">
        <v>9421</v>
      </c>
      <c r="I100" s="24">
        <v>7</v>
      </c>
      <c r="J100" s="24">
        <v>367.2</v>
      </c>
      <c r="K100" s="22">
        <v>22045</v>
      </c>
      <c r="L100" s="22">
        <v>65909</v>
      </c>
      <c r="M100" s="22">
        <v>17462</v>
      </c>
      <c r="N100" s="22">
        <v>8617</v>
      </c>
      <c r="O100" s="25">
        <v>3464.39</v>
      </c>
      <c r="P100" s="24">
        <v>83.5</v>
      </c>
      <c r="Q100" s="22">
        <v>11742</v>
      </c>
      <c r="R100" s="23">
        <v>216</v>
      </c>
      <c r="U100" s="19">
        <v>75</v>
      </c>
      <c r="V100" s="19">
        <v>0</v>
      </c>
      <c r="W100" s="19">
        <v>12</v>
      </c>
      <c r="X100" s="19">
        <f t="shared" si="29"/>
        <v>-0.68709192251050044</v>
      </c>
      <c r="Y100" s="19">
        <f t="shared" si="30"/>
        <v>-1.0181174299695231E-3</v>
      </c>
      <c r="Z100" s="19">
        <f t="shared" si="31"/>
        <v>1.0503751343112051</v>
      </c>
      <c r="AA100" s="19">
        <f t="shared" si="32"/>
        <v>2.708761850102365E-2</v>
      </c>
      <c r="AB100" s="19">
        <f t="shared" si="33"/>
        <v>-0.13279803123308695</v>
      </c>
      <c r="AC100" s="19">
        <f t="shared" si="34"/>
        <v>-1.0001918814513211</v>
      </c>
      <c r="AD100" s="19">
        <f t="shared" si="35"/>
        <v>-5.5417445009780228E-2</v>
      </c>
      <c r="AE100" s="19">
        <f t="shared" si="36"/>
        <v>0.1990511258487514</v>
      </c>
      <c r="AF100" s="19">
        <f t="shared" si="37"/>
        <v>3.8447503832914114E-2</v>
      </c>
      <c r="AG100" s="19">
        <f t="shared" si="38"/>
        <v>-8.674740345035456E-2</v>
      </c>
      <c r="AH100" s="19">
        <f t="shared" si="39"/>
        <v>-9.916597690221933E-2</v>
      </c>
      <c r="AI100" s="19">
        <f t="shared" si="40"/>
        <v>-0.13774707135770936</v>
      </c>
      <c r="AJ100" s="19">
        <f t="shared" si="41"/>
        <v>-0.13465917235465719</v>
      </c>
      <c r="AK100" s="19">
        <f t="shared" si="42"/>
        <v>-0.17978764526373511</v>
      </c>
      <c r="AL100" s="19">
        <f t="shared" si="43"/>
        <v>-0.28579196061091516</v>
      </c>
      <c r="BF100" s="47">
        <v>-0.17978413900000001</v>
      </c>
      <c r="BG100" s="47">
        <v>0.55827565000000001</v>
      </c>
      <c r="BH100" s="45">
        <v>0.1178852881</v>
      </c>
      <c r="BI100" s="45">
        <v>-7.9511577999999999E-2</v>
      </c>
      <c r="BJ100" s="45">
        <v>0.22966834999999999</v>
      </c>
      <c r="BK100" s="45">
        <v>-0.28462869400000002</v>
      </c>
      <c r="BL100" s="18">
        <v>3.8365380000000002E-4</v>
      </c>
      <c r="BM100" s="18">
        <v>7.0958510000000002E-4</v>
      </c>
      <c r="BN100" s="18">
        <v>-3.7856848999999998E-2</v>
      </c>
      <c r="BO100" s="18">
        <v>-2.0721950999999999E-2</v>
      </c>
      <c r="BP100" s="18">
        <v>-1.4987759E-2</v>
      </c>
      <c r="BQ100" s="18">
        <v>-2.109873E-3</v>
      </c>
      <c r="BR100" s="18">
        <v>-2.4551915E-3</v>
      </c>
      <c r="BS100" s="38">
        <v>0.70705560000000001</v>
      </c>
      <c r="BT100" s="38">
        <v>-1.2689019999999999E-12</v>
      </c>
      <c r="BU100" s="38"/>
      <c r="BV100" s="16">
        <v>0</v>
      </c>
      <c r="BW100" s="18">
        <v>72</v>
      </c>
      <c r="BX100" s="48">
        <v>0.92011148134581666</v>
      </c>
      <c r="BY100" s="48">
        <v>-7.1775847023193173E-2</v>
      </c>
      <c r="BZ100" s="18" t="e">
        <f t="shared" si="44"/>
        <v>#N/A</v>
      </c>
    </row>
    <row r="101" spans="1:78" x14ac:dyDescent="0.3">
      <c r="A101" s="19">
        <v>76</v>
      </c>
      <c r="B101" s="19">
        <v>0</v>
      </c>
      <c r="C101" s="19">
        <v>12</v>
      </c>
      <c r="D101" s="19">
        <v>40.718142053551297</v>
      </c>
      <c r="E101" s="22">
        <v>34628</v>
      </c>
      <c r="F101" s="22">
        <v>6214</v>
      </c>
      <c r="G101" s="23">
        <v>12754</v>
      </c>
      <c r="H101" s="23">
        <v>15660</v>
      </c>
      <c r="I101" s="24">
        <v>9.5</v>
      </c>
      <c r="J101" s="24">
        <v>879</v>
      </c>
      <c r="K101" s="22">
        <v>27307</v>
      </c>
      <c r="L101" s="22">
        <v>96501</v>
      </c>
      <c r="M101" s="22">
        <v>31011</v>
      </c>
      <c r="N101" s="22">
        <v>14185</v>
      </c>
      <c r="O101" s="25">
        <v>3677.68</v>
      </c>
      <c r="P101" s="24">
        <v>88.6</v>
      </c>
      <c r="Q101" s="22">
        <v>50179</v>
      </c>
      <c r="R101" s="23">
        <v>531</v>
      </c>
      <c r="U101" s="19">
        <v>76</v>
      </c>
      <c r="V101" s="19">
        <v>0</v>
      </c>
      <c r="W101" s="19">
        <v>12</v>
      </c>
      <c r="X101" s="19">
        <f t="shared" si="29"/>
        <v>-0.52863288036744704</v>
      </c>
      <c r="Y101" s="19">
        <f t="shared" si="30"/>
        <v>9.2606274841698255E-2</v>
      </c>
      <c r="Z101" s="19">
        <f t="shared" si="31"/>
        <v>-4.0637092950151438E-3</v>
      </c>
      <c r="AA101" s="19">
        <f t="shared" si="32"/>
        <v>0.50582326506402264</v>
      </c>
      <c r="AB101" s="19">
        <f t="shared" si="33"/>
        <v>4.5830589429448568E-3</v>
      </c>
      <c r="AC101" s="19">
        <f t="shared" si="34"/>
        <v>-0.52559906022423164</v>
      </c>
      <c r="AD101" s="19">
        <f t="shared" si="35"/>
        <v>0.33478024139576396</v>
      </c>
      <c r="AE101" s="19">
        <f t="shared" si="36"/>
        <v>0.46883579356297261</v>
      </c>
      <c r="AF101" s="19">
        <f t="shared" si="37"/>
        <v>0.46686814827689599</v>
      </c>
      <c r="AG101" s="19">
        <f t="shared" si="38"/>
        <v>0.41077009245320989</v>
      </c>
      <c r="AH101" s="19">
        <f t="shared" si="39"/>
        <v>0.13155456860457884</v>
      </c>
      <c r="AI101" s="19">
        <f t="shared" si="40"/>
        <v>0.29458286239179476</v>
      </c>
      <c r="AJ101" s="19">
        <f t="shared" si="41"/>
        <v>0.29442579315559958</v>
      </c>
      <c r="AK101" s="19">
        <f t="shared" si="42"/>
        <v>0.6819775939430146</v>
      </c>
      <c r="AL101" s="19">
        <f t="shared" si="43"/>
        <v>-0.11336780316730802</v>
      </c>
      <c r="BF101" s="47">
        <v>-0.17984092500000001</v>
      </c>
      <c r="BG101" s="47">
        <v>0.55820108000000002</v>
      </c>
      <c r="BH101" s="45">
        <v>0.1179666639</v>
      </c>
      <c r="BI101" s="45">
        <v>-7.9429643999999994E-2</v>
      </c>
      <c r="BJ101" s="45">
        <v>0.229656736</v>
      </c>
      <c r="BK101" s="45">
        <v>-0.28454278900000002</v>
      </c>
      <c r="BL101" s="18">
        <v>2.6303649999999997E-4</v>
      </c>
      <c r="BM101" s="18">
        <v>1.0307255999999999E-3</v>
      </c>
      <c r="BN101" s="18">
        <v>-3.7784943000000001E-2</v>
      </c>
      <c r="BO101" s="18">
        <v>-2.0096771999999999E-2</v>
      </c>
      <c r="BP101" s="18">
        <v>-1.5255138999999999E-2</v>
      </c>
      <c r="BQ101" s="18">
        <v>-1.6240359999999999E-3</v>
      </c>
      <c r="BR101" s="18">
        <v>1.137868E-4</v>
      </c>
      <c r="BS101" s="38">
        <v>-0.70715539999999999</v>
      </c>
      <c r="BT101" s="38">
        <v>1.2699290000000001E-12</v>
      </c>
      <c r="BU101" s="38"/>
      <c r="BV101" s="16">
        <v>0</v>
      </c>
      <c r="BW101" s="18">
        <v>73</v>
      </c>
      <c r="BX101" s="48">
        <v>0.53924701997569502</v>
      </c>
      <c r="BY101" s="48">
        <v>0.56389118282955109</v>
      </c>
      <c r="BZ101" s="18" t="e">
        <f t="shared" si="44"/>
        <v>#N/A</v>
      </c>
    </row>
    <row r="102" spans="1:78" x14ac:dyDescent="0.3">
      <c r="A102" s="19">
        <v>77</v>
      </c>
      <c r="B102" s="19">
        <v>0</v>
      </c>
      <c r="C102" s="19">
        <v>12</v>
      </c>
      <c r="D102" s="19">
        <v>78.983718180223207</v>
      </c>
      <c r="E102" s="22">
        <v>45797</v>
      </c>
      <c r="F102" s="22">
        <v>21486</v>
      </c>
      <c r="G102" s="23">
        <v>7797</v>
      </c>
      <c r="H102" s="23">
        <v>16514</v>
      </c>
      <c r="I102" s="24">
        <v>10.7</v>
      </c>
      <c r="J102" s="24">
        <v>279.89999999999998</v>
      </c>
      <c r="K102" s="22">
        <v>39544</v>
      </c>
      <c r="L102" s="22">
        <v>119695</v>
      </c>
      <c r="M102" s="22">
        <v>31278</v>
      </c>
      <c r="N102" s="22">
        <v>15407</v>
      </c>
      <c r="O102" s="25">
        <v>3121.96</v>
      </c>
      <c r="P102" s="24">
        <v>75.2</v>
      </c>
      <c r="Q102" s="22">
        <v>12338</v>
      </c>
      <c r="R102" s="23">
        <v>150</v>
      </c>
      <c r="U102" s="19">
        <v>77</v>
      </c>
      <c r="V102" s="19">
        <v>0</v>
      </c>
      <c r="W102" s="19">
        <v>12</v>
      </c>
      <c r="X102" s="19">
        <f t="shared" si="29"/>
        <v>0.65546863786025689</v>
      </c>
      <c r="Y102" s="19">
        <f t="shared" si="30"/>
        <v>0.30191188678770653</v>
      </c>
      <c r="Z102" s="19">
        <f t="shared" si="31"/>
        <v>2.7994512662541133</v>
      </c>
      <c r="AA102" s="19">
        <f t="shared" si="32"/>
        <v>-2.1413482328287072E-2</v>
      </c>
      <c r="AB102" s="19">
        <f t="shared" si="33"/>
        <v>2.3387907638301671E-2</v>
      </c>
      <c r="AC102" s="19">
        <f t="shared" si="34"/>
        <v>-0.29779450603522883</v>
      </c>
      <c r="AD102" s="19">
        <f t="shared" si="35"/>
        <v>-0.12197519808364504</v>
      </c>
      <c r="AE102" s="19">
        <f t="shared" si="36"/>
        <v>1.0962312665426239</v>
      </c>
      <c r="AF102" s="19">
        <f t="shared" si="37"/>
        <v>0.79168471558971365</v>
      </c>
      <c r="AG102" s="19">
        <f t="shared" si="38"/>
        <v>0.420574297295357</v>
      </c>
      <c r="AH102" s="19">
        <f t="shared" si="39"/>
        <v>0.18219043545251479</v>
      </c>
      <c r="AI102" s="19">
        <f t="shared" si="40"/>
        <v>-0.83183839872346799</v>
      </c>
      <c r="AJ102" s="19">
        <f t="shared" si="41"/>
        <v>-0.8329739201458598</v>
      </c>
      <c r="AK102" s="19">
        <f t="shared" si="42"/>
        <v>-0.16642520588066093</v>
      </c>
      <c r="AL102" s="19">
        <f t="shared" si="43"/>
        <v>-0.32191892693243285</v>
      </c>
      <c r="BF102" s="47">
        <v>-0.30806410699999998</v>
      </c>
      <c r="BG102" s="47">
        <v>3.2779900000000002E-3</v>
      </c>
      <c r="BH102" s="45">
        <v>0.1095057579</v>
      </c>
      <c r="BI102" s="45">
        <v>2.1131958999999999E-2</v>
      </c>
      <c r="BJ102" s="45">
        <v>-0.13088693400000001</v>
      </c>
      <c r="BK102" s="45">
        <v>8.8934536999999994E-2</v>
      </c>
      <c r="BL102" s="18">
        <v>8.7516781999999998E-3</v>
      </c>
      <c r="BM102" s="18">
        <v>0.87468293060000002</v>
      </c>
      <c r="BN102" s="18">
        <v>0.264617039</v>
      </c>
      <c r="BO102" s="18">
        <v>0.177962492</v>
      </c>
      <c r="BP102" s="18">
        <v>1.6660411E-2</v>
      </c>
      <c r="BQ102" s="18">
        <v>-8.3607790000000005E-3</v>
      </c>
      <c r="BR102" s="18">
        <v>-2.0487914400000001E-2</v>
      </c>
      <c r="BS102" s="38">
        <v>2.7296420000000001E-4</v>
      </c>
      <c r="BT102" s="38">
        <v>2.8310689999999999E-15</v>
      </c>
      <c r="BU102" s="38"/>
      <c r="BV102" s="16">
        <v>0</v>
      </c>
      <c r="BW102" s="18">
        <v>74</v>
      </c>
      <c r="BX102" s="48">
        <v>-0.81105818962362319</v>
      </c>
      <c r="BY102" s="48">
        <v>0.81492012417736259</v>
      </c>
      <c r="BZ102" s="18" t="e">
        <f t="shared" si="44"/>
        <v>#N/A</v>
      </c>
    </row>
    <row r="103" spans="1:78" x14ac:dyDescent="0.3">
      <c r="A103" s="19">
        <v>78</v>
      </c>
      <c r="B103" s="19">
        <v>0</v>
      </c>
      <c r="C103" s="19">
        <v>12</v>
      </c>
      <c r="D103" s="19">
        <v>102.20405602671801</v>
      </c>
      <c r="E103" s="22">
        <v>34037</v>
      </c>
      <c r="F103" s="22">
        <v>18795</v>
      </c>
      <c r="G103" s="23">
        <v>5410</v>
      </c>
      <c r="H103" s="23">
        <v>9832</v>
      </c>
      <c r="I103" s="24">
        <v>11.3</v>
      </c>
      <c r="J103" s="24">
        <v>121.5</v>
      </c>
      <c r="K103" s="22">
        <v>21617</v>
      </c>
      <c r="L103" s="22">
        <v>68057</v>
      </c>
      <c r="M103" s="22">
        <v>19466</v>
      </c>
      <c r="N103" s="22">
        <v>7818</v>
      </c>
      <c r="O103" s="25">
        <v>3060.43</v>
      </c>
      <c r="P103" s="24">
        <v>73.7</v>
      </c>
      <c r="Q103" s="22">
        <v>4710</v>
      </c>
      <c r="R103" s="23">
        <v>107</v>
      </c>
      <c r="U103" s="19">
        <v>78</v>
      </c>
      <c r="V103" s="19">
        <v>0</v>
      </c>
      <c r="W103" s="19">
        <v>12</v>
      </c>
      <c r="X103" s="19">
        <f t="shared" si="29"/>
        <v>1.3740057691653293</v>
      </c>
      <c r="Y103" s="19">
        <f t="shared" si="30"/>
        <v>8.1531011464485353E-2</v>
      </c>
      <c r="Z103" s="19">
        <f t="shared" si="31"/>
        <v>2.3054584166468119</v>
      </c>
      <c r="AA103" s="19">
        <f t="shared" si="32"/>
        <v>-0.27529972723961316</v>
      </c>
      <c r="AB103" s="19">
        <f t="shared" si="33"/>
        <v>-0.12374792255183209</v>
      </c>
      <c r="AC103" s="19">
        <f t="shared" si="34"/>
        <v>-0.18389222894072707</v>
      </c>
      <c r="AD103" s="19">
        <f t="shared" si="35"/>
        <v>-0.24273978098055435</v>
      </c>
      <c r="AE103" s="19">
        <f t="shared" si="36"/>
        <v>0.17710740905253575</v>
      </c>
      <c r="AF103" s="19">
        <f t="shared" si="37"/>
        <v>6.852881738762362E-2</v>
      </c>
      <c r="AG103" s="19">
        <f t="shared" si="38"/>
        <v>-1.316078733176698E-2</v>
      </c>
      <c r="AH103" s="19">
        <f t="shared" si="39"/>
        <v>-0.13227404368740822</v>
      </c>
      <c r="AI103" s="19">
        <f t="shared" si="40"/>
        <v>-0.95655714232892097</v>
      </c>
      <c r="AJ103" s="19">
        <f t="shared" si="41"/>
        <v>-0.95917538059005314</v>
      </c>
      <c r="AK103" s="19">
        <f t="shared" si="42"/>
        <v>-0.33744649382376485</v>
      </c>
      <c r="AL103" s="19">
        <f t="shared" si="43"/>
        <v>-0.34545619286917922</v>
      </c>
      <c r="BF103" s="47">
        <v>2.6973570000000001E-3</v>
      </c>
      <c r="BG103" s="47">
        <v>0.10442969000000001</v>
      </c>
      <c r="BH103" s="45">
        <v>-0.60749399800000004</v>
      </c>
      <c r="BI103" s="45">
        <v>0.72236308999999999</v>
      </c>
      <c r="BJ103" s="45">
        <v>-5.2693848000000001E-2</v>
      </c>
      <c r="BK103" s="45">
        <v>-0.29305115399999998</v>
      </c>
      <c r="BL103" s="18">
        <v>7.4500026999999996E-3</v>
      </c>
      <c r="BM103" s="18">
        <v>8.4928876200000003E-2</v>
      </c>
      <c r="BN103" s="18">
        <v>5.3628590000000002E-3</v>
      </c>
      <c r="BO103" s="18">
        <v>-3.0476672E-2</v>
      </c>
      <c r="BP103" s="18">
        <v>3.6153802999999998E-2</v>
      </c>
      <c r="BQ103" s="18">
        <v>6.3496860000000002E-3</v>
      </c>
      <c r="BR103" s="18">
        <v>-8.5580179999999995E-4</v>
      </c>
      <c r="BS103" s="38">
        <v>-1.6846789999999999E-5</v>
      </c>
      <c r="BT103" s="38">
        <v>6.1062269999999996E-16</v>
      </c>
      <c r="BU103" s="38"/>
      <c r="BV103" s="16">
        <v>0</v>
      </c>
      <c r="BW103" s="18">
        <v>75</v>
      </c>
      <c r="BX103" s="48">
        <v>2.2435842313220399E-4</v>
      </c>
      <c r="BY103" s="48">
        <v>-0.12956816616749872</v>
      </c>
      <c r="BZ103" s="18" t="e">
        <f t="shared" si="44"/>
        <v>#N/A</v>
      </c>
    </row>
    <row r="104" spans="1:78" x14ac:dyDescent="0.3">
      <c r="A104" s="19">
        <v>79</v>
      </c>
      <c r="B104" s="19">
        <v>0</v>
      </c>
      <c r="C104" s="19">
        <v>12</v>
      </c>
      <c r="D104" s="19">
        <v>11.551546126789701</v>
      </c>
      <c r="E104" s="22">
        <v>69276</v>
      </c>
      <c r="F104" s="22">
        <v>19844</v>
      </c>
      <c r="G104" s="23">
        <v>18413</v>
      </c>
      <c r="H104" s="23">
        <v>31019</v>
      </c>
      <c r="I104" s="24">
        <v>6.5</v>
      </c>
      <c r="J104" s="24">
        <v>1231.8</v>
      </c>
      <c r="K104" s="22">
        <v>53471</v>
      </c>
      <c r="L104" s="22">
        <v>169881</v>
      </c>
      <c r="M104" s="22">
        <v>47138</v>
      </c>
      <c r="N104" s="22">
        <v>28740</v>
      </c>
      <c r="O104" s="25">
        <v>4204.13</v>
      </c>
      <c r="P104" s="24">
        <v>101.3</v>
      </c>
      <c r="Q104" s="22">
        <v>34604</v>
      </c>
      <c r="R104" s="23">
        <v>553</v>
      </c>
      <c r="U104" s="19">
        <v>79</v>
      </c>
      <c r="V104" s="19">
        <v>0</v>
      </c>
      <c r="W104" s="19">
        <v>12</v>
      </c>
      <c r="X104" s="19">
        <f t="shared" si="29"/>
        <v>-1.4311728134939186</v>
      </c>
      <c r="Y104" s="19">
        <f t="shared" si="30"/>
        <v>0.74190530274977373</v>
      </c>
      <c r="Z104" s="19">
        <f t="shared" si="31"/>
        <v>2.4980256776048422</v>
      </c>
      <c r="AA104" s="19">
        <f t="shared" si="32"/>
        <v>1.1077261808382977</v>
      </c>
      <c r="AB104" s="19">
        <f t="shared" si="33"/>
        <v>0.34278407898039837</v>
      </c>
      <c r="AC104" s="19">
        <f t="shared" si="34"/>
        <v>-1.0951104456967389</v>
      </c>
      <c r="AD104" s="19">
        <f t="shared" si="35"/>
        <v>0.60375590330251649</v>
      </c>
      <c r="AE104" s="19">
        <f t="shared" si="36"/>
        <v>1.8102736586475194</v>
      </c>
      <c r="AF104" s="19">
        <f t="shared" si="37"/>
        <v>1.494506318036944</v>
      </c>
      <c r="AG104" s="19">
        <f t="shared" si="38"/>
        <v>1.0029514088925622</v>
      </c>
      <c r="AH104" s="19">
        <f t="shared" si="39"/>
        <v>0.73466835090548521</v>
      </c>
      <c r="AI104" s="19">
        <f t="shared" si="40"/>
        <v>1.3616750543484106</v>
      </c>
      <c r="AJ104" s="19">
        <f t="shared" si="41"/>
        <v>1.362931491583103</v>
      </c>
      <c r="AK104" s="19">
        <f t="shared" si="42"/>
        <v>0.33278297415881897</v>
      </c>
      <c r="AL104" s="19">
        <f t="shared" si="43"/>
        <v>-0.10132548106013545</v>
      </c>
      <c r="BV104" s="16">
        <v>0</v>
      </c>
      <c r="BW104" s="18">
        <v>76</v>
      </c>
      <c r="BX104" s="48">
        <v>-1.1882731752592259</v>
      </c>
      <c r="BY104" s="48">
        <v>0.36232977563080843</v>
      </c>
      <c r="BZ104" s="18" t="e">
        <f t="shared" si="44"/>
        <v>#N/A</v>
      </c>
    </row>
    <row r="105" spans="1:78" x14ac:dyDescent="0.3">
      <c r="A105" s="19">
        <v>80</v>
      </c>
      <c r="B105" s="19">
        <v>0</v>
      </c>
      <c r="C105" s="19">
        <v>12</v>
      </c>
      <c r="D105" s="19">
        <v>45.386743159161199</v>
      </c>
      <c r="E105" s="22">
        <v>39419</v>
      </c>
      <c r="F105" s="22">
        <v>23131</v>
      </c>
      <c r="G105" s="23">
        <v>6036</v>
      </c>
      <c r="H105" s="23">
        <v>10252</v>
      </c>
      <c r="I105" s="24">
        <v>13.5</v>
      </c>
      <c r="J105" s="24">
        <v>128.4</v>
      </c>
      <c r="K105" s="22">
        <v>30830</v>
      </c>
      <c r="L105" s="22">
        <v>79879</v>
      </c>
      <c r="M105" s="22">
        <v>18990</v>
      </c>
      <c r="N105" s="22">
        <v>9621</v>
      </c>
      <c r="O105" s="25">
        <v>3167.23</v>
      </c>
      <c r="P105" s="24">
        <v>76.3</v>
      </c>
      <c r="Q105" s="22">
        <v>2189</v>
      </c>
      <c r="R105" s="23">
        <v>1650</v>
      </c>
      <c r="U105" s="19">
        <v>80</v>
      </c>
      <c r="V105" s="19">
        <v>0</v>
      </c>
      <c r="W105" s="19">
        <v>12</v>
      </c>
      <c r="X105" s="19">
        <f t="shared" si="29"/>
        <v>-0.38416628096613753</v>
      </c>
      <c r="Y105" s="19">
        <f t="shared" si="30"/>
        <v>0.18238899369149014</v>
      </c>
      <c r="Z105" s="19">
        <f t="shared" si="31"/>
        <v>3.1014275715696136</v>
      </c>
      <c r="AA105" s="19">
        <f t="shared" si="32"/>
        <v>-0.20871707566253309</v>
      </c>
      <c r="AB105" s="19">
        <f t="shared" si="33"/>
        <v>-0.11449963630821398</v>
      </c>
      <c r="AC105" s="19">
        <f t="shared" si="34"/>
        <v>0.23374945373911152</v>
      </c>
      <c r="AD105" s="19">
        <f t="shared" si="35"/>
        <v>-0.2374792025589087</v>
      </c>
      <c r="AE105" s="19">
        <f t="shared" si="36"/>
        <v>0.64946129420098131</v>
      </c>
      <c r="AF105" s="19">
        <f t="shared" si="37"/>
        <v>0.23408807662588046</v>
      </c>
      <c r="AG105" s="19">
        <f t="shared" si="38"/>
        <v>-3.0639444653347662E-2</v>
      </c>
      <c r="AH105" s="19">
        <f t="shared" si="39"/>
        <v>-5.7563349802933164E-2</v>
      </c>
      <c r="AI105" s="19">
        <f t="shared" si="40"/>
        <v>-0.74007799691916376</v>
      </c>
      <c r="AJ105" s="19">
        <f t="shared" si="41"/>
        <v>-0.74042618248678527</v>
      </c>
      <c r="AK105" s="19">
        <f t="shared" si="42"/>
        <v>-0.39396781879814413</v>
      </c>
      <c r="AL105" s="19">
        <f t="shared" si="43"/>
        <v>0.49914848946569645</v>
      </c>
      <c r="BV105" s="16">
        <v>0</v>
      </c>
      <c r="BW105" s="18">
        <v>77</v>
      </c>
      <c r="BX105" s="48">
        <v>-0.41201181912060253</v>
      </c>
      <c r="BY105" s="48">
        <v>-2.3857770225357608</v>
      </c>
      <c r="BZ105" s="18" t="e">
        <f t="shared" si="44"/>
        <v>#N/A</v>
      </c>
    </row>
    <row r="106" spans="1:78" x14ac:dyDescent="0.3">
      <c r="A106" s="19">
        <v>81</v>
      </c>
      <c r="B106" s="19">
        <v>0</v>
      </c>
      <c r="C106" s="19">
        <v>12</v>
      </c>
      <c r="D106" s="19">
        <v>37.0952722116768</v>
      </c>
      <c r="E106" s="22">
        <v>16409</v>
      </c>
      <c r="F106" s="22">
        <v>10585</v>
      </c>
      <c r="G106" s="23">
        <v>807</v>
      </c>
      <c r="H106" s="23">
        <v>5017</v>
      </c>
      <c r="I106" s="24">
        <v>8.8000000000000007</v>
      </c>
      <c r="J106" s="24">
        <v>86</v>
      </c>
      <c r="K106" s="22">
        <v>8468</v>
      </c>
      <c r="L106" s="22">
        <v>30128</v>
      </c>
      <c r="M106" s="22">
        <v>10996</v>
      </c>
      <c r="N106" s="22">
        <v>4390</v>
      </c>
      <c r="O106" s="25">
        <v>3189.73</v>
      </c>
      <c r="P106" s="24">
        <v>76.8</v>
      </c>
      <c r="Q106" s="22">
        <v>100</v>
      </c>
      <c r="R106" s="23">
        <v>0</v>
      </c>
      <c r="U106" s="19">
        <v>81</v>
      </c>
      <c r="V106" s="19">
        <v>0</v>
      </c>
      <c r="W106" s="19">
        <v>12</v>
      </c>
      <c r="X106" s="19">
        <f t="shared" si="29"/>
        <v>-0.64074005643358345</v>
      </c>
      <c r="Y106" s="19">
        <f t="shared" si="30"/>
        <v>-0.24881542307613905</v>
      </c>
      <c r="Z106" s="19">
        <f t="shared" si="31"/>
        <v>0.79833047340045638</v>
      </c>
      <c r="AA106" s="19">
        <f t="shared" si="32"/>
        <v>-0.76488430425127374</v>
      </c>
      <c r="AB106" s="19">
        <f t="shared" si="33"/>
        <v>-0.22977291841616823</v>
      </c>
      <c r="AC106" s="19">
        <f t="shared" si="34"/>
        <v>-0.65848505016781655</v>
      </c>
      <c r="AD106" s="19">
        <f t="shared" si="35"/>
        <v>-0.26980507575858642</v>
      </c>
      <c r="AE106" s="19">
        <f t="shared" si="36"/>
        <v>-0.49704663803493954</v>
      </c>
      <c r="AF106" s="19">
        <f t="shared" si="37"/>
        <v>-0.46264163969644378</v>
      </c>
      <c r="AG106" s="19">
        <f t="shared" si="38"/>
        <v>-0.32417807202459969</v>
      </c>
      <c r="AH106" s="19">
        <f t="shared" si="39"/>
        <v>-0.274319666890947</v>
      </c>
      <c r="AI106" s="19">
        <f t="shared" si="40"/>
        <v>-0.69447143538620937</v>
      </c>
      <c r="AJ106" s="19">
        <f t="shared" si="41"/>
        <v>-0.69835902900538749</v>
      </c>
      <c r="AK106" s="19">
        <f t="shared" si="42"/>
        <v>-0.44080361723982531</v>
      </c>
      <c r="AL106" s="19">
        <f t="shared" si="43"/>
        <v>-0.40402566857224581</v>
      </c>
      <c r="BV106" s="16">
        <v>0</v>
      </c>
      <c r="BW106" s="18">
        <v>78</v>
      </c>
      <c r="BX106" s="48">
        <v>0.73953233514009675</v>
      </c>
      <c r="BY106" s="48">
        <v>-2.1534712602732444</v>
      </c>
      <c r="BZ106" s="18" t="e">
        <f t="shared" si="44"/>
        <v>#N/A</v>
      </c>
    </row>
    <row r="107" spans="1:78" x14ac:dyDescent="0.3">
      <c r="A107" s="19">
        <v>82</v>
      </c>
      <c r="B107" s="19">
        <v>0</v>
      </c>
      <c r="C107" s="19">
        <v>12</v>
      </c>
      <c r="D107" s="19">
        <v>27.6568970571726</v>
      </c>
      <c r="E107" s="22">
        <v>32248</v>
      </c>
      <c r="F107" s="22">
        <v>13918</v>
      </c>
      <c r="G107" s="23">
        <v>7792</v>
      </c>
      <c r="H107" s="23">
        <v>10538</v>
      </c>
      <c r="I107" s="24">
        <v>7.5</v>
      </c>
      <c r="J107" s="24">
        <v>239.1</v>
      </c>
      <c r="K107" s="22">
        <v>27081</v>
      </c>
      <c r="L107" s="22">
        <v>79039</v>
      </c>
      <c r="M107" s="22">
        <v>18900</v>
      </c>
      <c r="N107" s="22">
        <v>12108</v>
      </c>
      <c r="O107" s="25">
        <v>3094.21</v>
      </c>
      <c r="P107" s="24">
        <v>74.5</v>
      </c>
      <c r="Q107" s="22">
        <v>3247</v>
      </c>
      <c r="R107" s="23">
        <v>0</v>
      </c>
      <c r="U107" s="19">
        <v>82</v>
      </c>
      <c r="V107" s="19">
        <v>0</v>
      </c>
      <c r="W107" s="19">
        <v>12</v>
      </c>
      <c r="X107" s="19">
        <f t="shared" si="29"/>
        <v>-0.93280398127963216</v>
      </c>
      <c r="Y107" s="19">
        <f t="shared" si="30"/>
        <v>4.8005383407236819E-2</v>
      </c>
      <c r="Z107" s="19">
        <f t="shared" si="31"/>
        <v>1.4101766895807371</v>
      </c>
      <c r="AA107" s="19">
        <f t="shared" si="32"/>
        <v>-2.1945292644397936E-2</v>
      </c>
      <c r="AB107" s="19">
        <f t="shared" si="33"/>
        <v>-0.1082019937708931</v>
      </c>
      <c r="AC107" s="19">
        <f t="shared" si="34"/>
        <v>-0.90527331720590321</v>
      </c>
      <c r="AD107" s="19">
        <f t="shared" si="35"/>
        <v>-0.15308122701163682</v>
      </c>
      <c r="AE107" s="19">
        <f t="shared" si="36"/>
        <v>0.45724869076870922</v>
      </c>
      <c r="AF107" s="19">
        <f t="shared" si="37"/>
        <v>0.22232443445364772</v>
      </c>
      <c r="AG107" s="19">
        <f t="shared" si="38"/>
        <v>-3.394423280238603E-2</v>
      </c>
      <c r="AH107" s="19">
        <f t="shared" si="39"/>
        <v>4.5490169714920113E-2</v>
      </c>
      <c r="AI107" s="19">
        <f t="shared" si="40"/>
        <v>-0.88808649128077832</v>
      </c>
      <c r="AJ107" s="19">
        <f t="shared" si="41"/>
        <v>-0.89186793501981698</v>
      </c>
      <c r="AK107" s="19">
        <f t="shared" si="42"/>
        <v>-0.37024724687315674</v>
      </c>
      <c r="AL107" s="19">
        <f t="shared" si="43"/>
        <v>-0.40402566857224581</v>
      </c>
      <c r="BV107" s="16">
        <v>0</v>
      </c>
      <c r="BW107" s="18">
        <v>79</v>
      </c>
      <c r="BX107" s="48">
        <v>-3.2556647624348218</v>
      </c>
      <c r="BY107" s="48">
        <v>0.38102560011447512</v>
      </c>
      <c r="BZ107" s="18" t="e">
        <f t="shared" si="44"/>
        <v>#N/A</v>
      </c>
    </row>
    <row r="108" spans="1:78" x14ac:dyDescent="0.3">
      <c r="A108" s="19">
        <v>83</v>
      </c>
      <c r="B108" s="19">
        <v>0</v>
      </c>
      <c r="C108" s="19">
        <v>12</v>
      </c>
      <c r="D108" s="19">
        <v>77.018251855507799</v>
      </c>
      <c r="E108" s="22">
        <v>51072</v>
      </c>
      <c r="F108" s="22">
        <v>27300</v>
      </c>
      <c r="G108" s="23">
        <v>8621</v>
      </c>
      <c r="H108" s="23">
        <v>15151</v>
      </c>
      <c r="I108" s="24">
        <v>13.6</v>
      </c>
      <c r="J108" s="24">
        <v>333.3</v>
      </c>
      <c r="K108" s="22">
        <v>49549</v>
      </c>
      <c r="L108" s="22">
        <v>132622</v>
      </c>
      <c r="M108" s="22">
        <v>30723</v>
      </c>
      <c r="N108" s="22">
        <v>15426</v>
      </c>
      <c r="O108" s="25">
        <v>3142.18</v>
      </c>
      <c r="P108" s="24">
        <v>75.7</v>
      </c>
      <c r="Q108" s="22">
        <v>7113</v>
      </c>
      <c r="R108" s="23">
        <v>30</v>
      </c>
      <c r="U108" s="19">
        <v>83</v>
      </c>
      <c r="V108" s="19">
        <v>0</v>
      </c>
      <c r="W108" s="19">
        <v>12</v>
      </c>
      <c r="X108" s="19">
        <f t="shared" si="29"/>
        <v>0.59464865565440284</v>
      </c>
      <c r="Y108" s="19">
        <f t="shared" si="30"/>
        <v>0.40076470288719562</v>
      </c>
      <c r="Z108" s="19">
        <f t="shared" si="31"/>
        <v>3.8667401654056746</v>
      </c>
      <c r="AA108" s="19">
        <f t="shared" si="32"/>
        <v>6.6228857766783181E-2</v>
      </c>
      <c r="AB108" s="19">
        <f t="shared" si="33"/>
        <v>-6.6249831951542288E-3</v>
      </c>
      <c r="AC108" s="19">
        <f t="shared" si="34"/>
        <v>0.25273316658819506</v>
      </c>
      <c r="AD108" s="19">
        <f t="shared" si="35"/>
        <v>-8.1262895516126338E-2</v>
      </c>
      <c r="AE108" s="19">
        <f t="shared" si="36"/>
        <v>1.6091912818373377</v>
      </c>
      <c r="AF108" s="19">
        <f t="shared" si="37"/>
        <v>0.97271876601882412</v>
      </c>
      <c r="AG108" s="19">
        <f t="shared" si="38"/>
        <v>0.40019477037628709</v>
      </c>
      <c r="AH108" s="19">
        <f t="shared" si="39"/>
        <v>0.18297773616455307</v>
      </c>
      <c r="AI108" s="19">
        <f t="shared" si="40"/>
        <v>-0.79085330209252003</v>
      </c>
      <c r="AJ108" s="19">
        <f t="shared" si="41"/>
        <v>-0.79090676666446202</v>
      </c>
      <c r="AK108" s="19">
        <f t="shared" si="42"/>
        <v>-0.28357075248563185</v>
      </c>
      <c r="AL108" s="19">
        <f t="shared" si="43"/>
        <v>-0.38760432024428321</v>
      </c>
      <c r="BV108" s="16">
        <v>0</v>
      </c>
      <c r="BW108" s="18">
        <v>80</v>
      </c>
      <c r="BX108" s="48">
        <v>0.35433863731422433</v>
      </c>
      <c r="BY108" s="48">
        <v>-2.0173025540429874</v>
      </c>
      <c r="BZ108" s="18" t="e">
        <f t="shared" si="44"/>
        <v>#N/A</v>
      </c>
    </row>
    <row r="109" spans="1:78" x14ac:dyDescent="0.3">
      <c r="A109" s="19">
        <v>84</v>
      </c>
      <c r="B109" s="19">
        <v>0</v>
      </c>
      <c r="C109" s="19">
        <v>12</v>
      </c>
      <c r="D109" s="19">
        <v>61.228116900479797</v>
      </c>
      <c r="E109" s="22">
        <v>33085</v>
      </c>
      <c r="F109" s="22">
        <v>1074</v>
      </c>
      <c r="G109" s="23">
        <v>11040</v>
      </c>
      <c r="H109" s="23">
        <v>20971</v>
      </c>
      <c r="I109" s="24">
        <v>7.6</v>
      </c>
      <c r="J109" s="24">
        <v>450.3</v>
      </c>
      <c r="K109" s="22">
        <v>15710</v>
      </c>
      <c r="L109" s="22">
        <v>52066</v>
      </c>
      <c r="M109" s="22">
        <v>16127</v>
      </c>
      <c r="N109" s="22">
        <v>9682</v>
      </c>
      <c r="O109" s="25">
        <v>3302.29</v>
      </c>
      <c r="P109" s="24">
        <v>79.599999999999994</v>
      </c>
      <c r="Q109" s="22">
        <v>14508</v>
      </c>
      <c r="R109" s="23">
        <v>0</v>
      </c>
      <c r="U109" s="19">
        <v>84</v>
      </c>
      <c r="V109" s="19">
        <v>0</v>
      </c>
      <c r="W109" s="19">
        <v>12</v>
      </c>
      <c r="X109" s="19">
        <f t="shared" si="29"/>
        <v>0.10603396156551106</v>
      </c>
      <c r="Y109" s="19">
        <f t="shared" si="30"/>
        <v>6.3690654890700776E-2</v>
      </c>
      <c r="Z109" s="19">
        <f t="shared" si="31"/>
        <v>-0.94762493076715504</v>
      </c>
      <c r="AA109" s="19">
        <f t="shared" si="32"/>
        <v>0.3235186887012188</v>
      </c>
      <c r="AB109" s="19">
        <f t="shared" si="33"/>
        <v>0.12152984046641095</v>
      </c>
      <c r="AC109" s="19">
        <f t="shared" si="34"/>
        <v>-0.88628960435681969</v>
      </c>
      <c r="AD109" s="19">
        <f t="shared" si="35"/>
        <v>7.9382168509089628E-3</v>
      </c>
      <c r="AE109" s="19">
        <f t="shared" si="36"/>
        <v>-0.12574664495504784</v>
      </c>
      <c r="AF109" s="19">
        <f t="shared" si="37"/>
        <v>-0.155414518298298</v>
      </c>
      <c r="AG109" s="19">
        <f t="shared" si="38"/>
        <v>-0.13576842766109029</v>
      </c>
      <c r="AH109" s="19">
        <f t="shared" si="39"/>
        <v>-5.503570014849446E-2</v>
      </c>
      <c r="AI109" s="19">
        <f t="shared" si="40"/>
        <v>-0.46631701022401623</v>
      </c>
      <c r="AJ109" s="19">
        <f t="shared" si="41"/>
        <v>-0.46278296950956022</v>
      </c>
      <c r="AK109" s="19">
        <f t="shared" si="42"/>
        <v>-0.11777337121409884</v>
      </c>
      <c r="AL109" s="19">
        <f t="shared" si="43"/>
        <v>-0.40402566857224581</v>
      </c>
      <c r="BV109" s="16">
        <v>0</v>
      </c>
      <c r="BW109" s="18">
        <v>81</v>
      </c>
      <c r="BX109" s="48">
        <v>1.2604940930204733</v>
      </c>
      <c r="BY109" s="48">
        <v>-0.54089073394494047</v>
      </c>
      <c r="BZ109" s="18" t="e">
        <f t="shared" si="44"/>
        <v>#N/A</v>
      </c>
    </row>
    <row r="110" spans="1:78" x14ac:dyDescent="0.3">
      <c r="A110" s="19">
        <v>85</v>
      </c>
      <c r="B110" s="19">
        <v>0</v>
      </c>
      <c r="C110" s="19">
        <v>12</v>
      </c>
      <c r="D110" s="19">
        <v>38.168634155247297</v>
      </c>
      <c r="E110" s="22">
        <v>40035</v>
      </c>
      <c r="F110" s="22">
        <v>11454</v>
      </c>
      <c r="G110" s="23">
        <v>13410</v>
      </c>
      <c r="H110" s="23">
        <v>15171</v>
      </c>
      <c r="I110" s="24">
        <v>8.6999999999999993</v>
      </c>
      <c r="J110" s="24">
        <v>333.6</v>
      </c>
      <c r="K110" s="22">
        <v>31834</v>
      </c>
      <c r="L110" s="22">
        <v>99922</v>
      </c>
      <c r="M110" s="22">
        <v>27782</v>
      </c>
      <c r="N110" s="22">
        <v>16206</v>
      </c>
      <c r="O110" s="25">
        <v>3115.83</v>
      </c>
      <c r="P110" s="24">
        <v>75.099999999999994</v>
      </c>
      <c r="Q110" s="22">
        <v>17661</v>
      </c>
      <c r="R110" s="23">
        <v>0</v>
      </c>
      <c r="U110" s="19">
        <v>85</v>
      </c>
      <c r="V110" s="19">
        <v>0</v>
      </c>
      <c r="W110" s="19">
        <v>12</v>
      </c>
      <c r="X110" s="19">
        <f t="shared" si="29"/>
        <v>-0.607525621015642</v>
      </c>
      <c r="Y110" s="19">
        <f t="shared" si="30"/>
        <v>0.19393275382746838</v>
      </c>
      <c r="Z110" s="19">
        <f t="shared" si="31"/>
        <v>0.95785473438475399</v>
      </c>
      <c r="AA110" s="19">
        <f t="shared" si="32"/>
        <v>0.57559677853776792</v>
      </c>
      <c r="AB110" s="19">
        <f t="shared" si="33"/>
        <v>-6.1845886121247948E-3</v>
      </c>
      <c r="AC110" s="19">
        <f t="shared" si="34"/>
        <v>-0.6774687630169004</v>
      </c>
      <c r="AD110" s="19">
        <f t="shared" si="35"/>
        <v>-8.1034174715185217E-2</v>
      </c>
      <c r="AE110" s="19">
        <f t="shared" si="36"/>
        <v>0.70093674201266465</v>
      </c>
      <c r="AF110" s="19">
        <f t="shared" si="37"/>
        <v>0.51477698145690587</v>
      </c>
      <c r="AG110" s="19">
        <f t="shared" si="38"/>
        <v>0.2922016376393779</v>
      </c>
      <c r="AH110" s="19">
        <f t="shared" si="39"/>
        <v>0.21529850223770367</v>
      </c>
      <c r="AI110" s="19">
        <f t="shared" si="40"/>
        <v>-0.84426365304333528</v>
      </c>
      <c r="AJ110" s="19">
        <f t="shared" si="41"/>
        <v>-0.84138735084214011</v>
      </c>
      <c r="AK110" s="19">
        <f t="shared" si="42"/>
        <v>-4.7082479645587205E-2</v>
      </c>
      <c r="AL110" s="19">
        <f t="shared" si="43"/>
        <v>-0.40402566857224581</v>
      </c>
      <c r="BV110" s="16">
        <v>0</v>
      </c>
      <c r="BW110" s="18">
        <v>82</v>
      </c>
      <c r="BX110" s="48">
        <v>0.15178142184161769</v>
      </c>
      <c r="BY110" s="48">
        <v>-1.1859793499755438</v>
      </c>
      <c r="BZ110" s="18" t="e">
        <f t="shared" si="44"/>
        <v>#N/A</v>
      </c>
    </row>
    <row r="111" spans="1:78" x14ac:dyDescent="0.3">
      <c r="A111" s="19">
        <v>86</v>
      </c>
      <c r="B111" s="19">
        <v>0</v>
      </c>
      <c r="C111" s="19">
        <v>12</v>
      </c>
      <c r="D111" s="19">
        <v>52.4889360149255</v>
      </c>
      <c r="E111" s="22">
        <v>26672</v>
      </c>
      <c r="F111" s="22">
        <v>13316</v>
      </c>
      <c r="G111" s="23">
        <v>5190</v>
      </c>
      <c r="H111" s="23">
        <v>8166</v>
      </c>
      <c r="I111" s="24">
        <v>10.3</v>
      </c>
      <c r="J111" s="24">
        <v>321.89999999999998</v>
      </c>
      <c r="K111" s="22">
        <v>18656</v>
      </c>
      <c r="L111" s="22">
        <v>58644</v>
      </c>
      <c r="M111" s="22">
        <v>15683</v>
      </c>
      <c r="N111" s="22">
        <v>6485</v>
      </c>
      <c r="O111" s="25">
        <v>3171.11</v>
      </c>
      <c r="P111" s="24">
        <v>76.400000000000006</v>
      </c>
      <c r="Q111" s="22">
        <v>2008</v>
      </c>
      <c r="R111" s="23">
        <v>10</v>
      </c>
      <c r="U111" s="19">
        <v>86</v>
      </c>
      <c r="V111" s="19">
        <v>0</v>
      </c>
      <c r="W111" s="19">
        <v>12</v>
      </c>
      <c r="X111" s="19">
        <f t="shared" si="29"/>
        <v>-0.16439388513398095</v>
      </c>
      <c r="Y111" s="19">
        <f t="shared" si="30"/>
        <v>-5.6488133667787099E-2</v>
      </c>
      <c r="Z111" s="19">
        <f t="shared" si="31"/>
        <v>1.2996662118908093</v>
      </c>
      <c r="AA111" s="19">
        <f t="shared" si="32"/>
        <v>-0.29869938114849115</v>
      </c>
      <c r="AB111" s="19">
        <f t="shared" si="33"/>
        <v>-0.16043279131818391</v>
      </c>
      <c r="AC111" s="19">
        <f t="shared" si="34"/>
        <v>-0.37372935743156283</v>
      </c>
      <c r="AD111" s="19">
        <f t="shared" si="35"/>
        <v>-8.9954285951888771E-2</v>
      </c>
      <c r="AE111" s="19">
        <f t="shared" si="36"/>
        <v>2.5295854301146725E-2</v>
      </c>
      <c r="AF111" s="19">
        <f t="shared" si="37"/>
        <v>-6.3293996620979995E-2</v>
      </c>
      <c r="AG111" s="19">
        <f t="shared" si="38"/>
        <v>-0.15207204919634623</v>
      </c>
      <c r="AH111" s="19">
        <f t="shared" si="39"/>
        <v>-0.18750940416883097</v>
      </c>
      <c r="AI111" s="19">
        <f t="shared" si="40"/>
        <v>-0.73221339875259184</v>
      </c>
      <c r="AJ111" s="19">
        <f t="shared" si="41"/>
        <v>-0.73201275179050496</v>
      </c>
      <c r="AK111" s="19">
        <f t="shared" si="42"/>
        <v>-0.39802587505374215</v>
      </c>
      <c r="AL111" s="19">
        <f t="shared" si="43"/>
        <v>-0.39855188579625828</v>
      </c>
      <c r="BV111" s="16">
        <v>0</v>
      </c>
      <c r="BW111" s="18">
        <v>83</v>
      </c>
      <c r="BX111" s="48">
        <v>-0.5692044989020717</v>
      </c>
      <c r="BY111" s="48">
        <v>-2.9931222203191075</v>
      </c>
      <c r="BZ111" s="18" t="e">
        <f t="shared" si="44"/>
        <v>#N/A</v>
      </c>
    </row>
    <row r="112" spans="1:78" x14ac:dyDescent="0.3">
      <c r="A112" s="19">
        <v>87</v>
      </c>
      <c r="B112" s="19">
        <v>0</v>
      </c>
      <c r="C112" s="19">
        <v>12</v>
      </c>
      <c r="D112" s="19">
        <v>31.7709867369203</v>
      </c>
      <c r="E112" s="22">
        <v>14246</v>
      </c>
      <c r="F112" s="22">
        <v>9990</v>
      </c>
      <c r="G112" s="23">
        <v>622</v>
      </c>
      <c r="H112" s="23">
        <v>3634</v>
      </c>
      <c r="I112" s="24">
        <v>9.4</v>
      </c>
      <c r="J112" s="24">
        <v>33.1</v>
      </c>
      <c r="K112" s="22">
        <v>7814</v>
      </c>
      <c r="L112" s="22">
        <v>27296</v>
      </c>
      <c r="M112" s="22">
        <v>8606</v>
      </c>
      <c r="N112" s="22">
        <v>3402</v>
      </c>
      <c r="O112" s="25">
        <v>3313.87</v>
      </c>
      <c r="P112" s="24">
        <v>79.8</v>
      </c>
      <c r="Q112" s="22">
        <v>3172</v>
      </c>
      <c r="R112" s="23">
        <v>0</v>
      </c>
      <c r="U112" s="19">
        <v>87</v>
      </c>
      <c r="V112" s="19">
        <v>0</v>
      </c>
      <c r="W112" s="19">
        <v>12</v>
      </c>
      <c r="X112" s="19">
        <f t="shared" si="29"/>
        <v>-0.80549635053110047</v>
      </c>
      <c r="Y112" s="19">
        <f t="shared" si="30"/>
        <v>-0.28934976264451723</v>
      </c>
      <c r="Z112" s="19">
        <f t="shared" si="31"/>
        <v>0.68910500126506269</v>
      </c>
      <c r="AA112" s="19">
        <f t="shared" si="32"/>
        <v>-0.78456128594737573</v>
      </c>
      <c r="AB112" s="19">
        <f t="shared" si="33"/>
        <v>-0.26022620383265355</v>
      </c>
      <c r="AC112" s="19">
        <f t="shared" si="34"/>
        <v>-0.54458277307331515</v>
      </c>
      <c r="AD112" s="19">
        <f t="shared" si="35"/>
        <v>-0.31013617699120322</v>
      </c>
      <c r="AE112" s="19">
        <f t="shared" si="36"/>
        <v>-0.53057745762541852</v>
      </c>
      <c r="AF112" s="19">
        <f t="shared" si="37"/>
        <v>-0.50230191901997134</v>
      </c>
      <c r="AG112" s="19">
        <f t="shared" si="38"/>
        <v>-0.41193855731572959</v>
      </c>
      <c r="AH112" s="19">
        <f t="shared" si="39"/>
        <v>-0.31525930391693779</v>
      </c>
      <c r="AI112" s="19">
        <f t="shared" si="40"/>
        <v>-0.44284483322172252</v>
      </c>
      <c r="AJ112" s="19">
        <f t="shared" si="41"/>
        <v>-0.44595610811700087</v>
      </c>
      <c r="AK112" s="19">
        <f t="shared" si="42"/>
        <v>-0.37192876189619456</v>
      </c>
      <c r="AL112" s="19">
        <f t="shared" si="43"/>
        <v>-0.40402566857224581</v>
      </c>
      <c r="BV112" s="16">
        <v>0</v>
      </c>
      <c r="BW112" s="18">
        <v>84</v>
      </c>
      <c r="BX112" s="48">
        <v>5.764295581840647E-2</v>
      </c>
      <c r="BY112" s="48">
        <v>7.8092780125991718E-2</v>
      </c>
      <c r="BZ112" s="18" t="e">
        <f t="shared" si="44"/>
        <v>#N/A</v>
      </c>
    </row>
    <row r="113" spans="1:78" x14ac:dyDescent="0.3">
      <c r="A113" s="19">
        <v>88</v>
      </c>
      <c r="B113" s="19">
        <v>0</v>
      </c>
      <c r="C113" s="19">
        <v>12</v>
      </c>
      <c r="D113" s="19">
        <v>46.923969823852502</v>
      </c>
      <c r="E113" s="22">
        <v>17520</v>
      </c>
      <c r="F113" s="22">
        <v>11474</v>
      </c>
      <c r="G113" s="23">
        <v>1785</v>
      </c>
      <c r="H113" s="23">
        <v>4261</v>
      </c>
      <c r="I113" s="24">
        <v>16.100000000000001</v>
      </c>
      <c r="J113" s="24">
        <v>32.9</v>
      </c>
      <c r="K113" s="22">
        <v>10831</v>
      </c>
      <c r="L113" s="22">
        <v>38287</v>
      </c>
      <c r="M113" s="22">
        <v>10256</v>
      </c>
      <c r="N113" s="22">
        <v>3164</v>
      </c>
      <c r="O113" s="25">
        <v>3245.29</v>
      </c>
      <c r="P113" s="24">
        <v>78.2</v>
      </c>
      <c r="Q113" s="22">
        <v>55</v>
      </c>
      <c r="R113" s="23">
        <v>212</v>
      </c>
      <c r="U113" s="19">
        <v>88</v>
      </c>
      <c r="V113" s="19">
        <v>0</v>
      </c>
      <c r="W113" s="19">
        <v>12</v>
      </c>
      <c r="X113" s="19">
        <f t="shared" si="29"/>
        <v>-0.3365978758415028</v>
      </c>
      <c r="Y113" s="19">
        <f t="shared" si="30"/>
        <v>-0.22799542711660684</v>
      </c>
      <c r="Z113" s="19">
        <f t="shared" si="31"/>
        <v>0.96152617882627978</v>
      </c>
      <c r="AA113" s="19">
        <f t="shared" si="32"/>
        <v>-0.66086220641998894</v>
      </c>
      <c r="AB113" s="19">
        <f t="shared" si="33"/>
        <v>-0.24641983365468081</v>
      </c>
      <c r="AC113" s="19">
        <f t="shared" si="34"/>
        <v>0.72732598781528479</v>
      </c>
      <c r="AD113" s="19">
        <f t="shared" si="35"/>
        <v>-0.31028865752516399</v>
      </c>
      <c r="AE113" s="19">
        <f t="shared" si="36"/>
        <v>-0.37589476235863684</v>
      </c>
      <c r="AF113" s="19">
        <f t="shared" si="37"/>
        <v>-0.34838026293067337</v>
      </c>
      <c r="AG113" s="19">
        <f t="shared" si="38"/>
        <v>-0.35135077458335962</v>
      </c>
      <c r="AH113" s="19">
        <f t="shared" si="39"/>
        <v>-0.3251212812572068</v>
      </c>
      <c r="AI113" s="19">
        <f t="shared" si="40"/>
        <v>-0.58185363277416735</v>
      </c>
      <c r="AJ113" s="19">
        <f t="shared" si="41"/>
        <v>-0.58057099925747324</v>
      </c>
      <c r="AK113" s="19">
        <f t="shared" si="42"/>
        <v>-0.44181252625364803</v>
      </c>
      <c r="AL113" s="19">
        <f t="shared" si="43"/>
        <v>-0.28798147372131017</v>
      </c>
      <c r="BV113" s="16">
        <v>0</v>
      </c>
      <c r="BW113" s="18">
        <v>85</v>
      </c>
      <c r="BX113" s="48">
        <v>-0.54823132575576006</v>
      </c>
      <c r="BY113" s="48">
        <v>-1.2409137256383129</v>
      </c>
      <c r="BZ113" s="18" t="e">
        <f t="shared" si="44"/>
        <v>#N/A</v>
      </c>
    </row>
    <row r="114" spans="1:78" x14ac:dyDescent="0.3">
      <c r="A114" s="19">
        <v>89</v>
      </c>
      <c r="B114" s="19">
        <v>0</v>
      </c>
      <c r="C114" s="19">
        <v>12</v>
      </c>
      <c r="D114" s="19">
        <v>73.270739441578002</v>
      </c>
      <c r="E114" s="22">
        <v>23126</v>
      </c>
      <c r="F114" s="22">
        <v>10214</v>
      </c>
      <c r="G114" s="23">
        <v>6093</v>
      </c>
      <c r="H114" s="23">
        <v>6819</v>
      </c>
      <c r="I114" s="24">
        <v>8</v>
      </c>
      <c r="J114" s="24">
        <v>164.5</v>
      </c>
      <c r="K114" s="22">
        <v>17147</v>
      </c>
      <c r="L114" s="22">
        <v>52354</v>
      </c>
      <c r="M114" s="22">
        <v>14674</v>
      </c>
      <c r="N114" s="22">
        <v>7812</v>
      </c>
      <c r="O114" s="25">
        <v>3323.95</v>
      </c>
      <c r="P114" s="24">
        <v>80.099999999999994</v>
      </c>
      <c r="Q114" s="22">
        <v>2465</v>
      </c>
      <c r="R114" s="23">
        <v>127</v>
      </c>
      <c r="U114" s="19">
        <v>89</v>
      </c>
      <c r="V114" s="19">
        <v>0</v>
      </c>
      <c r="W114" s="19">
        <v>12</v>
      </c>
      <c r="X114" s="19">
        <f t="shared" si="29"/>
        <v>0.47868450228004772</v>
      </c>
      <c r="Y114" s="19">
        <f t="shared" si="30"/>
        <v>-0.12293971393106451</v>
      </c>
      <c r="Z114" s="19">
        <f t="shared" si="31"/>
        <v>0.73022517901015216</v>
      </c>
      <c r="AA114" s="19">
        <f t="shared" si="32"/>
        <v>-0.20265443805886924</v>
      </c>
      <c r="AB114" s="19">
        <f t="shared" si="33"/>
        <v>-0.19009336648521627</v>
      </c>
      <c r="AC114" s="19">
        <f t="shared" si="34"/>
        <v>-0.81035475296048531</v>
      </c>
      <c r="AD114" s="19">
        <f t="shared" si="35"/>
        <v>-0.20995646617899438</v>
      </c>
      <c r="AE114" s="19">
        <f t="shared" si="36"/>
        <v>-5.2071128515417286E-2</v>
      </c>
      <c r="AF114" s="19">
        <f t="shared" si="37"/>
        <v>-0.15138126955353248</v>
      </c>
      <c r="AG114" s="19">
        <f t="shared" si="38"/>
        <v>-0.18912239633389855</v>
      </c>
      <c r="AH114" s="19">
        <f t="shared" si="39"/>
        <v>-0.13252266496489398</v>
      </c>
      <c r="AI114" s="19">
        <f t="shared" si="40"/>
        <v>-0.42241309365495905</v>
      </c>
      <c r="AJ114" s="19">
        <f t="shared" si="41"/>
        <v>-0.42071581602816244</v>
      </c>
      <c r="AK114" s="19">
        <f t="shared" si="42"/>
        <v>-0.38777984351336481</v>
      </c>
      <c r="AL114" s="19">
        <f t="shared" si="43"/>
        <v>-0.33450862731720415</v>
      </c>
      <c r="BV114" s="16">
        <v>0</v>
      </c>
      <c r="BW114" s="18">
        <v>86</v>
      </c>
      <c r="BX114" s="48">
        <v>0.68159406433263348</v>
      </c>
      <c r="BY114" s="48">
        <v>-1.1249293705033792</v>
      </c>
      <c r="BZ114" s="18" t="e">
        <f t="shared" si="44"/>
        <v>#N/A</v>
      </c>
    </row>
    <row r="115" spans="1:78" x14ac:dyDescent="0.3">
      <c r="A115" s="19">
        <v>90</v>
      </c>
      <c r="B115" s="19">
        <v>0</v>
      </c>
      <c r="C115" s="19">
        <v>12</v>
      </c>
      <c r="D115" s="19">
        <v>80.2535376584391</v>
      </c>
      <c r="E115" s="22">
        <v>27421</v>
      </c>
      <c r="F115" s="22">
        <v>2408</v>
      </c>
      <c r="G115" s="23">
        <v>12023</v>
      </c>
      <c r="H115" s="23">
        <v>12990</v>
      </c>
      <c r="I115" s="24">
        <v>11.9</v>
      </c>
      <c r="J115" s="24">
        <v>455.5</v>
      </c>
      <c r="K115" s="22">
        <v>20588</v>
      </c>
      <c r="L115" s="22">
        <v>79410</v>
      </c>
      <c r="M115" s="22">
        <v>26465</v>
      </c>
      <c r="N115" s="22">
        <v>11693</v>
      </c>
      <c r="O115" s="25">
        <v>3554.03</v>
      </c>
      <c r="P115" s="24">
        <v>85.6</v>
      </c>
      <c r="Q115" s="22">
        <v>17702</v>
      </c>
      <c r="R115" s="23">
        <v>852</v>
      </c>
      <c r="U115" s="19">
        <v>90</v>
      </c>
      <c r="V115" s="19">
        <v>0</v>
      </c>
      <c r="W115" s="19">
        <v>12</v>
      </c>
      <c r="X115" s="19">
        <f t="shared" si="29"/>
        <v>0.69476231442880365</v>
      </c>
      <c r="Y115" s="19">
        <f t="shared" si="30"/>
        <v>-4.2451970775177178E-2</v>
      </c>
      <c r="Z115" s="19">
        <f t="shared" si="31"/>
        <v>-0.70273958651738178</v>
      </c>
      <c r="AA115" s="19">
        <f t="shared" si="32"/>
        <v>0.42807259684861448</v>
      </c>
      <c r="AB115" s="19">
        <f t="shared" si="33"/>
        <v>-5.4209617891484527E-2</v>
      </c>
      <c r="AC115" s="19">
        <f t="shared" si="34"/>
        <v>-6.9989951846225668E-2</v>
      </c>
      <c r="AD115" s="19">
        <f t="shared" si="35"/>
        <v>1.1902710733888299E-2</v>
      </c>
      <c r="AE115" s="19">
        <f t="shared" si="36"/>
        <v>0.12435020208219488</v>
      </c>
      <c r="AF115" s="19">
        <f t="shared" si="37"/>
        <v>0.22752004307971718</v>
      </c>
      <c r="AG115" s="19">
        <f t="shared" si="38"/>
        <v>0.24384157105844984</v>
      </c>
      <c r="AH115" s="19">
        <f t="shared" si="39"/>
        <v>2.8293864688820749E-2</v>
      </c>
      <c r="AI115" s="19">
        <f t="shared" si="40"/>
        <v>4.3949469789581648E-2</v>
      </c>
      <c r="AJ115" s="19">
        <f t="shared" si="41"/>
        <v>4.2022872267212963E-2</v>
      </c>
      <c r="AK115" s="19">
        <f t="shared" si="42"/>
        <v>-4.6163251432993171E-2</v>
      </c>
      <c r="AL115" s="19">
        <f t="shared" si="43"/>
        <v>6.234062394189166E-2</v>
      </c>
      <c r="BV115" s="16">
        <v>0</v>
      </c>
      <c r="BW115" s="18">
        <v>87</v>
      </c>
      <c r="BX115" s="48">
        <v>1.2546171919910609</v>
      </c>
      <c r="BY115" s="48">
        <v>-0.18507846946155843</v>
      </c>
      <c r="BZ115" s="18" t="e">
        <f t="shared" si="44"/>
        <v>#N/A</v>
      </c>
    </row>
    <row r="116" spans="1:78" x14ac:dyDescent="0.3">
      <c r="A116" s="19">
        <v>91</v>
      </c>
      <c r="B116" s="19">
        <v>0</v>
      </c>
      <c r="C116" s="19">
        <v>12</v>
      </c>
      <c r="D116" s="19">
        <v>40.523958834486301</v>
      </c>
      <c r="E116" s="22">
        <v>52455</v>
      </c>
      <c r="F116" s="22">
        <v>31718</v>
      </c>
      <c r="G116" s="23">
        <v>7591</v>
      </c>
      <c r="H116" s="23">
        <v>13146</v>
      </c>
      <c r="I116" s="24">
        <v>11.6</v>
      </c>
      <c r="J116" s="24">
        <v>667</v>
      </c>
      <c r="K116" s="22">
        <v>40353</v>
      </c>
      <c r="L116" s="22">
        <v>127293</v>
      </c>
      <c r="M116" s="22">
        <v>32954</v>
      </c>
      <c r="N116" s="22">
        <v>12013</v>
      </c>
      <c r="O116" s="25">
        <v>3049.76</v>
      </c>
      <c r="P116" s="24">
        <v>73.5</v>
      </c>
      <c r="Q116" s="22">
        <v>262</v>
      </c>
      <c r="R116" s="23">
        <v>820</v>
      </c>
      <c r="U116" s="19">
        <v>91</v>
      </c>
      <c r="V116" s="19">
        <v>0</v>
      </c>
      <c r="W116" s="19">
        <v>12</v>
      </c>
      <c r="X116" s="19">
        <f t="shared" si="29"/>
        <v>-0.5346417444114131</v>
      </c>
      <c r="Y116" s="19">
        <f t="shared" si="30"/>
        <v>0.42668194358209482</v>
      </c>
      <c r="Z116" s="19">
        <f t="shared" si="31"/>
        <v>4.6777622425387317</v>
      </c>
      <c r="AA116" s="19">
        <f t="shared" si="32"/>
        <v>-4.3324067352054636E-2</v>
      </c>
      <c r="AB116" s="19">
        <f t="shared" si="33"/>
        <v>-5.0774540143854949E-2</v>
      </c>
      <c r="AC116" s="19">
        <f t="shared" si="34"/>
        <v>-0.12694109039347654</v>
      </c>
      <c r="AD116" s="19">
        <f t="shared" si="35"/>
        <v>0.1731508753973752</v>
      </c>
      <c r="AE116" s="19">
        <f t="shared" si="36"/>
        <v>1.1377089929167792</v>
      </c>
      <c r="AF116" s="19">
        <f t="shared" si="37"/>
        <v>0.89808965990474288</v>
      </c>
      <c r="AG116" s="19">
        <f t="shared" si="38"/>
        <v>0.48211679660411588</v>
      </c>
      <c r="AH116" s="19">
        <f t="shared" si="39"/>
        <v>4.1553666154728691E-2</v>
      </c>
      <c r="AI116" s="19">
        <f t="shared" si="40"/>
        <v>-0.97818478728699232</v>
      </c>
      <c r="AJ116" s="19">
        <f t="shared" si="41"/>
        <v>-0.97600224198261254</v>
      </c>
      <c r="AK116" s="19">
        <f t="shared" si="42"/>
        <v>-0.43717154479006354</v>
      </c>
      <c r="AL116" s="19">
        <f t="shared" si="43"/>
        <v>4.4824519058731568E-2</v>
      </c>
      <c r="BV116" s="16">
        <v>0</v>
      </c>
      <c r="BW116" s="18">
        <v>88</v>
      </c>
      <c r="BX116" s="48">
        <v>1.3493356561910936</v>
      </c>
      <c r="BY116" s="48">
        <v>-0.94291271195526005</v>
      </c>
      <c r="BZ116" s="18" t="e">
        <f t="shared" si="44"/>
        <v>#N/A</v>
      </c>
    </row>
    <row r="117" spans="1:78" x14ac:dyDescent="0.3">
      <c r="A117" s="19">
        <v>92</v>
      </c>
      <c r="B117" s="19">
        <v>0</v>
      </c>
      <c r="C117" s="19">
        <v>12</v>
      </c>
      <c r="D117" s="19">
        <v>74.786188972814003</v>
      </c>
      <c r="E117" s="22">
        <v>17183</v>
      </c>
      <c r="F117" s="22">
        <v>6653</v>
      </c>
      <c r="G117" s="23">
        <v>1142</v>
      </c>
      <c r="H117" s="23">
        <v>9388</v>
      </c>
      <c r="I117" s="24">
        <v>12.9</v>
      </c>
      <c r="J117" s="24">
        <v>204.8</v>
      </c>
      <c r="K117" s="22">
        <v>13131</v>
      </c>
      <c r="L117" s="22">
        <v>42038</v>
      </c>
      <c r="M117" s="22">
        <v>12715</v>
      </c>
      <c r="N117" s="22">
        <v>9947</v>
      </c>
      <c r="O117" s="25">
        <v>3520.09</v>
      </c>
      <c r="P117" s="24">
        <v>84.8</v>
      </c>
      <c r="Q117" s="22">
        <v>8594</v>
      </c>
      <c r="R117" s="23">
        <v>214</v>
      </c>
      <c r="U117" s="19">
        <v>92</v>
      </c>
      <c r="V117" s="19">
        <v>0</v>
      </c>
      <c r="W117" s="19">
        <v>12</v>
      </c>
      <c r="X117" s="19">
        <f t="shared" si="29"/>
        <v>0.52557902922493915</v>
      </c>
      <c r="Y117" s="19">
        <f t="shared" si="30"/>
        <v>-0.23431076342476378</v>
      </c>
      <c r="Z117" s="19">
        <f t="shared" si="31"/>
        <v>7.6524496196476957E-2</v>
      </c>
      <c r="AA117" s="19">
        <f t="shared" si="32"/>
        <v>-0.72925301307184598</v>
      </c>
      <c r="AB117" s="19">
        <f t="shared" si="33"/>
        <v>-0.13352468229508552</v>
      </c>
      <c r="AC117" s="19">
        <f t="shared" si="34"/>
        <v>0.11984717664461011</v>
      </c>
      <c r="AD117" s="19">
        <f t="shared" si="35"/>
        <v>-0.17923163858590443</v>
      </c>
      <c r="AE117" s="19">
        <f t="shared" si="36"/>
        <v>-0.25797291976215092</v>
      </c>
      <c r="AF117" s="19">
        <f t="shared" si="37"/>
        <v>-0.2958499988972863</v>
      </c>
      <c r="AG117" s="19">
        <f t="shared" si="38"/>
        <v>-0.26105661837796695</v>
      </c>
      <c r="AH117" s="19">
        <f t="shared" si="39"/>
        <v>-4.405492705953945E-2</v>
      </c>
      <c r="AI117" s="19">
        <f t="shared" si="40"/>
        <v>-2.4845494585017239E-2</v>
      </c>
      <c r="AJ117" s="19">
        <f t="shared" si="41"/>
        <v>-2.5284573303023222E-2</v>
      </c>
      <c r="AK117" s="19">
        <f t="shared" si="42"/>
        <v>-0.25036643583071089</v>
      </c>
      <c r="AL117" s="19">
        <f t="shared" si="43"/>
        <v>-0.28688671716611269</v>
      </c>
      <c r="BV117" s="16">
        <v>0</v>
      </c>
      <c r="BW117" s="18">
        <v>89</v>
      </c>
      <c r="BX117" s="48">
        <v>0.62532756240134268</v>
      </c>
      <c r="BY117" s="48">
        <v>-0.50749607872221314</v>
      </c>
      <c r="BZ117" s="18" t="e">
        <f t="shared" si="44"/>
        <v>#N/A</v>
      </c>
    </row>
    <row r="118" spans="1:78" x14ac:dyDescent="0.3">
      <c r="A118" s="19">
        <v>93</v>
      </c>
      <c r="B118" s="19">
        <v>0</v>
      </c>
      <c r="C118" s="19">
        <v>12</v>
      </c>
      <c r="D118" s="19">
        <v>17.845533003891202</v>
      </c>
      <c r="E118" s="22">
        <v>27530</v>
      </c>
      <c r="F118" s="22">
        <v>6231</v>
      </c>
      <c r="G118" s="23">
        <v>9894</v>
      </c>
      <c r="H118" s="23">
        <v>11405</v>
      </c>
      <c r="I118" s="24">
        <v>7.6</v>
      </c>
      <c r="J118" s="24">
        <v>645</v>
      </c>
      <c r="K118" s="22">
        <v>25242</v>
      </c>
      <c r="L118" s="22">
        <v>76637</v>
      </c>
      <c r="M118" s="22">
        <v>19655</v>
      </c>
      <c r="N118" s="22">
        <v>13736</v>
      </c>
      <c r="O118" s="25">
        <v>3812.11</v>
      </c>
      <c r="P118" s="24">
        <v>91.8</v>
      </c>
      <c r="Q118" s="22">
        <v>3706</v>
      </c>
      <c r="R118" s="23">
        <v>269</v>
      </c>
      <c r="U118" s="19">
        <v>93</v>
      </c>
      <c r="V118" s="19">
        <v>0</v>
      </c>
      <c r="W118" s="19">
        <v>12</v>
      </c>
      <c r="X118" s="19">
        <f t="shared" si="29"/>
        <v>-1.2364097870021673</v>
      </c>
      <c r="Y118" s="19">
        <f t="shared" si="30"/>
        <v>-4.0409324906960246E-2</v>
      </c>
      <c r="Z118" s="19">
        <f t="shared" si="31"/>
        <v>-9.4298151971818317E-4</v>
      </c>
      <c r="AA118" s="19">
        <f t="shared" si="32"/>
        <v>0.20162776424860895</v>
      </c>
      <c r="AB118" s="19">
        <f t="shared" si="33"/>
        <v>-8.9110888596567142E-2</v>
      </c>
      <c r="AC118" s="19">
        <f t="shared" si="34"/>
        <v>-0.88628960435681969</v>
      </c>
      <c r="AD118" s="19">
        <f t="shared" si="35"/>
        <v>0.15637801666169335</v>
      </c>
      <c r="AE118" s="19">
        <f t="shared" si="36"/>
        <v>0.36296248705786682</v>
      </c>
      <c r="AF118" s="19">
        <f t="shared" si="37"/>
        <v>0.18868601957542971</v>
      </c>
      <c r="AG118" s="19">
        <f t="shared" si="38"/>
        <v>-6.2207322187864149E-3</v>
      </c>
      <c r="AH118" s="19">
        <f t="shared" si="39"/>
        <v>0.11294940967272675</v>
      </c>
      <c r="AI118" s="19">
        <f t="shared" si="40"/>
        <v>0.56706686536402029</v>
      </c>
      <c r="AJ118" s="19">
        <f t="shared" si="41"/>
        <v>0.56365557543654554</v>
      </c>
      <c r="AK118" s="19">
        <f t="shared" si="42"/>
        <v>-0.35995637493216504</v>
      </c>
      <c r="AL118" s="19">
        <f t="shared" si="43"/>
        <v>-0.25678091189818125</v>
      </c>
      <c r="BV118" s="16">
        <v>0</v>
      </c>
      <c r="BW118" s="18">
        <v>90</v>
      </c>
      <c r="BX118" s="48">
        <v>-0.28974407555897708</v>
      </c>
      <c r="BY118" s="48">
        <v>0.15201592750084925</v>
      </c>
      <c r="BZ118" s="18" t="e">
        <f t="shared" si="44"/>
        <v>#N/A</v>
      </c>
    </row>
    <row r="119" spans="1:78" x14ac:dyDescent="0.3">
      <c r="A119" s="19">
        <v>94</v>
      </c>
      <c r="B119" s="19">
        <v>1</v>
      </c>
      <c r="C119" s="19">
        <v>12</v>
      </c>
      <c r="D119" s="19">
        <v>0</v>
      </c>
      <c r="E119" s="22">
        <v>320625</v>
      </c>
      <c r="F119" s="22">
        <v>4489</v>
      </c>
      <c r="G119" s="23">
        <v>63170</v>
      </c>
      <c r="H119" s="23">
        <v>252966</v>
      </c>
      <c r="I119" s="24">
        <v>4.4000000000000004</v>
      </c>
      <c r="J119" s="24">
        <v>4655.3999999999996</v>
      </c>
      <c r="K119" s="22">
        <v>120953</v>
      </c>
      <c r="L119" s="22">
        <v>471743</v>
      </c>
      <c r="M119" s="22">
        <v>168373</v>
      </c>
      <c r="N119" s="22">
        <v>130233</v>
      </c>
      <c r="O119" s="25">
        <v>4431.17</v>
      </c>
      <c r="P119" s="24">
        <v>106.8</v>
      </c>
      <c r="Q119" s="22">
        <v>359081</v>
      </c>
      <c r="R119" s="23">
        <v>0</v>
      </c>
      <c r="U119" s="19">
        <v>94</v>
      </c>
      <c r="V119" s="19">
        <v>1</v>
      </c>
      <c r="W119" s="19">
        <v>12</v>
      </c>
      <c r="X119" s="19">
        <f t="shared" si="29"/>
        <v>-1.7886273376680637</v>
      </c>
      <c r="Y119" s="19">
        <f t="shared" si="30"/>
        <v>5.4521529755062632</v>
      </c>
      <c r="Z119" s="19">
        <f t="shared" si="31"/>
        <v>-0.32072579237661852</v>
      </c>
      <c r="AA119" s="19">
        <f t="shared" si="32"/>
        <v>5.8681730444730782</v>
      </c>
      <c r="AB119" s="19">
        <f t="shared" si="33"/>
        <v>5.2299969049620829</v>
      </c>
      <c r="AC119" s="19">
        <f t="shared" si="34"/>
        <v>-1.493768415527494</v>
      </c>
      <c r="AD119" s="19">
        <f t="shared" si="35"/>
        <v>3.2139176836425336</v>
      </c>
      <c r="AE119" s="19">
        <f t="shared" si="36"/>
        <v>5.2701005204284161</v>
      </c>
      <c r="AF119" s="19">
        <f t="shared" si="37"/>
        <v>5.7218831673161432</v>
      </c>
      <c r="AG119" s="19">
        <f t="shared" si="38"/>
        <v>5.454684644988852</v>
      </c>
      <c r="AH119" s="19">
        <f t="shared" si="39"/>
        <v>4.9402215702160932</v>
      </c>
      <c r="AI119" s="19">
        <f t="shared" si="40"/>
        <v>1.8218756645902758</v>
      </c>
      <c r="AJ119" s="19">
        <f t="shared" si="41"/>
        <v>1.8256701798784785</v>
      </c>
      <c r="AK119" s="19">
        <f t="shared" si="42"/>
        <v>7.607622309228895</v>
      </c>
      <c r="AL119" s="19">
        <f t="shared" si="43"/>
        <v>-0.40402566857224581</v>
      </c>
      <c r="BV119" s="16">
        <v>0</v>
      </c>
      <c r="BW119" s="18">
        <v>91</v>
      </c>
      <c r="BX119" s="48">
        <v>-0.40081126140393292</v>
      </c>
      <c r="BY119" s="48">
        <v>-3.0672111069193391</v>
      </c>
      <c r="BZ119" s="18" t="e">
        <f t="shared" si="44"/>
        <v>#N/A</v>
      </c>
    </row>
    <row r="120" spans="1:78" x14ac:dyDescent="0.3">
      <c r="A120" s="19">
        <v>95</v>
      </c>
      <c r="B120" s="19">
        <v>0</v>
      </c>
      <c r="C120" s="19">
        <v>12</v>
      </c>
      <c r="D120" s="19">
        <v>70.705749989550895</v>
      </c>
      <c r="E120" s="22">
        <v>32090</v>
      </c>
      <c r="F120" s="22">
        <v>8302</v>
      </c>
      <c r="G120" s="23">
        <v>11637</v>
      </c>
      <c r="H120" s="23">
        <v>12151</v>
      </c>
      <c r="I120" s="24">
        <v>12.3</v>
      </c>
      <c r="J120" s="24">
        <v>393.2</v>
      </c>
      <c r="K120" s="22">
        <v>18794</v>
      </c>
      <c r="L120" s="22">
        <v>70646</v>
      </c>
      <c r="M120" s="22">
        <v>23708</v>
      </c>
      <c r="N120" s="22">
        <v>11798</v>
      </c>
      <c r="O120" s="25">
        <v>3731.21</v>
      </c>
      <c r="P120" s="24">
        <v>89.9</v>
      </c>
      <c r="Q120" s="22">
        <v>29752</v>
      </c>
      <c r="R120" s="23">
        <v>1979</v>
      </c>
      <c r="U120" s="19">
        <v>95</v>
      </c>
      <c r="V120" s="19">
        <v>0</v>
      </c>
      <c r="W120" s="19">
        <v>12</v>
      </c>
      <c r="X120" s="19">
        <f t="shared" si="29"/>
        <v>0.39931269576838918</v>
      </c>
      <c r="Y120" s="19">
        <f t="shared" si="30"/>
        <v>4.50444838918398E-2</v>
      </c>
      <c r="Z120" s="19">
        <f t="shared" si="31"/>
        <v>0.37923509040028214</v>
      </c>
      <c r="AA120" s="19">
        <f t="shared" si="32"/>
        <v>0.38701684044485585</v>
      </c>
      <c r="AB120" s="19">
        <f t="shared" si="33"/>
        <v>-7.2684170649569266E-2</v>
      </c>
      <c r="AC120" s="19">
        <f t="shared" si="34"/>
        <v>5.9448995501087173E-3</v>
      </c>
      <c r="AD120" s="19">
        <f t="shared" si="35"/>
        <v>-3.5594975594883498E-2</v>
      </c>
      <c r="AE120" s="19">
        <f t="shared" si="36"/>
        <v>3.2371164856935877E-2</v>
      </c>
      <c r="AF120" s="19">
        <f t="shared" si="37"/>
        <v>0.10478604308275531</v>
      </c>
      <c r="AG120" s="19">
        <f t="shared" si="38"/>
        <v>0.14260489409290794</v>
      </c>
      <c r="AH120" s="19">
        <f t="shared" si="39"/>
        <v>3.2644737044821792E-2</v>
      </c>
      <c r="AI120" s="19">
        <f t="shared" si="40"/>
        <v>0.40308593967441958</v>
      </c>
      <c r="AJ120" s="19">
        <f t="shared" si="41"/>
        <v>0.40380039220723468</v>
      </c>
      <c r="AK120" s="19">
        <f t="shared" si="42"/>
        <v>0.22400016226842301</v>
      </c>
      <c r="AL120" s="19">
        <f t="shared" si="43"/>
        <v>0.67923594279568611</v>
      </c>
      <c r="BV120" s="16">
        <v>0</v>
      </c>
      <c r="BW120" s="18">
        <v>92</v>
      </c>
      <c r="BX120" s="48">
        <v>0.81713665331584029</v>
      </c>
      <c r="BY120" s="48">
        <v>-7.6683557392053431E-2</v>
      </c>
      <c r="BZ120" s="18" t="e">
        <f t="shared" si="44"/>
        <v>#N/A</v>
      </c>
    </row>
    <row r="121" spans="1:78" x14ac:dyDescent="0.3">
      <c r="A121" s="19">
        <v>96</v>
      </c>
      <c r="B121" s="19">
        <v>0</v>
      </c>
      <c r="C121" s="19">
        <v>10</v>
      </c>
      <c r="D121" s="19">
        <v>42.407629877756698</v>
      </c>
      <c r="E121" s="22">
        <v>25185</v>
      </c>
      <c r="F121" s="22">
        <v>854</v>
      </c>
      <c r="G121" s="23">
        <v>8446</v>
      </c>
      <c r="H121" s="23">
        <v>15885</v>
      </c>
      <c r="I121" s="24">
        <v>9.3000000000000007</v>
      </c>
      <c r="J121" s="24">
        <v>307.39999999999998</v>
      </c>
      <c r="K121" s="22">
        <v>13150</v>
      </c>
      <c r="L121" s="22">
        <v>45499</v>
      </c>
      <c r="M121" s="22">
        <v>16534</v>
      </c>
      <c r="N121" s="22">
        <v>7501</v>
      </c>
      <c r="O121" s="25">
        <v>3107.13</v>
      </c>
      <c r="P121" s="24">
        <v>74.900000000000006</v>
      </c>
      <c r="Q121" s="22">
        <v>9242</v>
      </c>
      <c r="R121" s="23">
        <v>0</v>
      </c>
      <c r="U121" s="19">
        <v>96</v>
      </c>
      <c r="V121" s="19">
        <v>0</v>
      </c>
      <c r="W121" s="19">
        <v>10</v>
      </c>
      <c r="X121" s="19">
        <f t="shared" si="29"/>
        <v>-0.47635286004196115</v>
      </c>
      <c r="Y121" s="19">
        <f t="shared" si="30"/>
        <v>-8.435432087915018E-2</v>
      </c>
      <c r="Z121" s="19">
        <f t="shared" si="31"/>
        <v>-0.98801081962393922</v>
      </c>
      <c r="AA121" s="19">
        <f t="shared" si="32"/>
        <v>4.7615496702902965E-2</v>
      </c>
      <c r="AB121" s="19">
        <f t="shared" si="33"/>
        <v>9.5374980020259854E-3</v>
      </c>
      <c r="AC121" s="19">
        <f t="shared" si="34"/>
        <v>-0.56356648592239866</v>
      </c>
      <c r="AD121" s="19">
        <f t="shared" si="35"/>
        <v>-0.10100912466404273</v>
      </c>
      <c r="AE121" s="19">
        <f t="shared" si="36"/>
        <v>-0.25699878280157129</v>
      </c>
      <c r="AF121" s="19">
        <f t="shared" si="37"/>
        <v>-0.24738099228050345</v>
      </c>
      <c r="AG121" s="19">
        <f t="shared" si="38"/>
        <v>-0.12082344125377237</v>
      </c>
      <c r="AH121" s="19">
        <f t="shared" si="39"/>
        <v>-0.14540953451457325</v>
      </c>
      <c r="AI121" s="19">
        <f t="shared" si="40"/>
        <v>-0.86189819016941061</v>
      </c>
      <c r="AJ121" s="19">
        <f t="shared" si="41"/>
        <v>-0.85821421223469829</v>
      </c>
      <c r="AK121" s="19">
        <f t="shared" si="42"/>
        <v>-0.23583814603166378</v>
      </c>
      <c r="AL121" s="19">
        <f t="shared" si="43"/>
        <v>-0.40402566857224581</v>
      </c>
      <c r="BV121" s="16">
        <v>0</v>
      </c>
      <c r="BW121" s="18">
        <v>93</v>
      </c>
      <c r="BX121" s="48">
        <v>-0.57230776117505344</v>
      </c>
      <c r="BY121" s="48">
        <v>1.0186956878077968</v>
      </c>
      <c r="BZ121" s="18" t="e">
        <f t="shared" si="44"/>
        <v>#N/A</v>
      </c>
    </row>
    <row r="122" spans="1:78" x14ac:dyDescent="0.3">
      <c r="A122" s="19">
        <v>97</v>
      </c>
      <c r="B122" s="19">
        <v>0</v>
      </c>
      <c r="C122" s="19">
        <v>10</v>
      </c>
      <c r="D122" s="19">
        <v>53.400836355461898</v>
      </c>
      <c r="E122" s="22">
        <v>12359</v>
      </c>
      <c r="F122" s="22">
        <v>657</v>
      </c>
      <c r="G122" s="23">
        <v>4407</v>
      </c>
      <c r="H122" s="23">
        <v>7295</v>
      </c>
      <c r="I122" s="24">
        <v>9.1</v>
      </c>
      <c r="J122" s="24">
        <v>161.5</v>
      </c>
      <c r="K122" s="22">
        <v>8734</v>
      </c>
      <c r="L122" s="22">
        <v>29888</v>
      </c>
      <c r="M122" s="22">
        <v>9766</v>
      </c>
      <c r="N122" s="22">
        <v>4995</v>
      </c>
      <c r="O122" s="25">
        <v>3218.53</v>
      </c>
      <c r="P122" s="24">
        <v>77.5</v>
      </c>
      <c r="Q122" s="22">
        <v>2038</v>
      </c>
      <c r="R122" s="23">
        <v>0</v>
      </c>
      <c r="U122" s="19">
        <v>97</v>
      </c>
      <c r="V122" s="19">
        <v>0</v>
      </c>
      <c r="W122" s="19">
        <v>10</v>
      </c>
      <c r="X122" s="19">
        <f t="shared" si="29"/>
        <v>-0.13617576621354274</v>
      </c>
      <c r="Y122" s="19">
        <f t="shared" si="30"/>
        <v>-0.32471189799612593</v>
      </c>
      <c r="Z122" s="19">
        <f t="shared" si="31"/>
        <v>-1.0241745473729686</v>
      </c>
      <c r="AA122" s="19">
        <f t="shared" si="32"/>
        <v>-0.38198087665145231</v>
      </c>
      <c r="AB122" s="19">
        <f t="shared" si="33"/>
        <v>-0.17961197540911575</v>
      </c>
      <c r="AC122" s="19">
        <f t="shared" si="34"/>
        <v>-0.60153391162056602</v>
      </c>
      <c r="AD122" s="19">
        <f t="shared" si="35"/>
        <v>-0.21224367418840553</v>
      </c>
      <c r="AE122" s="19">
        <f t="shared" si="36"/>
        <v>-0.48340872058682421</v>
      </c>
      <c r="AF122" s="19">
        <f t="shared" si="37"/>
        <v>-0.4660026803170817</v>
      </c>
      <c r="AG122" s="19">
        <f t="shared" si="38"/>
        <v>-0.36934351006145738</v>
      </c>
      <c r="AH122" s="19">
        <f t="shared" si="39"/>
        <v>-0.24925035474446483</v>
      </c>
      <c r="AI122" s="19">
        <f t="shared" si="40"/>
        <v>-0.63609503662402733</v>
      </c>
      <c r="AJ122" s="19">
        <f t="shared" si="41"/>
        <v>-0.63946501413143031</v>
      </c>
      <c r="AK122" s="19">
        <f t="shared" si="42"/>
        <v>-0.39735326904452706</v>
      </c>
      <c r="AL122" s="19">
        <f t="shared" si="43"/>
        <v>-0.40402566857224581</v>
      </c>
      <c r="BV122" s="16">
        <v>1</v>
      </c>
      <c r="BW122" s="18">
        <v>94</v>
      </c>
      <c r="BX122" s="48">
        <v>-16.498935084111693</v>
      </c>
      <c r="BY122" s="48">
        <v>-1.2484131283221616</v>
      </c>
      <c r="BZ122" s="18">
        <f t="shared" si="44"/>
        <v>-1.2484131283221616</v>
      </c>
    </row>
    <row r="123" spans="1:78" x14ac:dyDescent="0.3">
      <c r="A123" s="19">
        <v>98</v>
      </c>
      <c r="B123" s="19">
        <v>0</v>
      </c>
      <c r="C123" s="19">
        <v>10</v>
      </c>
      <c r="D123" s="19">
        <v>49.2069285046801</v>
      </c>
      <c r="E123" s="22">
        <v>42248</v>
      </c>
      <c r="F123" s="22">
        <v>6997</v>
      </c>
      <c r="G123" s="23">
        <v>19725</v>
      </c>
      <c r="H123" s="23">
        <v>15526</v>
      </c>
      <c r="I123" s="24">
        <v>8.8000000000000007</v>
      </c>
      <c r="J123" s="24">
        <v>2590.6999999999998</v>
      </c>
      <c r="K123" s="22">
        <v>20710</v>
      </c>
      <c r="L123" s="22">
        <v>73890</v>
      </c>
      <c r="M123" s="22">
        <v>18316</v>
      </c>
      <c r="N123" s="22">
        <v>8962</v>
      </c>
      <c r="O123" s="25">
        <v>5791.89</v>
      </c>
      <c r="P123" s="24">
        <v>139.5</v>
      </c>
      <c r="Q123" s="22">
        <v>7450</v>
      </c>
      <c r="R123" s="23">
        <v>0</v>
      </c>
      <c r="U123" s="19">
        <v>98</v>
      </c>
      <c r="V123" s="19">
        <v>0</v>
      </c>
      <c r="W123" s="19">
        <v>10</v>
      </c>
      <c r="X123" s="19">
        <f t="shared" si="29"/>
        <v>-0.26595331449815879</v>
      </c>
      <c r="Y123" s="19">
        <f t="shared" si="30"/>
        <v>0.23540408691337728</v>
      </c>
      <c r="Z123" s="19">
        <f t="shared" si="31"/>
        <v>0.13967334059072134</v>
      </c>
      <c r="AA123" s="19">
        <f t="shared" si="32"/>
        <v>1.2472732077857882</v>
      </c>
      <c r="AB123" s="19">
        <f t="shared" si="33"/>
        <v>1.6324152366476515E-3</v>
      </c>
      <c r="AC123" s="19">
        <f t="shared" si="34"/>
        <v>-0.65848505016781655</v>
      </c>
      <c r="AD123" s="19">
        <f t="shared" si="35"/>
        <v>1.6397848912987922</v>
      </c>
      <c r="AE123" s="19">
        <f t="shared" si="36"/>
        <v>0.13060518677644328</v>
      </c>
      <c r="AF123" s="19">
        <f t="shared" si="37"/>
        <v>0.15021610880504471</v>
      </c>
      <c r="AG123" s="19">
        <f t="shared" si="38"/>
        <v>-5.5388635902812747E-2</v>
      </c>
      <c r="AH123" s="19">
        <f t="shared" si="39"/>
        <v>-8.4870253446787322E-2</v>
      </c>
      <c r="AI123" s="19">
        <f t="shared" si="40"/>
        <v>4.57999834944013</v>
      </c>
      <c r="AJ123" s="19">
        <f t="shared" si="41"/>
        <v>4.5768620175618926</v>
      </c>
      <c r="AK123" s="19">
        <f t="shared" si="42"/>
        <v>-0.27601514498211505</v>
      </c>
      <c r="AL123" s="19">
        <f t="shared" si="43"/>
        <v>-0.40402566857224581</v>
      </c>
      <c r="BV123" s="16">
        <v>0</v>
      </c>
      <c r="BW123" s="18">
        <v>95</v>
      </c>
      <c r="BX123" s="48">
        <v>-0.37142629531316446</v>
      </c>
      <c r="BY123" s="48">
        <v>0.2906052223546699</v>
      </c>
      <c r="BZ123" s="18" t="e">
        <f t="shared" si="44"/>
        <v>#N/A</v>
      </c>
    </row>
    <row r="124" spans="1:78" x14ac:dyDescent="0.3">
      <c r="A124" s="19">
        <v>99</v>
      </c>
      <c r="B124" s="19">
        <v>0</v>
      </c>
      <c r="C124" s="19">
        <v>10</v>
      </c>
      <c r="D124" s="19">
        <v>53.095396204028702</v>
      </c>
      <c r="E124" s="22">
        <v>29467</v>
      </c>
      <c r="F124" s="22">
        <v>8945</v>
      </c>
      <c r="G124" s="23">
        <v>9316</v>
      </c>
      <c r="H124" s="23">
        <v>11206</v>
      </c>
      <c r="I124" s="24">
        <v>14.2</v>
      </c>
      <c r="J124" s="24">
        <v>555.29999999999995</v>
      </c>
      <c r="K124" s="22">
        <v>15590</v>
      </c>
      <c r="L124" s="22">
        <v>61700</v>
      </c>
      <c r="M124" s="22">
        <v>21968</v>
      </c>
      <c r="N124" s="22">
        <v>7659</v>
      </c>
      <c r="O124" s="25">
        <v>3553.67</v>
      </c>
      <c r="P124" s="24">
        <v>85.6</v>
      </c>
      <c r="Q124" s="22">
        <v>15609</v>
      </c>
      <c r="R124" s="23">
        <v>346</v>
      </c>
      <c r="U124" s="19">
        <v>99</v>
      </c>
      <c r="V124" s="19">
        <v>0</v>
      </c>
      <c r="W124" s="19">
        <v>10</v>
      </c>
      <c r="X124" s="19">
        <f t="shared" si="29"/>
        <v>-0.14562739829775573</v>
      </c>
      <c r="Y124" s="19">
        <f t="shared" si="30"/>
        <v>-4.1101960378208411E-3</v>
      </c>
      <c r="Z124" s="19">
        <f t="shared" si="31"/>
        <v>0.49727202919533781</v>
      </c>
      <c r="AA124" s="19">
        <f t="shared" si="32"/>
        <v>0.14015049170619315</v>
      </c>
      <c r="AB124" s="19">
        <f t="shared" si="33"/>
        <v>-9.3492814697710008E-2</v>
      </c>
      <c r="AC124" s="19">
        <f t="shared" si="34"/>
        <v>0.36663544368269646</v>
      </c>
      <c r="AD124" s="19">
        <f t="shared" si="35"/>
        <v>8.7990497180299568E-2</v>
      </c>
      <c r="AE124" s="19">
        <f t="shared" si="36"/>
        <v>-0.13189908891660362</v>
      </c>
      <c r="AF124" s="19">
        <f t="shared" si="37"/>
        <v>-2.0496746051523643E-2</v>
      </c>
      <c r="AG124" s="19">
        <f t="shared" si="38"/>
        <v>7.8712323211499555E-2</v>
      </c>
      <c r="AH124" s="19">
        <f t="shared" si="39"/>
        <v>-0.13886250754078122</v>
      </c>
      <c r="AI124" s="19">
        <f t="shared" si="40"/>
        <v>4.3219764805054114E-2</v>
      </c>
      <c r="AJ124" s="19">
        <f t="shared" si="41"/>
        <v>4.2022872267212963E-2</v>
      </c>
      <c r="AK124" s="19">
        <f t="shared" si="42"/>
        <v>-9.308873067590305E-2</v>
      </c>
      <c r="AL124" s="19">
        <f t="shared" si="43"/>
        <v>-0.2146327845230773</v>
      </c>
      <c r="BV124" s="16">
        <v>0</v>
      </c>
      <c r="BW124" s="18">
        <v>96</v>
      </c>
      <c r="BX124" s="48">
        <v>0.53350757137035032</v>
      </c>
      <c r="BY124" s="48">
        <v>-0.26380624440579592</v>
      </c>
      <c r="BZ124" s="18" t="e">
        <f t="shared" si="44"/>
        <v>#N/A</v>
      </c>
    </row>
    <row r="125" spans="1:78" x14ac:dyDescent="0.3">
      <c r="A125" s="19">
        <v>100</v>
      </c>
      <c r="B125" s="19">
        <v>0</v>
      </c>
      <c r="C125" s="19">
        <v>10</v>
      </c>
      <c r="D125" s="19">
        <v>40.248723671889003</v>
      </c>
      <c r="E125" s="22">
        <v>12827</v>
      </c>
      <c r="F125" s="22">
        <v>5625</v>
      </c>
      <c r="G125" s="23">
        <v>3024</v>
      </c>
      <c r="H125" s="23">
        <v>4178</v>
      </c>
      <c r="I125" s="24">
        <v>13.2</v>
      </c>
      <c r="J125" s="24">
        <v>63.3</v>
      </c>
      <c r="K125" s="22">
        <v>8571</v>
      </c>
      <c r="L125" s="22">
        <v>31437</v>
      </c>
      <c r="M125" s="22">
        <v>10274</v>
      </c>
      <c r="N125" s="22">
        <v>4352</v>
      </c>
      <c r="O125" s="25">
        <v>2954.03</v>
      </c>
      <c r="P125" s="24">
        <v>71.2</v>
      </c>
      <c r="Q125" s="22">
        <v>2893</v>
      </c>
      <c r="R125" s="23">
        <v>336</v>
      </c>
      <c r="U125" s="19">
        <v>100</v>
      </c>
      <c r="V125" s="19">
        <v>0</v>
      </c>
      <c r="W125" s="19">
        <v>10</v>
      </c>
      <c r="X125" s="19">
        <f t="shared" si="29"/>
        <v>-0.54315870421942036</v>
      </c>
      <c r="Y125" s="19">
        <f t="shared" si="30"/>
        <v>-0.31594163867203856</v>
      </c>
      <c r="Z125" s="19">
        <f t="shared" si="31"/>
        <v>-0.11218774809795103</v>
      </c>
      <c r="AA125" s="19">
        <f t="shared" si="32"/>
        <v>-0.52907961008771709</v>
      </c>
      <c r="AB125" s="19">
        <f t="shared" si="33"/>
        <v>-0.24824747117425297</v>
      </c>
      <c r="AC125" s="19">
        <f t="shared" si="34"/>
        <v>0.17679831519186065</v>
      </c>
      <c r="AD125" s="19">
        <f t="shared" si="35"/>
        <v>-0.28711161636313087</v>
      </c>
      <c r="AE125" s="19">
        <f t="shared" si="36"/>
        <v>-0.49176579030127082</v>
      </c>
      <c r="AF125" s="19">
        <f t="shared" si="37"/>
        <v>-0.44430996397804767</v>
      </c>
      <c r="AG125" s="19">
        <f t="shared" si="38"/>
        <v>-0.35068981695355195</v>
      </c>
      <c r="AH125" s="19">
        <f t="shared" si="39"/>
        <v>-0.27589426831502356</v>
      </c>
      <c r="AI125" s="19">
        <f t="shared" si="40"/>
        <v>-1.1722255044225358</v>
      </c>
      <c r="AJ125" s="19">
        <f t="shared" si="41"/>
        <v>-1.1695111479970419</v>
      </c>
      <c r="AK125" s="19">
        <f t="shared" si="42"/>
        <v>-0.37818399778189543</v>
      </c>
      <c r="AL125" s="19">
        <f t="shared" si="43"/>
        <v>-0.22010656729906483</v>
      </c>
      <c r="BV125" s="16">
        <v>0</v>
      </c>
      <c r="BW125" s="18">
        <v>97</v>
      </c>
      <c r="BX125" s="48">
        <v>1.0850155373325066</v>
      </c>
      <c r="BY125" s="48">
        <v>9.4591194482091065E-2</v>
      </c>
      <c r="BZ125" s="18" t="e">
        <f t="shared" si="44"/>
        <v>#N/A</v>
      </c>
    </row>
    <row r="126" spans="1:78" x14ac:dyDescent="0.3">
      <c r="A126" s="19">
        <v>101</v>
      </c>
      <c r="B126" s="19">
        <v>0</v>
      </c>
      <c r="C126" s="19">
        <v>10</v>
      </c>
      <c r="D126" s="19">
        <v>41.823118327831097</v>
      </c>
      <c r="E126" s="22">
        <v>16270</v>
      </c>
      <c r="F126" s="22">
        <v>9119</v>
      </c>
      <c r="G126" s="23">
        <v>2459</v>
      </c>
      <c r="H126" s="23">
        <v>4692</v>
      </c>
      <c r="I126" s="24">
        <v>12.3</v>
      </c>
      <c r="J126" s="24">
        <v>84.5</v>
      </c>
      <c r="K126" s="22">
        <v>8681</v>
      </c>
      <c r="L126" s="22">
        <v>31388</v>
      </c>
      <c r="M126" s="22">
        <v>10993</v>
      </c>
      <c r="N126" s="22">
        <v>3231</v>
      </c>
      <c r="O126" s="25">
        <v>3582.28</v>
      </c>
      <c r="P126" s="24">
        <v>86.3</v>
      </c>
      <c r="Q126" s="22">
        <v>2002</v>
      </c>
      <c r="R126" s="23">
        <v>50</v>
      </c>
      <c r="U126" s="19">
        <v>101</v>
      </c>
      <c r="V126" s="19">
        <v>0</v>
      </c>
      <c r="W126" s="19">
        <v>10</v>
      </c>
      <c r="X126" s="19">
        <f t="shared" si="29"/>
        <v>-0.49444016157369242</v>
      </c>
      <c r="Y126" s="19">
        <f t="shared" si="30"/>
        <v>-0.25142026505487441</v>
      </c>
      <c r="Z126" s="19">
        <f t="shared" si="31"/>
        <v>0.52921359583661254</v>
      </c>
      <c r="AA126" s="19">
        <f t="shared" si="32"/>
        <v>-0.5891741758082446</v>
      </c>
      <c r="AB126" s="19">
        <f t="shared" si="33"/>
        <v>-0.23692933039039654</v>
      </c>
      <c r="AC126" s="19">
        <f t="shared" si="34"/>
        <v>5.9448995501087173E-3</v>
      </c>
      <c r="AD126" s="19">
        <f t="shared" si="35"/>
        <v>-0.27094867976329201</v>
      </c>
      <c r="AE126" s="19">
        <f t="shared" si="36"/>
        <v>-0.48612605000317805</v>
      </c>
      <c r="AF126" s="19">
        <f t="shared" si="37"/>
        <v>-0.44499617643809458</v>
      </c>
      <c r="AG126" s="19">
        <f t="shared" si="38"/>
        <v>-0.32428823162956766</v>
      </c>
      <c r="AH126" s="19">
        <f t="shared" si="39"/>
        <v>-0.32234501032528234</v>
      </c>
      <c r="AI126" s="19">
        <f t="shared" si="40"/>
        <v>0.10121104149206883</v>
      </c>
      <c r="AJ126" s="19">
        <f t="shared" si="41"/>
        <v>0.10091688714117007</v>
      </c>
      <c r="AK126" s="19">
        <f t="shared" si="42"/>
        <v>-0.39816039625558519</v>
      </c>
      <c r="AL126" s="19">
        <f t="shared" si="43"/>
        <v>-0.37665675469230814</v>
      </c>
      <c r="BV126" s="16">
        <v>0</v>
      </c>
      <c r="BW126" s="18">
        <v>98</v>
      </c>
      <c r="BX126" s="48">
        <v>-2.6766558116926622</v>
      </c>
      <c r="BY126" s="48">
        <v>5.1180161767948302</v>
      </c>
      <c r="BZ126" s="18" t="e">
        <f t="shared" si="44"/>
        <v>#N/A</v>
      </c>
    </row>
    <row r="127" spans="1:78" x14ac:dyDescent="0.3">
      <c r="A127" s="19">
        <v>102</v>
      </c>
      <c r="B127" s="19">
        <v>0</v>
      </c>
      <c r="C127" s="19">
        <v>10</v>
      </c>
      <c r="D127" s="19">
        <v>47.877133634167301</v>
      </c>
      <c r="E127" s="22">
        <v>25568</v>
      </c>
      <c r="F127" s="22">
        <v>13066</v>
      </c>
      <c r="G127" s="23">
        <v>5151</v>
      </c>
      <c r="H127" s="23">
        <v>7351</v>
      </c>
      <c r="I127" s="24">
        <v>8.5</v>
      </c>
      <c r="J127" s="24">
        <v>209.5</v>
      </c>
      <c r="K127" s="22">
        <v>14131</v>
      </c>
      <c r="L127" s="22">
        <v>48904</v>
      </c>
      <c r="M127" s="22">
        <v>16596</v>
      </c>
      <c r="N127" s="22">
        <v>5905</v>
      </c>
      <c r="O127" s="25">
        <v>3247.31</v>
      </c>
      <c r="P127" s="24">
        <v>78.2</v>
      </c>
      <c r="Q127" s="22">
        <v>8606</v>
      </c>
      <c r="R127" s="23">
        <v>16</v>
      </c>
      <c r="U127" s="19">
        <v>102</v>
      </c>
      <c r="V127" s="19">
        <v>0</v>
      </c>
      <c r="W127" s="19">
        <v>10</v>
      </c>
      <c r="X127" s="19">
        <f t="shared" si="29"/>
        <v>-0.30710288767832267</v>
      </c>
      <c r="Y127" s="19">
        <f t="shared" si="30"/>
        <v>-7.7176950534865008E-2</v>
      </c>
      <c r="Z127" s="19">
        <f t="shared" si="31"/>
        <v>1.2537731563717363</v>
      </c>
      <c r="AA127" s="19">
        <f t="shared" si="32"/>
        <v>-0.30284750161415586</v>
      </c>
      <c r="AB127" s="19">
        <f t="shared" si="33"/>
        <v>-0.17837887057663335</v>
      </c>
      <c r="AC127" s="19">
        <f t="shared" si="34"/>
        <v>-0.71543618871506742</v>
      </c>
      <c r="AD127" s="19">
        <f t="shared" si="35"/>
        <v>-0.17564834603782695</v>
      </c>
      <c r="AE127" s="19">
        <f t="shared" si="36"/>
        <v>-0.20670255341585272</v>
      </c>
      <c r="AF127" s="19">
        <f t="shared" si="37"/>
        <v>-0.19969622847520277</v>
      </c>
      <c r="AG127" s="19">
        <f t="shared" si="38"/>
        <v>-0.11854680941776816</v>
      </c>
      <c r="AH127" s="19">
        <f t="shared" si="39"/>
        <v>-0.21154279432578912</v>
      </c>
      <c r="AI127" s="19">
        <f t="shared" si="40"/>
        <v>-0.57775917702765323</v>
      </c>
      <c r="AJ127" s="19">
        <f t="shared" si="41"/>
        <v>-0.58057099925747324</v>
      </c>
      <c r="AK127" s="19">
        <f t="shared" si="42"/>
        <v>-0.25009739342702486</v>
      </c>
      <c r="AL127" s="19">
        <f t="shared" si="43"/>
        <v>-0.39526761613066574</v>
      </c>
      <c r="BV127" s="16">
        <v>0</v>
      </c>
      <c r="BW127" s="18">
        <v>99</v>
      </c>
      <c r="BX127" s="48">
        <v>9.3731100137612378E-2</v>
      </c>
      <c r="BY127" s="48">
        <v>-0.19791800702373846</v>
      </c>
      <c r="BZ127" s="18" t="e">
        <f t="shared" si="44"/>
        <v>#N/A</v>
      </c>
    </row>
    <row r="128" spans="1:78" x14ac:dyDescent="0.3">
      <c r="A128" s="19">
        <v>103</v>
      </c>
      <c r="B128" s="19">
        <v>0</v>
      </c>
      <c r="C128" s="19">
        <v>10</v>
      </c>
      <c r="D128" s="19">
        <v>16.4812747954022</v>
      </c>
      <c r="E128" s="22">
        <v>16771</v>
      </c>
      <c r="F128" s="22">
        <v>3848</v>
      </c>
      <c r="G128" s="23">
        <v>5618</v>
      </c>
      <c r="H128" s="23">
        <v>7305</v>
      </c>
      <c r="I128" s="24">
        <v>10.1</v>
      </c>
      <c r="J128" s="24">
        <v>136.9</v>
      </c>
      <c r="K128" s="22">
        <v>13074</v>
      </c>
      <c r="L128" s="22">
        <v>44028</v>
      </c>
      <c r="M128" s="22">
        <v>13328</v>
      </c>
      <c r="N128" s="22">
        <v>8042</v>
      </c>
      <c r="O128" s="25">
        <v>3118.38</v>
      </c>
      <c r="P128" s="24">
        <v>75.099999999999994</v>
      </c>
      <c r="Q128" s="22">
        <v>8245</v>
      </c>
      <c r="R128" s="23">
        <v>40</v>
      </c>
      <c r="U128" s="19">
        <v>103</v>
      </c>
      <c r="V128" s="19">
        <v>0</v>
      </c>
      <c r="W128" s="19">
        <v>10</v>
      </c>
      <c r="X128" s="19">
        <f t="shared" si="29"/>
        <v>-1.2786258040975023</v>
      </c>
      <c r="Y128" s="19">
        <f t="shared" si="30"/>
        <v>-0.24203159000921676</v>
      </c>
      <c r="Z128" s="19">
        <f t="shared" si="31"/>
        <v>-0.43839558672752155</v>
      </c>
      <c r="AA128" s="19">
        <f t="shared" si="32"/>
        <v>-0.25317641808940122</v>
      </c>
      <c r="AB128" s="19">
        <f t="shared" si="33"/>
        <v>-0.17939177811760104</v>
      </c>
      <c r="AC128" s="19">
        <f t="shared" si="34"/>
        <v>-0.41169678312973024</v>
      </c>
      <c r="AD128" s="19">
        <f t="shared" si="35"/>
        <v>-0.23099877986557707</v>
      </c>
      <c r="AE128" s="19">
        <f t="shared" si="36"/>
        <v>-0.26089533064388992</v>
      </c>
      <c r="AF128" s="19">
        <f t="shared" si="37"/>
        <v>-0.2679813704178301</v>
      </c>
      <c r="AG128" s="19">
        <f t="shared" si="38"/>
        <v>-0.23854733909618342</v>
      </c>
      <c r="AH128" s="19">
        <f t="shared" si="39"/>
        <v>-0.12299218266127265</v>
      </c>
      <c r="AI128" s="19">
        <f t="shared" si="40"/>
        <v>-0.83909490940293341</v>
      </c>
      <c r="AJ128" s="19">
        <f t="shared" si="41"/>
        <v>-0.84138735084214011</v>
      </c>
      <c r="AK128" s="19">
        <f t="shared" si="42"/>
        <v>-0.25819108573791372</v>
      </c>
      <c r="AL128" s="19">
        <f t="shared" si="43"/>
        <v>-0.38213053746829567</v>
      </c>
      <c r="BV128" s="16">
        <v>0</v>
      </c>
      <c r="BW128" s="18">
        <v>100</v>
      </c>
      <c r="BX128" s="48">
        <v>1.4562445311529146</v>
      </c>
      <c r="BY128" s="48">
        <v>-0.96168284960355188</v>
      </c>
      <c r="BZ128" s="18" t="e">
        <f t="shared" si="44"/>
        <v>#N/A</v>
      </c>
    </row>
    <row r="129" spans="1:78" x14ac:dyDescent="0.3">
      <c r="A129" s="19">
        <v>104</v>
      </c>
      <c r="B129" s="19">
        <v>0</v>
      </c>
      <c r="C129" s="19">
        <v>10</v>
      </c>
      <c r="D129" s="19">
        <v>68.385980274614596</v>
      </c>
      <c r="E129" s="22">
        <v>22905</v>
      </c>
      <c r="F129" s="22">
        <v>10231</v>
      </c>
      <c r="G129" s="23">
        <v>5401</v>
      </c>
      <c r="H129" s="23">
        <v>7273</v>
      </c>
      <c r="I129" s="24">
        <v>10</v>
      </c>
      <c r="J129" s="24">
        <v>215.3</v>
      </c>
      <c r="K129" s="22">
        <v>15079</v>
      </c>
      <c r="L129" s="22">
        <v>47890</v>
      </c>
      <c r="M129" s="22">
        <v>14488</v>
      </c>
      <c r="N129" s="22">
        <v>4612</v>
      </c>
      <c r="O129" s="25">
        <v>3174.36</v>
      </c>
      <c r="P129" s="24">
        <v>76.5</v>
      </c>
      <c r="Q129" s="22">
        <v>2520</v>
      </c>
      <c r="R129" s="23">
        <v>100</v>
      </c>
      <c r="U129" s="19">
        <v>104</v>
      </c>
      <c r="V129" s="19">
        <v>0</v>
      </c>
      <c r="W129" s="19">
        <v>10</v>
      </c>
      <c r="X129" s="19">
        <f t="shared" si="29"/>
        <v>0.32752904269331862</v>
      </c>
      <c r="Y129" s="19">
        <f t="shared" si="30"/>
        <v>-0.1270812252785502</v>
      </c>
      <c r="Z129" s="19">
        <f t="shared" si="31"/>
        <v>0.73334590678544909</v>
      </c>
      <c r="AA129" s="19">
        <f t="shared" si="32"/>
        <v>-0.27625698580861269</v>
      </c>
      <c r="AB129" s="19">
        <f t="shared" si="33"/>
        <v>-0.18009640945044814</v>
      </c>
      <c r="AC129" s="19">
        <f t="shared" si="34"/>
        <v>-0.43068049597881375</v>
      </c>
      <c r="AD129" s="19">
        <f t="shared" si="35"/>
        <v>-0.17122641055296536</v>
      </c>
      <c r="AE129" s="19">
        <f t="shared" si="36"/>
        <v>-0.158098246119562</v>
      </c>
      <c r="AF129" s="19">
        <f t="shared" si="37"/>
        <v>-0.21389662509739804</v>
      </c>
      <c r="AG129" s="19">
        <f t="shared" si="38"/>
        <v>-0.19595229184191118</v>
      </c>
      <c r="AH129" s="19">
        <f t="shared" si="39"/>
        <v>-0.2651206796239734</v>
      </c>
      <c r="AI129" s="19">
        <f t="shared" si="40"/>
        <v>-0.72562578430894287</v>
      </c>
      <c r="AJ129" s="19">
        <f t="shared" si="41"/>
        <v>-0.72359932109422587</v>
      </c>
      <c r="AK129" s="19">
        <f t="shared" si="42"/>
        <v>-0.38654673249647037</v>
      </c>
      <c r="AL129" s="19">
        <f t="shared" si="43"/>
        <v>-0.34928784081237052</v>
      </c>
      <c r="BV129" s="16">
        <v>0</v>
      </c>
      <c r="BW129" s="18">
        <v>101</v>
      </c>
      <c r="BX129" s="48">
        <v>1.0013227032661458</v>
      </c>
      <c r="BY129" s="48">
        <v>0.23732097835272675</v>
      </c>
      <c r="BZ129" s="18" t="e">
        <f t="shared" si="44"/>
        <v>#N/A</v>
      </c>
    </row>
    <row r="130" spans="1:78" x14ac:dyDescent="0.3">
      <c r="A130" s="19">
        <v>105</v>
      </c>
      <c r="B130" s="19">
        <v>0</v>
      </c>
      <c r="C130" s="19">
        <v>10</v>
      </c>
      <c r="D130" s="19">
        <v>17.606043181737299</v>
      </c>
      <c r="E130" s="22">
        <v>28524</v>
      </c>
      <c r="F130" s="22">
        <v>4167</v>
      </c>
      <c r="G130" s="23">
        <v>11654</v>
      </c>
      <c r="H130" s="23">
        <v>12703</v>
      </c>
      <c r="I130" s="24">
        <v>11.4</v>
      </c>
      <c r="J130" s="24">
        <v>245.9</v>
      </c>
      <c r="K130" s="22">
        <v>19403</v>
      </c>
      <c r="L130" s="22">
        <v>73208</v>
      </c>
      <c r="M130" s="22">
        <v>26907</v>
      </c>
      <c r="N130" s="22">
        <v>12605</v>
      </c>
      <c r="O130" s="25">
        <v>3402.55</v>
      </c>
      <c r="P130" s="24">
        <v>82</v>
      </c>
      <c r="Q130" s="22">
        <v>13360</v>
      </c>
      <c r="R130" s="23">
        <v>158</v>
      </c>
      <c r="U130" s="19">
        <v>105</v>
      </c>
      <c r="V130" s="19">
        <v>0</v>
      </c>
      <c r="W130" s="19">
        <v>10</v>
      </c>
      <c r="X130" s="19">
        <f t="shared" si="29"/>
        <v>-1.2438206322243526</v>
      </c>
      <c r="Y130" s="19">
        <f t="shared" si="30"/>
        <v>-2.1781893778449885E-2</v>
      </c>
      <c r="Z130" s="19">
        <f t="shared" si="31"/>
        <v>-0.37983604788518449</v>
      </c>
      <c r="AA130" s="19">
        <f t="shared" si="32"/>
        <v>0.38882499551963279</v>
      </c>
      <c r="AB130" s="19">
        <f t="shared" si="33"/>
        <v>-6.0529280157956902E-2</v>
      </c>
      <c r="AC130" s="19">
        <f t="shared" si="34"/>
        <v>-0.16490851609164356</v>
      </c>
      <c r="AD130" s="19">
        <f t="shared" si="35"/>
        <v>-0.14789688885697153</v>
      </c>
      <c r="AE130" s="19">
        <f t="shared" si="36"/>
        <v>6.3594817961831501E-2</v>
      </c>
      <c r="AF130" s="19">
        <f t="shared" si="37"/>
        <v>0.14066515170806526</v>
      </c>
      <c r="AG130" s="19">
        <f t="shared" si="38"/>
        <v>0.26007175285706047</v>
      </c>
      <c r="AH130" s="19">
        <f t="shared" si="39"/>
        <v>6.6084298866658384E-2</v>
      </c>
      <c r="AI130" s="19">
        <f t="shared" si="40"/>
        <v>-0.26309417203317098</v>
      </c>
      <c r="AJ130" s="19">
        <f t="shared" si="41"/>
        <v>-0.26086063279885047</v>
      </c>
      <c r="AK130" s="19">
        <f t="shared" si="42"/>
        <v>-0.14351176116673167</v>
      </c>
      <c r="AL130" s="19">
        <f t="shared" si="43"/>
        <v>-0.31753990071164284</v>
      </c>
      <c r="BV130" s="16">
        <v>0</v>
      </c>
      <c r="BW130" s="18">
        <v>102</v>
      </c>
      <c r="BX130" s="48">
        <v>0.68201172169507973</v>
      </c>
      <c r="BY130" s="48">
        <v>-0.74604847659741436</v>
      </c>
      <c r="BZ130" s="18" t="e">
        <f t="shared" si="44"/>
        <v>#N/A</v>
      </c>
    </row>
    <row r="131" spans="1:78" x14ac:dyDescent="0.3">
      <c r="A131" s="19">
        <v>106</v>
      </c>
      <c r="B131" s="19">
        <v>0</v>
      </c>
      <c r="C131" s="19">
        <v>10</v>
      </c>
      <c r="D131" s="19">
        <v>75.950051373554999</v>
      </c>
      <c r="E131" s="22">
        <v>14887</v>
      </c>
      <c r="F131" s="22">
        <v>7750</v>
      </c>
      <c r="G131" s="23">
        <v>3296</v>
      </c>
      <c r="H131" s="23">
        <v>3841</v>
      </c>
      <c r="I131" s="24">
        <v>9.6</v>
      </c>
      <c r="J131" s="24">
        <v>145.1</v>
      </c>
      <c r="K131" s="22">
        <v>9185</v>
      </c>
      <c r="L131" s="22">
        <v>32395</v>
      </c>
      <c r="M131" s="22">
        <v>10443</v>
      </c>
      <c r="N131" s="22">
        <v>3882</v>
      </c>
      <c r="O131" s="25">
        <v>3429.55</v>
      </c>
      <c r="P131" s="24">
        <v>82.6</v>
      </c>
      <c r="Q131" s="22">
        <v>790</v>
      </c>
      <c r="R131" s="23">
        <v>15</v>
      </c>
      <c r="U131" s="19">
        <v>106</v>
      </c>
      <c r="V131" s="19">
        <v>0</v>
      </c>
      <c r="W131" s="19">
        <v>10</v>
      </c>
      <c r="X131" s="19">
        <f t="shared" si="29"/>
        <v>0.5615939380600623</v>
      </c>
      <c r="Y131" s="19">
        <f t="shared" si="30"/>
        <v>-0.27733750574977362</v>
      </c>
      <c r="Z131" s="19">
        <f t="shared" si="31"/>
        <v>0.2779032238141691</v>
      </c>
      <c r="AA131" s="19">
        <f t="shared" si="32"/>
        <v>-0.50014912889128604</v>
      </c>
      <c r="AB131" s="19">
        <f t="shared" si="33"/>
        <v>-0.25566811989829891</v>
      </c>
      <c r="AC131" s="19">
        <f t="shared" si="34"/>
        <v>-0.50661534737514813</v>
      </c>
      <c r="AD131" s="19">
        <f t="shared" si="35"/>
        <v>-0.22474707797318652</v>
      </c>
      <c r="AE131" s="19">
        <f t="shared" si="36"/>
        <v>-0.46028578536464371</v>
      </c>
      <c r="AF131" s="19">
        <f t="shared" si="37"/>
        <v>-0.43089381016733463</v>
      </c>
      <c r="AG131" s="19">
        <f t="shared" si="38"/>
        <v>-0.34448415920702435</v>
      </c>
      <c r="AH131" s="19">
        <f t="shared" si="39"/>
        <v>-0.29536960171807586</v>
      </c>
      <c r="AI131" s="19">
        <f t="shared" si="40"/>
        <v>-0.20836629819362568</v>
      </c>
      <c r="AJ131" s="19">
        <f t="shared" si="41"/>
        <v>-0.21038004862117363</v>
      </c>
      <c r="AK131" s="19">
        <f t="shared" si="42"/>
        <v>-0.425333679027877</v>
      </c>
      <c r="AL131" s="19">
        <f t="shared" si="43"/>
        <v>-0.39581499440826451</v>
      </c>
      <c r="BV131" s="16">
        <v>0</v>
      </c>
      <c r="BW131" s="18">
        <v>103</v>
      </c>
      <c r="BX131" s="48">
        <v>0.79789331951816189</v>
      </c>
      <c r="BY131" s="48">
        <v>-0.27775346254762379</v>
      </c>
      <c r="BZ131" s="18" t="e">
        <f t="shared" si="44"/>
        <v>#N/A</v>
      </c>
    </row>
    <row r="132" spans="1:78" x14ac:dyDescent="0.3">
      <c r="A132" s="19">
        <v>107</v>
      </c>
      <c r="B132" s="19">
        <v>0</v>
      </c>
      <c r="C132" s="19">
        <v>10</v>
      </c>
      <c r="D132" s="19">
        <v>50.289741010744301</v>
      </c>
      <c r="E132" s="22">
        <v>24502</v>
      </c>
      <c r="F132" s="22">
        <v>13964</v>
      </c>
      <c r="G132" s="23">
        <v>3035</v>
      </c>
      <c r="H132" s="23">
        <v>7503</v>
      </c>
      <c r="I132" s="24">
        <v>9.8000000000000007</v>
      </c>
      <c r="J132" s="24">
        <v>54.7</v>
      </c>
      <c r="K132" s="22">
        <v>17899</v>
      </c>
      <c r="L132" s="22">
        <v>56211</v>
      </c>
      <c r="M132" s="22">
        <v>17173</v>
      </c>
      <c r="N132" s="22">
        <v>5574</v>
      </c>
      <c r="O132" s="25">
        <v>3058.72</v>
      </c>
      <c r="P132" s="24">
        <v>73.7</v>
      </c>
      <c r="Q132" s="22">
        <v>176</v>
      </c>
      <c r="R132" s="23">
        <v>1141</v>
      </c>
      <c r="U132" s="19">
        <v>107</v>
      </c>
      <c r="V132" s="19">
        <v>0</v>
      </c>
      <c r="W132" s="19">
        <v>10</v>
      </c>
      <c r="X132" s="19">
        <f t="shared" si="29"/>
        <v>-0.23244643802667472</v>
      </c>
      <c r="Y132" s="19">
        <f t="shared" si="30"/>
        <v>-9.7153652328619583E-2</v>
      </c>
      <c r="Z132" s="19">
        <f t="shared" si="31"/>
        <v>1.4186210117962463</v>
      </c>
      <c r="AA132" s="19">
        <f t="shared" si="32"/>
        <v>-0.52790962739227321</v>
      </c>
      <c r="AB132" s="19">
        <f t="shared" si="33"/>
        <v>-0.17503187174560964</v>
      </c>
      <c r="AC132" s="19">
        <f t="shared" si="34"/>
        <v>-0.46864792167698072</v>
      </c>
      <c r="AD132" s="19">
        <f t="shared" si="35"/>
        <v>-0.29366827932344292</v>
      </c>
      <c r="AE132" s="19">
        <f t="shared" si="36"/>
        <v>-1.3515813023001028E-2</v>
      </c>
      <c r="AF132" s="19">
        <f t="shared" si="37"/>
        <v>-9.7366545912697042E-2</v>
      </c>
      <c r="AG132" s="19">
        <f t="shared" si="38"/>
        <v>-9.7359445395599972E-2</v>
      </c>
      <c r="AH132" s="19">
        <f t="shared" si="39"/>
        <v>-0.22525840146708764</v>
      </c>
      <c r="AI132" s="19">
        <f t="shared" si="40"/>
        <v>-0.96002324100542558</v>
      </c>
      <c r="AJ132" s="19">
        <f t="shared" si="41"/>
        <v>-0.95917538059005314</v>
      </c>
      <c r="AK132" s="19">
        <f t="shared" si="42"/>
        <v>-0.43909968201648031</v>
      </c>
      <c r="AL132" s="19">
        <f t="shared" si="43"/>
        <v>0.22053294616793123</v>
      </c>
      <c r="BV132" s="16">
        <v>0</v>
      </c>
      <c r="BW132" s="18">
        <v>104</v>
      </c>
      <c r="BX132" s="48">
        <v>0.87892132044580684</v>
      </c>
      <c r="BY132" s="48">
        <v>-0.89910569011518604</v>
      </c>
      <c r="BZ132" s="18" t="e">
        <f t="shared" si="44"/>
        <v>#N/A</v>
      </c>
    </row>
    <row r="133" spans="1:78" x14ac:dyDescent="0.3">
      <c r="A133" s="19">
        <v>108</v>
      </c>
      <c r="B133" s="19">
        <v>0</v>
      </c>
      <c r="C133" s="19">
        <v>10</v>
      </c>
      <c r="D133" s="19">
        <v>42.259887513128298</v>
      </c>
      <c r="E133" s="22">
        <v>12487</v>
      </c>
      <c r="F133" s="22">
        <v>7555</v>
      </c>
      <c r="G133" s="23">
        <v>1946</v>
      </c>
      <c r="H133" s="23">
        <v>2986</v>
      </c>
      <c r="I133" s="24">
        <v>11.4</v>
      </c>
      <c r="J133" s="24">
        <v>305.8</v>
      </c>
      <c r="K133" s="22">
        <v>7087</v>
      </c>
      <c r="L133" s="22">
        <v>25791</v>
      </c>
      <c r="M133" s="22">
        <v>8801</v>
      </c>
      <c r="N133" s="22">
        <v>3238</v>
      </c>
      <c r="O133" s="25">
        <v>3900.35</v>
      </c>
      <c r="P133" s="24">
        <v>94</v>
      </c>
      <c r="Q133" s="22">
        <v>2634</v>
      </c>
      <c r="R133" s="23">
        <v>50</v>
      </c>
      <c r="U133" s="19">
        <v>108</v>
      </c>
      <c r="V133" s="19">
        <v>0</v>
      </c>
      <c r="W133" s="19">
        <v>10</v>
      </c>
      <c r="X133" s="19">
        <f t="shared" si="29"/>
        <v>-0.48092464429222098</v>
      </c>
      <c r="Y133" s="19">
        <f t="shared" si="30"/>
        <v>-0.32231319459124735</v>
      </c>
      <c r="Z133" s="19">
        <f t="shared" si="31"/>
        <v>0.24210664050929218</v>
      </c>
      <c r="AA133" s="19">
        <f t="shared" si="32"/>
        <v>-0.64373791424121918</v>
      </c>
      <c r="AB133" s="19">
        <f t="shared" si="33"/>
        <v>-0.27449498832280722</v>
      </c>
      <c r="AC133" s="19">
        <f t="shared" si="34"/>
        <v>-0.16490851609164356</v>
      </c>
      <c r="AD133" s="19">
        <f t="shared" si="35"/>
        <v>-0.10222896893572865</v>
      </c>
      <c r="AE133" s="19">
        <f t="shared" si="36"/>
        <v>-0.56785101395917736</v>
      </c>
      <c r="AF133" s="19">
        <f t="shared" si="37"/>
        <v>-0.52337844457855509</v>
      </c>
      <c r="AG133" s="19">
        <f t="shared" si="38"/>
        <v>-0.40477818299281315</v>
      </c>
      <c r="AH133" s="19">
        <f t="shared" si="39"/>
        <v>-0.32205495216821561</v>
      </c>
      <c r="AI133" s="19">
        <f t="shared" si="40"/>
        <v>0.74592566490481516</v>
      </c>
      <c r="AJ133" s="19">
        <f t="shared" si="41"/>
        <v>0.74875105075469595</v>
      </c>
      <c r="AK133" s="19">
        <f t="shared" si="42"/>
        <v>-0.38399082966145281</v>
      </c>
      <c r="AL133" s="19">
        <f t="shared" si="43"/>
        <v>-0.37665675469230814</v>
      </c>
      <c r="BV133" s="16">
        <v>0</v>
      </c>
      <c r="BW133" s="18">
        <v>105</v>
      </c>
      <c r="BX133" s="48">
        <v>-0.20254806557181931</v>
      </c>
      <c r="BY133" s="48">
        <v>6.8301968323354875E-2</v>
      </c>
      <c r="BZ133" s="18" t="e">
        <f t="shared" si="44"/>
        <v>#N/A</v>
      </c>
    </row>
    <row r="134" spans="1:78" x14ac:dyDescent="0.3">
      <c r="A134" s="19">
        <v>109</v>
      </c>
      <c r="B134" s="19">
        <v>0</v>
      </c>
      <c r="C134" s="19">
        <v>10</v>
      </c>
      <c r="D134" s="19">
        <v>80.849074566486394</v>
      </c>
      <c r="E134" s="22">
        <v>30872</v>
      </c>
      <c r="F134" s="22">
        <v>9444</v>
      </c>
      <c r="G134" s="23">
        <v>9469</v>
      </c>
      <c r="H134" s="23">
        <v>11959</v>
      </c>
      <c r="I134" s="24">
        <v>11.2</v>
      </c>
      <c r="J134" s="24">
        <v>368.5</v>
      </c>
      <c r="K134" s="22">
        <v>19851</v>
      </c>
      <c r="L134" s="22">
        <v>71062</v>
      </c>
      <c r="M134" s="22">
        <v>24212</v>
      </c>
      <c r="N134" s="22">
        <v>8971</v>
      </c>
      <c r="O134" s="25">
        <v>3088.13</v>
      </c>
      <c r="P134" s="24">
        <v>74.400000000000006</v>
      </c>
      <c r="Q134" s="22">
        <v>13162</v>
      </c>
      <c r="R134" s="23">
        <v>232</v>
      </c>
      <c r="U134" s="19">
        <v>109</v>
      </c>
      <c r="V134" s="19">
        <v>0</v>
      </c>
      <c r="W134" s="19">
        <v>10</v>
      </c>
      <c r="X134" s="19">
        <f t="shared" si="29"/>
        <v>0.71319078796452307</v>
      </c>
      <c r="Y134" s="19">
        <f t="shared" si="30"/>
        <v>2.2219321804791893E-2</v>
      </c>
      <c r="Z134" s="19">
        <f t="shared" si="31"/>
        <v>0.58887456801140736</v>
      </c>
      <c r="AA134" s="19">
        <f t="shared" si="32"/>
        <v>0.15642388737918558</v>
      </c>
      <c r="AB134" s="19">
        <f t="shared" si="33"/>
        <v>-7.6911958646651832E-2</v>
      </c>
      <c r="AC134" s="19">
        <f t="shared" si="34"/>
        <v>-0.20287594178981092</v>
      </c>
      <c r="AD134" s="19">
        <f t="shared" si="35"/>
        <v>-5.4426321539035385E-2</v>
      </c>
      <c r="AE134" s="19">
        <f t="shared" si="36"/>
        <v>8.6563942084973103E-2</v>
      </c>
      <c r="AF134" s="19">
        <f t="shared" si="37"/>
        <v>0.1106118468251944</v>
      </c>
      <c r="AG134" s="19">
        <f t="shared" si="38"/>
        <v>0.16111170772752276</v>
      </c>
      <c r="AH134" s="19">
        <f t="shared" si="39"/>
        <v>-8.4497321530558667E-2</v>
      </c>
      <c r="AI134" s="19">
        <f t="shared" si="40"/>
        <v>-0.90041039768612763</v>
      </c>
      <c r="AJ134" s="19">
        <f t="shared" si="41"/>
        <v>-0.90028136571609607</v>
      </c>
      <c r="AK134" s="19">
        <f t="shared" si="42"/>
        <v>-0.14795096082755163</v>
      </c>
      <c r="AL134" s="19">
        <f t="shared" si="43"/>
        <v>-0.2770339081693351</v>
      </c>
      <c r="BV134" s="16">
        <v>0</v>
      </c>
      <c r="BW134" s="18">
        <v>106</v>
      </c>
      <c r="BX134" s="48">
        <v>1.0811233269410208</v>
      </c>
      <c r="BY134" s="48">
        <v>-6.6450547479253191E-2</v>
      </c>
      <c r="BZ134" s="18" t="e">
        <f t="shared" si="44"/>
        <v>#N/A</v>
      </c>
    </row>
    <row r="135" spans="1:78" x14ac:dyDescent="0.3">
      <c r="A135" s="19">
        <v>110</v>
      </c>
      <c r="B135" s="19">
        <v>0</v>
      </c>
      <c r="C135" s="19">
        <v>10</v>
      </c>
      <c r="D135" s="19">
        <v>66.334114362170396</v>
      </c>
      <c r="E135" s="22">
        <v>16633</v>
      </c>
      <c r="F135" s="22">
        <v>8425</v>
      </c>
      <c r="G135" s="23">
        <v>2674</v>
      </c>
      <c r="H135" s="23">
        <v>5534</v>
      </c>
      <c r="I135" s="24">
        <v>6.7</v>
      </c>
      <c r="J135" s="24">
        <v>123.9</v>
      </c>
      <c r="K135" s="22">
        <v>9145</v>
      </c>
      <c r="L135" s="22">
        <v>30565</v>
      </c>
      <c r="M135" s="22">
        <v>9529</v>
      </c>
      <c r="N135" s="22">
        <v>4016</v>
      </c>
      <c r="O135" s="25">
        <v>3304.09</v>
      </c>
      <c r="P135" s="24">
        <v>79.599999999999994</v>
      </c>
      <c r="Q135" s="22">
        <v>3682</v>
      </c>
      <c r="R135" s="23">
        <v>710</v>
      </c>
      <c r="U135" s="19">
        <v>110</v>
      </c>
      <c r="V135" s="19">
        <v>0</v>
      </c>
      <c r="W135" s="19">
        <v>10</v>
      </c>
      <c r="X135" s="19">
        <f t="shared" si="29"/>
        <v>0.26403548561000173</v>
      </c>
      <c r="Y135" s="19">
        <f t="shared" si="30"/>
        <v>-0.24461769211760151</v>
      </c>
      <c r="Z135" s="19">
        <f t="shared" si="31"/>
        <v>0.40181447371566603</v>
      </c>
      <c r="AA135" s="19">
        <f t="shared" si="32"/>
        <v>-0.56630633221547744</v>
      </c>
      <c r="AB135" s="19">
        <f t="shared" si="33"/>
        <v>-0.21838871844485738</v>
      </c>
      <c r="AC135" s="19">
        <f t="shared" si="34"/>
        <v>-1.0571430199985719</v>
      </c>
      <c r="AD135" s="19">
        <f t="shared" si="35"/>
        <v>-0.24091001457302544</v>
      </c>
      <c r="AE135" s="19">
        <f t="shared" si="36"/>
        <v>-0.46233660001849564</v>
      </c>
      <c r="AF135" s="19">
        <f t="shared" si="37"/>
        <v>-0.45652174489969888</v>
      </c>
      <c r="AG135" s="19">
        <f t="shared" si="38"/>
        <v>-0.37804611885392508</v>
      </c>
      <c r="AH135" s="19">
        <f t="shared" si="39"/>
        <v>-0.2898170598542269</v>
      </c>
      <c r="AI135" s="19">
        <f t="shared" si="40"/>
        <v>-0.4626684853013795</v>
      </c>
      <c r="AJ135" s="19">
        <f t="shared" si="41"/>
        <v>-0.46278296950956022</v>
      </c>
      <c r="AK135" s="19">
        <f t="shared" si="42"/>
        <v>-0.36049445973953714</v>
      </c>
      <c r="AL135" s="19">
        <f t="shared" si="43"/>
        <v>-1.538709147713125E-2</v>
      </c>
      <c r="BV135" s="16">
        <v>0</v>
      </c>
      <c r="BW135" s="18">
        <v>107</v>
      </c>
      <c r="BX135" s="48">
        <v>0.93480807769532115</v>
      </c>
      <c r="BY135" s="48">
        <v>-1.2930848053770141</v>
      </c>
      <c r="BZ135" s="18" t="e">
        <f t="shared" si="44"/>
        <v>#N/A</v>
      </c>
    </row>
    <row r="136" spans="1:78" x14ac:dyDescent="0.3">
      <c r="A136" s="19">
        <v>111</v>
      </c>
      <c r="B136" s="19">
        <v>0</v>
      </c>
      <c r="C136" s="19">
        <v>10</v>
      </c>
      <c r="D136" s="19">
        <v>64.509778510082299</v>
      </c>
      <c r="E136" s="22">
        <v>38846</v>
      </c>
      <c r="F136" s="22">
        <v>18829</v>
      </c>
      <c r="G136" s="23">
        <v>6970</v>
      </c>
      <c r="H136" s="23">
        <v>13047</v>
      </c>
      <c r="I136" s="24">
        <v>10.6</v>
      </c>
      <c r="J136" s="24">
        <v>193</v>
      </c>
      <c r="K136" s="22">
        <v>21462</v>
      </c>
      <c r="L136" s="22">
        <v>74332</v>
      </c>
      <c r="M136" s="22">
        <v>23474</v>
      </c>
      <c r="N136" s="22">
        <v>9014</v>
      </c>
      <c r="O136" s="25">
        <v>3297.51</v>
      </c>
      <c r="P136" s="24">
        <v>79.400000000000006</v>
      </c>
      <c r="Q136" s="22">
        <v>33484</v>
      </c>
      <c r="R136" s="23">
        <v>312</v>
      </c>
      <c r="U136" s="19">
        <v>111</v>
      </c>
      <c r="V136" s="19">
        <v>0</v>
      </c>
      <c r="W136" s="19">
        <v>10</v>
      </c>
      <c r="X136" s="19">
        <f t="shared" si="29"/>
        <v>0.20758268727596479</v>
      </c>
      <c r="Y136" s="19">
        <f t="shared" si="30"/>
        <v>0.17165104798058831</v>
      </c>
      <c r="Z136" s="19">
        <f t="shared" si="31"/>
        <v>2.3116998721974062</v>
      </c>
      <c r="AA136" s="19">
        <f t="shared" si="32"/>
        <v>-0.10937490861302383</v>
      </c>
      <c r="AB136" s="19">
        <f t="shared" si="33"/>
        <v>-5.2954493329850645E-2</v>
      </c>
      <c r="AC136" s="19">
        <f t="shared" si="34"/>
        <v>-0.31677821888431235</v>
      </c>
      <c r="AD136" s="19">
        <f t="shared" si="35"/>
        <v>-0.18822799008958835</v>
      </c>
      <c r="AE136" s="19">
        <f t="shared" si="36"/>
        <v>0.16916050226885954</v>
      </c>
      <c r="AF136" s="19">
        <f t="shared" si="37"/>
        <v>0.15640602528138625</v>
      </c>
      <c r="AG136" s="19">
        <f t="shared" si="38"/>
        <v>0.13401244490540817</v>
      </c>
      <c r="AH136" s="19">
        <f t="shared" si="39"/>
        <v>-8.2715535708577287E-2</v>
      </c>
      <c r="AI136" s="19">
        <f t="shared" si="40"/>
        <v>-0.47600587085190554</v>
      </c>
      <c r="AJ136" s="19">
        <f t="shared" si="41"/>
        <v>-0.47960983090211839</v>
      </c>
      <c r="AK136" s="19">
        <f t="shared" si="42"/>
        <v>0.30767234981478692</v>
      </c>
      <c r="AL136" s="19">
        <f t="shared" si="43"/>
        <v>-0.23324364596143488</v>
      </c>
      <c r="BV136" s="16">
        <v>0</v>
      </c>
      <c r="BW136" s="18">
        <v>108</v>
      </c>
      <c r="BX136" s="48">
        <v>0.81156890823113592</v>
      </c>
      <c r="BY136" s="48">
        <v>1.1400372292145533</v>
      </c>
      <c r="BZ136" s="18" t="e">
        <f t="shared" si="44"/>
        <v>#N/A</v>
      </c>
    </row>
    <row r="137" spans="1:78" x14ac:dyDescent="0.3">
      <c r="A137" s="19">
        <v>112</v>
      </c>
      <c r="B137" s="19">
        <v>0</v>
      </c>
      <c r="C137" s="19">
        <v>10</v>
      </c>
      <c r="D137" s="19">
        <v>50.865681939487999</v>
      </c>
      <c r="E137" s="22">
        <v>12518</v>
      </c>
      <c r="F137" s="22">
        <v>8841</v>
      </c>
      <c r="G137" s="23">
        <v>1791</v>
      </c>
      <c r="H137" s="23">
        <v>1886</v>
      </c>
      <c r="I137" s="24">
        <v>6.5</v>
      </c>
      <c r="J137" s="24">
        <v>87.4</v>
      </c>
      <c r="K137" s="22">
        <v>7386</v>
      </c>
      <c r="L137" s="22">
        <v>23294</v>
      </c>
      <c r="M137" s="22">
        <v>7497</v>
      </c>
      <c r="N137" s="22">
        <v>2419</v>
      </c>
      <c r="O137" s="25">
        <v>3301.35</v>
      </c>
      <c r="P137" s="24">
        <v>79.5</v>
      </c>
      <c r="Q137" s="22">
        <v>0</v>
      </c>
      <c r="R137" s="23">
        <v>278</v>
      </c>
      <c r="U137" s="19">
        <v>112</v>
      </c>
      <c r="V137" s="19">
        <v>0</v>
      </c>
      <c r="W137" s="19">
        <v>10</v>
      </c>
      <c r="X137" s="19">
        <f t="shared" si="29"/>
        <v>-0.21462434837938105</v>
      </c>
      <c r="Y137" s="19">
        <f t="shared" si="30"/>
        <v>-0.3217322586103783</v>
      </c>
      <c r="Z137" s="19">
        <f t="shared" si="31"/>
        <v>0.47818051809940343</v>
      </c>
      <c r="AA137" s="19">
        <f t="shared" si="32"/>
        <v>-0.66022403404065588</v>
      </c>
      <c r="AB137" s="19">
        <f t="shared" si="33"/>
        <v>-0.29871669038942605</v>
      </c>
      <c r="AC137" s="19">
        <f t="shared" si="34"/>
        <v>-1.0951104456967389</v>
      </c>
      <c r="AD137" s="19">
        <f t="shared" si="35"/>
        <v>-0.26873771202086122</v>
      </c>
      <c r="AE137" s="19">
        <f t="shared" si="36"/>
        <v>-0.55252117442163418</v>
      </c>
      <c r="AF137" s="19">
        <f t="shared" si="37"/>
        <v>-0.55834727136910889</v>
      </c>
      <c r="AG137" s="19">
        <f t="shared" si="38"/>
        <v>-0.45266089128554682</v>
      </c>
      <c r="AH137" s="19">
        <f t="shared" si="39"/>
        <v>-0.35599175654502374</v>
      </c>
      <c r="AI137" s="19">
        <f t="shared" si="40"/>
        <v>-0.46822235101694865</v>
      </c>
      <c r="AJ137" s="19">
        <f t="shared" si="41"/>
        <v>-0.47119640020583931</v>
      </c>
      <c r="AK137" s="19">
        <f t="shared" si="42"/>
        <v>-0.44304563727054247</v>
      </c>
      <c r="AL137" s="19">
        <f t="shared" si="43"/>
        <v>-0.25185450739979248</v>
      </c>
      <c r="BV137" s="16">
        <v>0</v>
      </c>
      <c r="BW137" s="18">
        <v>109</v>
      </c>
      <c r="BX137" s="48">
        <v>0.31086355007531158</v>
      </c>
      <c r="BY137" s="48">
        <v>-1.3400106427676146</v>
      </c>
      <c r="BZ137" s="18" t="e">
        <f t="shared" si="44"/>
        <v>#N/A</v>
      </c>
    </row>
    <row r="138" spans="1:78" x14ac:dyDescent="0.3">
      <c r="A138" s="19">
        <v>113</v>
      </c>
      <c r="B138" s="19">
        <v>0</v>
      </c>
      <c r="C138" s="19">
        <v>10</v>
      </c>
      <c r="D138" s="19">
        <v>45.067881361880403</v>
      </c>
      <c r="E138" s="22">
        <v>31998</v>
      </c>
      <c r="F138" s="22">
        <v>9307</v>
      </c>
      <c r="G138" s="23">
        <v>9490</v>
      </c>
      <c r="H138" s="23">
        <v>13201</v>
      </c>
      <c r="I138" s="24">
        <v>11.6</v>
      </c>
      <c r="J138" s="24">
        <v>410.5</v>
      </c>
      <c r="K138" s="22">
        <v>21340</v>
      </c>
      <c r="L138" s="22">
        <v>72133</v>
      </c>
      <c r="M138" s="22">
        <v>25198</v>
      </c>
      <c r="N138" s="22">
        <v>9294</v>
      </c>
      <c r="O138" s="25">
        <v>3258.86</v>
      </c>
      <c r="P138" s="24">
        <v>78.5</v>
      </c>
      <c r="Q138" s="22">
        <v>8769</v>
      </c>
      <c r="R138" s="23">
        <v>543</v>
      </c>
      <c r="U138" s="19">
        <v>113</v>
      </c>
      <c r="V138" s="19">
        <v>0</v>
      </c>
      <c r="W138" s="19">
        <v>10</v>
      </c>
      <c r="X138" s="19">
        <f t="shared" si="29"/>
        <v>-0.39403323650380251</v>
      </c>
      <c r="Y138" s="19">
        <f t="shared" si="30"/>
        <v>4.3320415819583312E-2</v>
      </c>
      <c r="Z138" s="19">
        <f t="shared" si="31"/>
        <v>0.5637251735869554</v>
      </c>
      <c r="AA138" s="19">
        <f t="shared" si="32"/>
        <v>0.1586574907068512</v>
      </c>
      <c r="AB138" s="19">
        <f t="shared" si="33"/>
        <v>-4.9563455040524007E-2</v>
      </c>
      <c r="AC138" s="19">
        <f t="shared" si="34"/>
        <v>-0.12694109039347654</v>
      </c>
      <c r="AD138" s="19">
        <f t="shared" si="35"/>
        <v>-2.2405409407279125E-2</v>
      </c>
      <c r="AE138" s="19">
        <f t="shared" si="36"/>
        <v>0.16290551757461114</v>
      </c>
      <c r="AF138" s="19">
        <f t="shared" si="37"/>
        <v>0.12561049059479118</v>
      </c>
      <c r="AG138" s="19">
        <f t="shared" si="38"/>
        <v>0.19731749789365419</v>
      </c>
      <c r="AH138" s="19">
        <f t="shared" si="39"/>
        <v>-7.1113209425907833E-2</v>
      </c>
      <c r="AI138" s="19">
        <f t="shared" si="40"/>
        <v>-0.55434780877406964</v>
      </c>
      <c r="AJ138" s="19">
        <f t="shared" si="41"/>
        <v>-0.55533070716863486</v>
      </c>
      <c r="AK138" s="19">
        <f t="shared" si="42"/>
        <v>-0.24644290077695588</v>
      </c>
      <c r="AL138" s="19">
        <f t="shared" si="43"/>
        <v>-0.10679926383612298</v>
      </c>
      <c r="BV138" s="16">
        <v>0</v>
      </c>
      <c r="BW138" s="18">
        <v>110</v>
      </c>
      <c r="BX138" s="48">
        <v>1.0879849165041495</v>
      </c>
      <c r="BY138" s="48">
        <v>-0.13920846079489418</v>
      </c>
      <c r="BZ138" s="18" t="e">
        <f t="shared" si="44"/>
        <v>#N/A</v>
      </c>
    </row>
    <row r="139" spans="1:78" x14ac:dyDescent="0.3">
      <c r="A139" s="19">
        <v>114</v>
      </c>
      <c r="B139" s="19">
        <v>0</v>
      </c>
      <c r="C139" s="19">
        <v>10</v>
      </c>
      <c r="D139" s="19">
        <v>85.325989836192306</v>
      </c>
      <c r="E139" s="22">
        <v>24293</v>
      </c>
      <c r="F139" s="22">
        <v>10615</v>
      </c>
      <c r="G139" s="23">
        <v>6258</v>
      </c>
      <c r="H139" s="23">
        <v>7420</v>
      </c>
      <c r="I139" s="24">
        <v>10</v>
      </c>
      <c r="J139" s="24">
        <v>84.3</v>
      </c>
      <c r="K139" s="22">
        <v>14145</v>
      </c>
      <c r="L139" s="22">
        <v>47811</v>
      </c>
      <c r="M139" s="22">
        <v>15334</v>
      </c>
      <c r="N139" s="22">
        <v>6541</v>
      </c>
      <c r="O139" s="25">
        <v>3252.66</v>
      </c>
      <c r="P139" s="24">
        <v>78.400000000000006</v>
      </c>
      <c r="Q139" s="22">
        <v>7910</v>
      </c>
      <c r="R139" s="23">
        <v>100</v>
      </c>
      <c r="U139" s="19">
        <v>114</v>
      </c>
      <c r="V139" s="19">
        <v>0</v>
      </c>
      <c r="W139" s="19">
        <v>10</v>
      </c>
      <c r="X139" s="19">
        <f t="shared" si="29"/>
        <v>0.85172580309893697</v>
      </c>
      <c r="Y139" s="19">
        <f t="shared" si="30"/>
        <v>-0.10107028523189791</v>
      </c>
      <c r="Z139" s="19">
        <f t="shared" si="31"/>
        <v>0.80383764006274516</v>
      </c>
      <c r="AA139" s="19">
        <f t="shared" si="32"/>
        <v>-0.18510469762721074</v>
      </c>
      <c r="AB139" s="19">
        <f t="shared" si="33"/>
        <v>-0.17685950926518179</v>
      </c>
      <c r="AC139" s="19">
        <f t="shared" si="34"/>
        <v>-0.43068049597881375</v>
      </c>
      <c r="AD139" s="19">
        <f t="shared" si="35"/>
        <v>-0.27110116029725273</v>
      </c>
      <c r="AE139" s="19">
        <f t="shared" si="36"/>
        <v>-0.20598476828700454</v>
      </c>
      <c r="AF139" s="19">
        <f t="shared" si="37"/>
        <v>-0.21500296763502472</v>
      </c>
      <c r="AG139" s="19">
        <f t="shared" si="38"/>
        <v>-0.16488728324095056</v>
      </c>
      <c r="AH139" s="19">
        <f t="shared" si="39"/>
        <v>-0.1851889389122971</v>
      </c>
      <c r="AI139" s="19">
        <f t="shared" si="40"/>
        <v>-0.56691495017426208</v>
      </c>
      <c r="AJ139" s="19">
        <f t="shared" si="41"/>
        <v>-0.56374413786491395</v>
      </c>
      <c r="AK139" s="19">
        <f t="shared" si="42"/>
        <v>-0.26570185284081616</v>
      </c>
      <c r="AL139" s="19">
        <f t="shared" si="43"/>
        <v>-0.34928784081237052</v>
      </c>
      <c r="BV139" s="16">
        <v>0</v>
      </c>
      <c r="BW139" s="18">
        <v>111</v>
      </c>
      <c r="BX139" s="48">
        <v>5.9354014773170836E-2</v>
      </c>
      <c r="BY139" s="48">
        <v>-1.4001608674619987</v>
      </c>
      <c r="BZ139" s="18" t="e">
        <f t="shared" si="44"/>
        <v>#N/A</v>
      </c>
    </row>
    <row r="140" spans="1:78" x14ac:dyDescent="0.3">
      <c r="A140" s="19">
        <v>115</v>
      </c>
      <c r="B140" s="19">
        <v>0</v>
      </c>
      <c r="C140" s="19">
        <v>10</v>
      </c>
      <c r="D140" s="19">
        <v>40.233120140477702</v>
      </c>
      <c r="E140" s="22">
        <v>17996</v>
      </c>
      <c r="F140" s="22">
        <v>3092</v>
      </c>
      <c r="G140" s="23">
        <v>7785</v>
      </c>
      <c r="H140" s="23">
        <v>7119</v>
      </c>
      <c r="I140" s="24">
        <v>12.6</v>
      </c>
      <c r="J140" s="24">
        <v>163.6</v>
      </c>
      <c r="K140" s="22">
        <v>12086</v>
      </c>
      <c r="L140" s="22">
        <v>41967</v>
      </c>
      <c r="M140" s="22">
        <v>13430</v>
      </c>
      <c r="N140" s="22">
        <v>6225</v>
      </c>
      <c r="O140" s="25">
        <v>3146.61</v>
      </c>
      <c r="P140" s="24">
        <v>75.8</v>
      </c>
      <c r="Q140" s="22">
        <v>8010</v>
      </c>
      <c r="R140" s="23">
        <v>450</v>
      </c>
      <c r="U140" s="19">
        <v>115</v>
      </c>
      <c r="V140" s="19">
        <v>0</v>
      </c>
      <c r="W140" s="19">
        <v>10</v>
      </c>
      <c r="X140" s="19">
        <f t="shared" si="29"/>
        <v>-0.54364154459722291</v>
      </c>
      <c r="Y140" s="19">
        <f t="shared" si="30"/>
        <v>-0.21907524882971455</v>
      </c>
      <c r="Z140" s="19">
        <f t="shared" si="31"/>
        <v>-0.57717618661719816</v>
      </c>
      <c r="AA140" s="19">
        <f t="shared" si="32"/>
        <v>-2.2689827086953142E-2</v>
      </c>
      <c r="AB140" s="19">
        <f t="shared" si="33"/>
        <v>-0.18348744773977477</v>
      </c>
      <c r="AC140" s="19">
        <f t="shared" si="34"/>
        <v>6.2896038097359247E-2</v>
      </c>
      <c r="AD140" s="19">
        <f t="shared" si="35"/>
        <v>-0.2106426285818177</v>
      </c>
      <c r="AE140" s="19">
        <f t="shared" si="36"/>
        <v>-0.31155045259403258</v>
      </c>
      <c r="AF140" s="19">
        <f t="shared" si="37"/>
        <v>-0.29684430674755835</v>
      </c>
      <c r="AG140" s="19">
        <f t="shared" si="38"/>
        <v>-0.23480191252727328</v>
      </c>
      <c r="AH140" s="19">
        <f t="shared" si="39"/>
        <v>-0.19828299285988119</v>
      </c>
      <c r="AI140" s="19">
        <f t="shared" si="40"/>
        <v>-0.78187387686625331</v>
      </c>
      <c r="AJ140" s="19">
        <f t="shared" si="41"/>
        <v>-0.78249333596818305</v>
      </c>
      <c r="AK140" s="19">
        <f t="shared" si="42"/>
        <v>-0.26345983281009905</v>
      </c>
      <c r="AL140" s="19">
        <f t="shared" si="43"/>
        <v>-0.157705443652807</v>
      </c>
      <c r="BV140" s="16">
        <v>0</v>
      </c>
      <c r="BW140" s="18">
        <v>112</v>
      </c>
      <c r="BX140" s="48">
        <v>1.2751173534924103</v>
      </c>
      <c r="BY140" s="48">
        <v>-3.7193526117617955E-2</v>
      </c>
      <c r="BZ140" s="18" t="e">
        <f t="shared" si="44"/>
        <v>#N/A</v>
      </c>
    </row>
    <row r="141" spans="1:78" x14ac:dyDescent="0.3">
      <c r="A141" s="19">
        <v>116</v>
      </c>
      <c r="B141" s="19">
        <v>0</v>
      </c>
      <c r="C141" s="19">
        <v>10</v>
      </c>
      <c r="D141" s="19">
        <v>98.352286829278995</v>
      </c>
      <c r="E141" s="22">
        <v>13752</v>
      </c>
      <c r="F141" s="22">
        <v>4983</v>
      </c>
      <c r="G141" s="23">
        <v>5319</v>
      </c>
      <c r="H141" s="23">
        <v>3450</v>
      </c>
      <c r="I141" s="24">
        <v>7.6</v>
      </c>
      <c r="J141" s="24">
        <v>84.3</v>
      </c>
      <c r="K141" s="22">
        <v>7940</v>
      </c>
      <c r="L141" s="22">
        <v>26487</v>
      </c>
      <c r="M141" s="22">
        <v>7768</v>
      </c>
      <c r="N141" s="22">
        <v>3573</v>
      </c>
      <c r="O141" s="25">
        <v>2976.04</v>
      </c>
      <c r="P141" s="24">
        <v>71.7</v>
      </c>
      <c r="Q141" s="22">
        <v>3062</v>
      </c>
      <c r="R141" s="23">
        <v>850</v>
      </c>
      <c r="U141" s="19">
        <v>116</v>
      </c>
      <c r="V141" s="19">
        <v>0</v>
      </c>
      <c r="W141" s="19">
        <v>10</v>
      </c>
      <c r="X141" s="19">
        <f t="shared" si="29"/>
        <v>1.2548154624663743</v>
      </c>
      <c r="Y141" s="19">
        <f t="shared" si="30"/>
        <v>-0.29860725859772058</v>
      </c>
      <c r="Z141" s="19">
        <f t="shared" si="31"/>
        <v>-0.23004111467093036</v>
      </c>
      <c r="AA141" s="19">
        <f t="shared" si="32"/>
        <v>-0.28497867499283086</v>
      </c>
      <c r="AB141" s="19">
        <f t="shared" si="33"/>
        <v>-0.26427783399652438</v>
      </c>
      <c r="AC141" s="19">
        <f t="shared" si="34"/>
        <v>-0.88628960435681969</v>
      </c>
      <c r="AD141" s="19">
        <f t="shared" si="35"/>
        <v>-0.27110116029725273</v>
      </c>
      <c r="AE141" s="19">
        <f t="shared" si="36"/>
        <v>-0.52411739146578495</v>
      </c>
      <c r="AF141" s="19">
        <f t="shared" si="37"/>
        <v>-0.5136314267787051</v>
      </c>
      <c r="AG141" s="19">
        <f t="shared" si="38"/>
        <v>-0.44270980697010903</v>
      </c>
      <c r="AH141" s="19">
        <f t="shared" si="39"/>
        <v>-0.30817359750859324</v>
      </c>
      <c r="AI141" s="19">
        <f t="shared" si="40"/>
        <v>-1.127612152451855</v>
      </c>
      <c r="AJ141" s="19">
        <f t="shared" si="41"/>
        <v>-1.1274439945156443</v>
      </c>
      <c r="AK141" s="19">
        <f t="shared" si="42"/>
        <v>-0.37439498392998344</v>
      </c>
      <c r="AL141" s="19">
        <f t="shared" si="43"/>
        <v>6.1245867386694151E-2</v>
      </c>
      <c r="BV141" s="16">
        <v>0</v>
      </c>
      <c r="BW141" s="18">
        <v>113</v>
      </c>
      <c r="BX141" s="48">
        <v>7.6107760629955029E-2</v>
      </c>
      <c r="BY141" s="48">
        <v>-0.77070403015880651</v>
      </c>
      <c r="BZ141" s="18" t="e">
        <f t="shared" si="44"/>
        <v>#N/A</v>
      </c>
    </row>
    <row r="142" spans="1:78" x14ac:dyDescent="0.3">
      <c r="A142" s="19">
        <v>117</v>
      </c>
      <c r="B142" s="19">
        <v>0</v>
      </c>
      <c r="C142" s="19">
        <v>10</v>
      </c>
      <c r="D142" s="19">
        <v>18.123895045288901</v>
      </c>
      <c r="E142" s="22">
        <v>39799</v>
      </c>
      <c r="F142" s="22">
        <v>6925</v>
      </c>
      <c r="G142" s="23">
        <v>14569</v>
      </c>
      <c r="H142" s="23">
        <v>18305</v>
      </c>
      <c r="I142" s="24">
        <v>12.6</v>
      </c>
      <c r="J142" s="24">
        <v>550.4</v>
      </c>
      <c r="K142" s="22">
        <v>28334</v>
      </c>
      <c r="L142" s="22">
        <v>101613</v>
      </c>
      <c r="M142" s="22">
        <v>35183</v>
      </c>
      <c r="N142" s="22">
        <v>15892</v>
      </c>
      <c r="O142" s="25">
        <v>3573.69</v>
      </c>
      <c r="P142" s="24">
        <v>86.1</v>
      </c>
      <c r="Q142" s="22">
        <v>12886</v>
      </c>
      <c r="R142" s="23">
        <v>0</v>
      </c>
      <c r="U142" s="19">
        <v>117</v>
      </c>
      <c r="V142" s="19">
        <v>0</v>
      </c>
      <c r="W142" s="19">
        <v>10</v>
      </c>
      <c r="X142" s="19">
        <f t="shared" si="29"/>
        <v>-1.2277960681143381</v>
      </c>
      <c r="Y142" s="19">
        <f t="shared" si="30"/>
        <v>0.18951014442472347</v>
      </c>
      <c r="Z142" s="19">
        <f t="shared" si="31"/>
        <v>0.12645614060122834</v>
      </c>
      <c r="AA142" s="19">
        <f t="shared" si="32"/>
        <v>0.698870409812266</v>
      </c>
      <c r="AB142" s="19">
        <f t="shared" si="33"/>
        <v>6.2825242548587457E-2</v>
      </c>
      <c r="AC142" s="19">
        <f t="shared" si="34"/>
        <v>6.2896038097359247E-2</v>
      </c>
      <c r="AD142" s="19">
        <f t="shared" si="35"/>
        <v>8.425472409826136E-2</v>
      </c>
      <c r="AE142" s="19">
        <f t="shared" si="36"/>
        <v>0.52149045980062092</v>
      </c>
      <c r="AF142" s="19">
        <f t="shared" si="37"/>
        <v>0.53845831349648399</v>
      </c>
      <c r="AG142" s="19">
        <f t="shared" si="38"/>
        <v>0.56396538309529942</v>
      </c>
      <c r="AH142" s="19">
        <f t="shared" si="39"/>
        <v>0.20228732204928151</v>
      </c>
      <c r="AI142" s="19">
        <f t="shared" si="40"/>
        <v>8.3799469777931734E-2</v>
      </c>
      <c r="AJ142" s="19">
        <f t="shared" si="41"/>
        <v>8.4090025748610728E-2</v>
      </c>
      <c r="AK142" s="19">
        <f t="shared" si="42"/>
        <v>-0.15413893611233095</v>
      </c>
      <c r="AL142" s="19">
        <f t="shared" si="43"/>
        <v>-0.40402566857224581</v>
      </c>
      <c r="BV142" s="16">
        <v>0</v>
      </c>
      <c r="BW142" s="18">
        <v>114</v>
      </c>
      <c r="BX142" s="48">
        <v>0.79696588527104639</v>
      </c>
      <c r="BY142" s="48">
        <v>-0.84262570055105002</v>
      </c>
      <c r="BZ142" s="18" t="e">
        <f t="shared" si="44"/>
        <v>#N/A</v>
      </c>
    </row>
    <row r="143" spans="1:78" x14ac:dyDescent="0.3">
      <c r="A143" s="19">
        <v>118</v>
      </c>
      <c r="B143" s="19">
        <v>0</v>
      </c>
      <c r="C143" s="19">
        <v>10</v>
      </c>
      <c r="D143" s="19">
        <v>26.0993196357011</v>
      </c>
      <c r="E143" s="22">
        <v>7732</v>
      </c>
      <c r="F143" s="22">
        <v>3601</v>
      </c>
      <c r="G143" s="23">
        <v>1297</v>
      </c>
      <c r="H143" s="23">
        <v>2834</v>
      </c>
      <c r="I143" s="24">
        <v>12.5</v>
      </c>
      <c r="J143" s="24">
        <v>34.700000000000003</v>
      </c>
      <c r="K143" s="22">
        <v>5484</v>
      </c>
      <c r="L143" s="22">
        <v>19174</v>
      </c>
      <c r="M143" s="22">
        <v>6275</v>
      </c>
      <c r="N143" s="22">
        <v>2757</v>
      </c>
      <c r="O143" s="25">
        <v>2748.42</v>
      </c>
      <c r="P143" s="24">
        <v>66.2</v>
      </c>
      <c r="Q143" s="22">
        <v>2815</v>
      </c>
      <c r="R143" s="23">
        <v>112</v>
      </c>
      <c r="U143" s="19">
        <v>118</v>
      </c>
      <c r="V143" s="19">
        <v>0</v>
      </c>
      <c r="W143" s="19">
        <v>10</v>
      </c>
      <c r="X143" s="19">
        <f t="shared" si="29"/>
        <v>-0.98100212635436579</v>
      </c>
      <c r="Y143" s="19">
        <f t="shared" si="30"/>
        <v>-0.41142127810841711</v>
      </c>
      <c r="Z143" s="19">
        <f t="shared" si="31"/>
        <v>-0.48373792558036566</v>
      </c>
      <c r="AA143" s="19">
        <f t="shared" si="32"/>
        <v>-0.71276689327240916</v>
      </c>
      <c r="AB143" s="19">
        <f t="shared" si="33"/>
        <v>-0.2778419871538309</v>
      </c>
      <c r="AC143" s="19">
        <f t="shared" si="34"/>
        <v>4.3912325248275742E-2</v>
      </c>
      <c r="AD143" s="19">
        <f t="shared" si="35"/>
        <v>-0.30891633271951729</v>
      </c>
      <c r="AE143" s="19">
        <f t="shared" si="36"/>
        <v>-0.65003741121229341</v>
      </c>
      <c r="AF143" s="19">
        <f t="shared" si="37"/>
        <v>-0.61604513535672678</v>
      </c>
      <c r="AG143" s="19">
        <f t="shared" si="38"/>
        <v>-0.49753257037582327</v>
      </c>
      <c r="AH143" s="19">
        <f t="shared" si="39"/>
        <v>-0.34198609124665846</v>
      </c>
      <c r="AI143" s="19">
        <f t="shared" si="40"/>
        <v>-1.5889883985021251</v>
      </c>
      <c r="AJ143" s="19">
        <f t="shared" si="41"/>
        <v>-1.5901826828110197</v>
      </c>
      <c r="AK143" s="19">
        <f t="shared" si="42"/>
        <v>-0.3799327734058548</v>
      </c>
      <c r="AL143" s="19">
        <f t="shared" si="43"/>
        <v>-0.34271930148118546</v>
      </c>
      <c r="BV143" s="16">
        <v>0</v>
      </c>
      <c r="BW143" s="18">
        <v>115</v>
      </c>
      <c r="BX143" s="48">
        <v>0.85142113785210194</v>
      </c>
      <c r="BY143" s="48">
        <v>-0.3917610958014211</v>
      </c>
      <c r="BZ143" s="18" t="e">
        <f t="shared" si="44"/>
        <v>#N/A</v>
      </c>
    </row>
    <row r="144" spans="1:78" x14ac:dyDescent="0.3">
      <c r="A144" s="19">
        <v>119</v>
      </c>
      <c r="B144" s="19">
        <v>1</v>
      </c>
      <c r="C144" s="19">
        <v>10</v>
      </c>
      <c r="D144" s="19">
        <v>0</v>
      </c>
      <c r="E144" s="22">
        <v>233993</v>
      </c>
      <c r="F144" s="22">
        <v>1996</v>
      </c>
      <c r="G144" s="23">
        <v>58661</v>
      </c>
      <c r="H144" s="23">
        <v>173336</v>
      </c>
      <c r="I144" s="24">
        <v>9.5</v>
      </c>
      <c r="J144" s="24">
        <v>3584</v>
      </c>
      <c r="K144" s="22">
        <v>100175</v>
      </c>
      <c r="L144" s="22">
        <v>419804</v>
      </c>
      <c r="M144" s="22">
        <v>181003</v>
      </c>
      <c r="N144" s="22">
        <v>92202</v>
      </c>
      <c r="O144" s="25">
        <v>4047.78</v>
      </c>
      <c r="P144" s="24">
        <v>97.5</v>
      </c>
      <c r="Q144" s="22">
        <v>91504</v>
      </c>
      <c r="R144" s="23">
        <v>0</v>
      </c>
      <c r="U144" s="19">
        <v>119</v>
      </c>
      <c r="V144" s="19">
        <v>1</v>
      </c>
      <c r="W144" s="19">
        <v>10</v>
      </c>
      <c r="X144" s="19">
        <f t="shared" si="29"/>
        <v>-1.7886273376680637</v>
      </c>
      <c r="Y144" s="19">
        <f t="shared" si="30"/>
        <v>3.8286805272918674</v>
      </c>
      <c r="Z144" s="19">
        <f t="shared" si="31"/>
        <v>-0.77837134201281399</v>
      </c>
      <c r="AA144" s="19">
        <f t="shared" si="32"/>
        <v>5.3885865014043013</v>
      </c>
      <c r="AB144" s="19">
        <f t="shared" si="33"/>
        <v>3.4765658726303932</v>
      </c>
      <c r="AC144" s="19">
        <f t="shared" si="34"/>
        <v>-0.52559906022423164</v>
      </c>
      <c r="AD144" s="19">
        <f t="shared" si="35"/>
        <v>2.397079463214828</v>
      </c>
      <c r="AE144" s="19">
        <f t="shared" si="36"/>
        <v>4.2048048484850318</v>
      </c>
      <c r="AF144" s="19">
        <f t="shared" si="37"/>
        <v>4.9945119640023368</v>
      </c>
      <c r="AG144" s="19">
        <f t="shared" si="38"/>
        <v>5.9184565819039028</v>
      </c>
      <c r="AH144" s="19">
        <f t="shared" si="39"/>
        <v>3.364335602872516</v>
      </c>
      <c r="AI144" s="19">
        <f t="shared" si="40"/>
        <v>1.0447601256516366</v>
      </c>
      <c r="AJ144" s="19">
        <f t="shared" si="41"/>
        <v>1.0432211251244803</v>
      </c>
      <c r="AK144" s="19">
        <f t="shared" si="42"/>
        <v>1.6084923716368755</v>
      </c>
      <c r="AL144" s="19">
        <f t="shared" si="43"/>
        <v>-0.40402566857224581</v>
      </c>
      <c r="BV144" s="16">
        <v>0</v>
      </c>
      <c r="BW144" s="18">
        <v>116</v>
      </c>
      <c r="BX144" s="48">
        <v>1.4225902583612093</v>
      </c>
      <c r="BY144" s="48">
        <v>-0.8254214253349027</v>
      </c>
      <c r="BZ144" s="18" t="e">
        <f t="shared" si="44"/>
        <v>#N/A</v>
      </c>
    </row>
    <row r="145" spans="1:78" x14ac:dyDescent="0.3">
      <c r="A145" s="19">
        <v>120</v>
      </c>
      <c r="B145" s="19">
        <v>0</v>
      </c>
      <c r="C145" s="19">
        <v>8</v>
      </c>
      <c r="D145" s="19">
        <v>51.0143708623512</v>
      </c>
      <c r="E145" s="22">
        <v>23298</v>
      </c>
      <c r="F145" s="22">
        <v>3372</v>
      </c>
      <c r="G145" s="23">
        <v>10111</v>
      </c>
      <c r="H145" s="23">
        <v>9815</v>
      </c>
      <c r="I145" s="24">
        <v>9.6999999999999993</v>
      </c>
      <c r="J145" s="24">
        <v>284.7</v>
      </c>
      <c r="K145" s="22">
        <v>17508</v>
      </c>
      <c r="L145" s="22">
        <v>62539</v>
      </c>
      <c r="M145" s="22">
        <v>18113</v>
      </c>
      <c r="N145" s="22">
        <v>9500</v>
      </c>
      <c r="O145" s="25">
        <v>3712.82</v>
      </c>
      <c r="P145" s="24">
        <v>89.4</v>
      </c>
      <c r="Q145" s="22">
        <v>10806</v>
      </c>
      <c r="R145" s="23">
        <v>25</v>
      </c>
      <c r="U145" s="19">
        <v>120</v>
      </c>
      <c r="V145" s="19">
        <v>0</v>
      </c>
      <c r="W145" s="19">
        <v>8</v>
      </c>
      <c r="X145" s="19">
        <f t="shared" si="29"/>
        <v>-0.21002327354587716</v>
      </c>
      <c r="Y145" s="19">
        <f t="shared" si="30"/>
        <v>-0.11971645623075888</v>
      </c>
      <c r="Z145" s="19">
        <f t="shared" si="31"/>
        <v>-0.52577596443583652</v>
      </c>
      <c r="AA145" s="19">
        <f t="shared" si="32"/>
        <v>0.22470833196782039</v>
      </c>
      <c r="AB145" s="19">
        <f t="shared" si="33"/>
        <v>-0.12412225794740711</v>
      </c>
      <c r="AC145" s="19">
        <f t="shared" si="34"/>
        <v>-0.48763163452606462</v>
      </c>
      <c r="AD145" s="19">
        <f t="shared" si="35"/>
        <v>-0.11831566526858717</v>
      </c>
      <c r="AE145" s="19">
        <f t="shared" si="36"/>
        <v>-3.3562526264403633E-2</v>
      </c>
      <c r="AF145" s="19">
        <f t="shared" si="37"/>
        <v>-8.7471082152102003E-3</v>
      </c>
      <c r="AG145" s="19">
        <f t="shared" si="38"/>
        <v>-6.2842769172310395E-2</v>
      </c>
      <c r="AH145" s="19">
        <f t="shared" si="39"/>
        <v>-6.2577212232229604E-2</v>
      </c>
      <c r="AI145" s="19">
        <f t="shared" si="40"/>
        <v>0.36581017671481841</v>
      </c>
      <c r="AJ145" s="19">
        <f t="shared" si="41"/>
        <v>0.36173323872583696</v>
      </c>
      <c r="AK145" s="19">
        <f t="shared" si="42"/>
        <v>-0.2007729527512476</v>
      </c>
      <c r="AL145" s="19">
        <f t="shared" si="43"/>
        <v>-0.39034121163227697</v>
      </c>
      <c r="BV145" s="16">
        <v>0</v>
      </c>
      <c r="BW145" s="18">
        <v>117</v>
      </c>
      <c r="BX145" s="48">
        <v>-0.97152884968160691</v>
      </c>
      <c r="BY145" s="48">
        <v>-3.0641900790401848E-2</v>
      </c>
      <c r="BZ145" s="18" t="e">
        <f t="shared" si="44"/>
        <v>#N/A</v>
      </c>
    </row>
    <row r="146" spans="1:78" x14ac:dyDescent="0.3">
      <c r="A146" s="19">
        <v>121</v>
      </c>
      <c r="B146" s="19">
        <v>0</v>
      </c>
      <c r="C146" s="19">
        <v>8</v>
      </c>
      <c r="D146" s="19">
        <v>44.6627508780781</v>
      </c>
      <c r="E146" s="22">
        <v>9083</v>
      </c>
      <c r="F146" s="22">
        <v>2778</v>
      </c>
      <c r="G146" s="23">
        <v>2751</v>
      </c>
      <c r="H146" s="23">
        <v>3554</v>
      </c>
      <c r="I146" s="24">
        <v>12.1</v>
      </c>
      <c r="J146" s="24">
        <v>155.5</v>
      </c>
      <c r="K146" s="22">
        <v>7763</v>
      </c>
      <c r="L146" s="22">
        <v>24733</v>
      </c>
      <c r="M146" s="22">
        <v>6801</v>
      </c>
      <c r="N146" s="22">
        <v>3493</v>
      </c>
      <c r="O146" s="25">
        <v>3233.14</v>
      </c>
      <c r="P146" s="24">
        <v>77.900000000000006</v>
      </c>
      <c r="Q146" s="22">
        <v>4300</v>
      </c>
      <c r="R146" s="23">
        <v>0</v>
      </c>
      <c r="U146" s="19">
        <v>121</v>
      </c>
      <c r="V146" s="19">
        <v>0</v>
      </c>
      <c r="W146" s="19">
        <v>8</v>
      </c>
      <c r="X146" s="19">
        <f t="shared" si="29"/>
        <v>-0.40656971627252758</v>
      </c>
      <c r="Y146" s="19">
        <f t="shared" si="30"/>
        <v>-0.38610371326473752</v>
      </c>
      <c r="Z146" s="19">
        <f t="shared" si="31"/>
        <v>-0.63481786434915377</v>
      </c>
      <c r="AA146" s="19">
        <f t="shared" si="32"/>
        <v>-0.55811645334737015</v>
      </c>
      <c r="AB146" s="19">
        <f t="shared" si="33"/>
        <v>-0.26198778216477131</v>
      </c>
      <c r="AC146" s="19">
        <f t="shared" si="34"/>
        <v>-3.2022526148058644E-2</v>
      </c>
      <c r="AD146" s="19">
        <f t="shared" si="35"/>
        <v>-0.21681809020722786</v>
      </c>
      <c r="AE146" s="19">
        <f t="shared" si="36"/>
        <v>-0.5331922463090798</v>
      </c>
      <c r="AF146" s="19">
        <f t="shared" si="37"/>
        <v>-0.53819503198120067</v>
      </c>
      <c r="AG146" s="19">
        <f t="shared" si="38"/>
        <v>-0.47821791963811017</v>
      </c>
      <c r="AH146" s="19">
        <f t="shared" si="39"/>
        <v>-0.31148854787507019</v>
      </c>
      <c r="AI146" s="19">
        <f t="shared" si="40"/>
        <v>-0.60648117600196294</v>
      </c>
      <c r="AJ146" s="19">
        <f t="shared" si="41"/>
        <v>-0.60581129134631162</v>
      </c>
      <c r="AK146" s="19">
        <f t="shared" si="42"/>
        <v>-0.34663877594970516</v>
      </c>
      <c r="AL146" s="19">
        <f t="shared" si="43"/>
        <v>-0.40402566857224581</v>
      </c>
      <c r="BV146" s="16">
        <v>0</v>
      </c>
      <c r="BW146" s="18">
        <v>118</v>
      </c>
      <c r="BX146" s="48">
        <v>1.8263531635581522</v>
      </c>
      <c r="BY146" s="48">
        <v>-1.1039851100666556</v>
      </c>
      <c r="BZ146" s="18" t="e">
        <f t="shared" si="44"/>
        <v>#N/A</v>
      </c>
    </row>
    <row r="147" spans="1:78" x14ac:dyDescent="0.3">
      <c r="A147" s="19">
        <v>122</v>
      </c>
      <c r="B147" s="19">
        <v>1</v>
      </c>
      <c r="C147" s="19">
        <v>8</v>
      </c>
      <c r="D147" s="19">
        <v>0</v>
      </c>
      <c r="E147" s="22">
        <v>43208</v>
      </c>
      <c r="F147" s="22">
        <v>727</v>
      </c>
      <c r="G147" s="23">
        <v>9870</v>
      </c>
      <c r="H147" s="23">
        <v>32611</v>
      </c>
      <c r="I147" s="24">
        <v>6.3</v>
      </c>
      <c r="J147" s="24">
        <v>483.6</v>
      </c>
      <c r="K147" s="22">
        <v>24013</v>
      </c>
      <c r="L147" s="22">
        <v>85614</v>
      </c>
      <c r="M147" s="22">
        <v>29084</v>
      </c>
      <c r="N147" s="22">
        <v>20933</v>
      </c>
      <c r="O147" s="25">
        <v>3731.67</v>
      </c>
      <c r="P147" s="24">
        <v>89.9</v>
      </c>
      <c r="Q147" s="22">
        <v>68405</v>
      </c>
      <c r="R147" s="23">
        <v>0</v>
      </c>
      <c r="U147" s="19">
        <v>122</v>
      </c>
      <c r="V147" s="19">
        <v>1</v>
      </c>
      <c r="W147" s="19">
        <v>8</v>
      </c>
      <c r="X147" s="19">
        <f t="shared" si="29"/>
        <v>-1.7886273376680637</v>
      </c>
      <c r="Y147" s="19">
        <f t="shared" si="30"/>
        <v>0.25339436244996677</v>
      </c>
      <c r="Z147" s="19">
        <f t="shared" si="31"/>
        <v>-1.0113244918276283</v>
      </c>
      <c r="AA147" s="19">
        <f t="shared" si="32"/>
        <v>0.19907507473127681</v>
      </c>
      <c r="AB147" s="19">
        <f t="shared" si="33"/>
        <v>0.37783948778954135</v>
      </c>
      <c r="AC147" s="19">
        <f t="shared" si="34"/>
        <v>-1.1330778713949061</v>
      </c>
      <c r="AD147" s="19">
        <f t="shared" si="35"/>
        <v>3.3326225755372862E-2</v>
      </c>
      <c r="AE147" s="19">
        <f t="shared" si="36"/>
        <v>0.29995120681826631</v>
      </c>
      <c r="AF147" s="19">
        <f t="shared" si="37"/>
        <v>0.31440294312320777</v>
      </c>
      <c r="AG147" s="19">
        <f t="shared" si="38"/>
        <v>0.3400109061954662</v>
      </c>
      <c r="AH147" s="19">
        <f t="shared" si="39"/>
        <v>0.41117063201691251</v>
      </c>
      <c r="AI147" s="19">
        <f t="shared" si="40"/>
        <v>0.4040183404879823</v>
      </c>
      <c r="AJ147" s="19">
        <f t="shared" si="41"/>
        <v>0.40380039220723468</v>
      </c>
      <c r="AK147" s="19">
        <f t="shared" si="42"/>
        <v>1.0906081647415218</v>
      </c>
      <c r="AL147" s="19">
        <f t="shared" si="43"/>
        <v>-0.40402566857224581</v>
      </c>
      <c r="BV147" s="16">
        <v>1</v>
      </c>
      <c r="BW147" s="18">
        <v>119</v>
      </c>
      <c r="BX147" s="48">
        <v>-11.83326673700285</v>
      </c>
      <c r="BY147" s="48">
        <v>-1.3823999136022844</v>
      </c>
      <c r="BZ147" s="18">
        <f t="shared" si="44"/>
        <v>-1.3823999136022844</v>
      </c>
    </row>
    <row r="148" spans="1:78" x14ac:dyDescent="0.3">
      <c r="A148" s="19">
        <v>123</v>
      </c>
      <c r="B148" s="19">
        <v>0</v>
      </c>
      <c r="C148" s="19">
        <v>8</v>
      </c>
      <c r="D148" s="19">
        <v>88.646109756512899</v>
      </c>
      <c r="E148" s="22">
        <v>41448</v>
      </c>
      <c r="F148" s="22">
        <v>1071</v>
      </c>
      <c r="G148" s="23">
        <v>14842</v>
      </c>
      <c r="H148" s="23">
        <v>25535</v>
      </c>
      <c r="I148" s="24">
        <v>5.0999999999999996</v>
      </c>
      <c r="J148" s="24">
        <v>598.79999999999995</v>
      </c>
      <c r="K148" s="22">
        <v>21163</v>
      </c>
      <c r="L148" s="22">
        <v>76291</v>
      </c>
      <c r="M148" s="22">
        <v>26308</v>
      </c>
      <c r="N148" s="22">
        <v>17830</v>
      </c>
      <c r="O148" s="25">
        <v>3532.91</v>
      </c>
      <c r="P148" s="24">
        <v>85.1</v>
      </c>
      <c r="Q148" s="22">
        <v>40582</v>
      </c>
      <c r="R148" s="23">
        <v>0</v>
      </c>
      <c r="U148" s="19">
        <v>123</v>
      </c>
      <c r="V148" s="19">
        <v>0</v>
      </c>
      <c r="W148" s="19">
        <v>8</v>
      </c>
      <c r="X148" s="19">
        <f t="shared" si="29"/>
        <v>0.95446459436489206</v>
      </c>
      <c r="Y148" s="19">
        <f t="shared" si="30"/>
        <v>0.22041219063288603</v>
      </c>
      <c r="Z148" s="19">
        <f t="shared" si="31"/>
        <v>-0.94817564743338389</v>
      </c>
      <c r="AA148" s="19">
        <f t="shared" si="32"/>
        <v>0.72790725307191917</v>
      </c>
      <c r="AB148" s="19">
        <f t="shared" si="33"/>
        <v>0.22202788431372769</v>
      </c>
      <c r="AC148" s="19">
        <f t="shared" si="34"/>
        <v>-1.3608824255839091</v>
      </c>
      <c r="AD148" s="19">
        <f t="shared" si="35"/>
        <v>0.12115501331676141</v>
      </c>
      <c r="AE148" s="19">
        <f t="shared" si="36"/>
        <v>0.15383066273131638</v>
      </c>
      <c r="AF148" s="19">
        <f t="shared" si="37"/>
        <v>0.18384051934734338</v>
      </c>
      <c r="AG148" s="19">
        <f t="shared" si="38"/>
        <v>0.23807655173179401</v>
      </c>
      <c r="AH148" s="19">
        <f t="shared" si="39"/>
        <v>0.28259199467718649</v>
      </c>
      <c r="AI148" s="19">
        <f t="shared" si="40"/>
        <v>1.1401106973144132E-3</v>
      </c>
      <c r="AJ148" s="19">
        <f t="shared" si="41"/>
        <v>-4.4281214184800787E-5</v>
      </c>
      <c r="AK148" s="19">
        <f t="shared" si="42"/>
        <v>0.46681093159508996</v>
      </c>
      <c r="AL148" s="19">
        <f t="shared" si="43"/>
        <v>-0.40402566857224581</v>
      </c>
      <c r="BV148" s="16">
        <v>0</v>
      </c>
      <c r="BW148" s="18">
        <v>120</v>
      </c>
      <c r="BX148" s="48">
        <v>-6.2618588350974058E-2</v>
      </c>
      <c r="BY148" s="48">
        <v>0.81312934609747889</v>
      </c>
      <c r="BZ148" s="18" t="e">
        <f t="shared" si="44"/>
        <v>#N/A</v>
      </c>
    </row>
    <row r="149" spans="1:78" x14ac:dyDescent="0.3">
      <c r="A149" s="19">
        <v>124</v>
      </c>
      <c r="B149" s="19">
        <v>0</v>
      </c>
      <c r="C149" s="19">
        <v>8</v>
      </c>
      <c r="D149" s="19">
        <v>90.411291438391601</v>
      </c>
      <c r="E149" s="22">
        <v>17323</v>
      </c>
      <c r="F149" s="22">
        <v>4618</v>
      </c>
      <c r="G149" s="23">
        <v>7641</v>
      </c>
      <c r="H149" s="23">
        <v>5064</v>
      </c>
      <c r="I149" s="24">
        <v>8.1</v>
      </c>
      <c r="J149" s="24">
        <v>622.5</v>
      </c>
      <c r="K149" s="22">
        <v>14029</v>
      </c>
      <c r="L149" s="22">
        <v>45775</v>
      </c>
      <c r="M149" s="22">
        <v>11125</v>
      </c>
      <c r="N149" s="22">
        <v>7561</v>
      </c>
      <c r="O149" s="25">
        <v>3818.44</v>
      </c>
      <c r="P149" s="24">
        <v>92</v>
      </c>
      <c r="Q149" s="22">
        <v>5014</v>
      </c>
      <c r="R149" s="23">
        <v>1622</v>
      </c>
      <c r="U149" s="19">
        <v>124</v>
      </c>
      <c r="V149" s="19">
        <v>0</v>
      </c>
      <c r="W149" s="19">
        <v>8</v>
      </c>
      <c r="X149" s="19">
        <f t="shared" si="29"/>
        <v>1.0090869082310465</v>
      </c>
      <c r="Y149" s="19">
        <f t="shared" si="30"/>
        <v>-0.2316871815756778</v>
      </c>
      <c r="Z149" s="19">
        <f t="shared" si="31"/>
        <v>-0.29704497572877686</v>
      </c>
      <c r="AA149" s="19">
        <f t="shared" si="32"/>
        <v>-3.8005964190946005E-2</v>
      </c>
      <c r="AB149" s="19">
        <f t="shared" si="33"/>
        <v>-0.22873799114604906</v>
      </c>
      <c r="AC149" s="19">
        <f t="shared" si="34"/>
        <v>-0.7913710401114018</v>
      </c>
      <c r="AD149" s="19">
        <f t="shared" si="35"/>
        <v>0.13922395659110962</v>
      </c>
      <c r="AE149" s="19">
        <f t="shared" si="36"/>
        <v>-0.21193213078317513</v>
      </c>
      <c r="AF149" s="19">
        <f t="shared" si="37"/>
        <v>-0.24351579556676983</v>
      </c>
      <c r="AG149" s="19">
        <f t="shared" si="38"/>
        <v>-0.31944120901097806</v>
      </c>
      <c r="AH149" s="19">
        <f t="shared" si="39"/>
        <v>-0.14292332173971553</v>
      </c>
      <c r="AI149" s="19">
        <f t="shared" si="40"/>
        <v>0.57989751134195799</v>
      </c>
      <c r="AJ149" s="19">
        <f t="shared" si="41"/>
        <v>0.58048243682910483</v>
      </c>
      <c r="AK149" s="19">
        <f t="shared" si="42"/>
        <v>-0.33063075293038474</v>
      </c>
      <c r="AL149" s="19">
        <f t="shared" si="43"/>
        <v>0.48382189769293138</v>
      </c>
      <c r="BV149" s="16">
        <v>0</v>
      </c>
      <c r="BW149" s="18">
        <v>121</v>
      </c>
      <c r="BX149" s="48">
        <v>1.3201377039779905</v>
      </c>
      <c r="BY149" s="48">
        <v>-8.207053131033501E-2</v>
      </c>
      <c r="BZ149" s="18" t="e">
        <f t="shared" si="44"/>
        <v>#N/A</v>
      </c>
    </row>
    <row r="150" spans="1:78" x14ac:dyDescent="0.3">
      <c r="A150" s="19">
        <v>125</v>
      </c>
      <c r="B150" s="19">
        <v>0</v>
      </c>
      <c r="C150" s="19">
        <v>8</v>
      </c>
      <c r="D150" s="19">
        <v>37.841011804070902</v>
      </c>
      <c r="E150" s="22">
        <v>10721</v>
      </c>
      <c r="F150" s="22">
        <v>3057</v>
      </c>
      <c r="G150" s="23">
        <v>2789</v>
      </c>
      <c r="H150" s="23">
        <v>4875</v>
      </c>
      <c r="I150" s="24">
        <v>17</v>
      </c>
      <c r="J150" s="24">
        <v>325.8</v>
      </c>
      <c r="K150" s="22">
        <v>9932</v>
      </c>
      <c r="L150" s="22">
        <v>35904</v>
      </c>
      <c r="M150" s="22">
        <v>10107</v>
      </c>
      <c r="N150" s="22">
        <v>5555</v>
      </c>
      <c r="O150" s="25">
        <v>3503.74</v>
      </c>
      <c r="P150" s="24">
        <v>84.4</v>
      </c>
      <c r="Q150" s="22">
        <v>9923</v>
      </c>
      <c r="R150" s="23">
        <v>178</v>
      </c>
      <c r="U150" s="19">
        <v>125</v>
      </c>
      <c r="V150" s="19">
        <v>0</v>
      </c>
      <c r="W150" s="19">
        <v>8</v>
      </c>
      <c r="X150" s="19">
        <f t="shared" si="29"/>
        <v>-0.61766366577286957</v>
      </c>
      <c r="Y150" s="19">
        <f t="shared" si="30"/>
        <v>-0.35540780563043173</v>
      </c>
      <c r="Z150" s="19">
        <f t="shared" si="31"/>
        <v>-0.58360121438986845</v>
      </c>
      <c r="AA150" s="19">
        <f t="shared" si="32"/>
        <v>-0.55407469494492767</v>
      </c>
      <c r="AB150" s="19">
        <f t="shared" si="33"/>
        <v>-0.23289971995567721</v>
      </c>
      <c r="AC150" s="19">
        <f t="shared" si="34"/>
        <v>0.89817940345703673</v>
      </c>
      <c r="AD150" s="19">
        <f t="shared" si="35"/>
        <v>-8.6980915539654244E-2</v>
      </c>
      <c r="AE150" s="19">
        <f t="shared" si="36"/>
        <v>-0.42198682170395896</v>
      </c>
      <c r="AF150" s="19">
        <f t="shared" si="37"/>
        <v>-0.38175259542642415</v>
      </c>
      <c r="AG150" s="19">
        <f t="shared" si="38"/>
        <v>-0.35682203496343423</v>
      </c>
      <c r="AH150" s="19">
        <f t="shared" si="39"/>
        <v>-0.22604570217912592</v>
      </c>
      <c r="AI150" s="19">
        <f t="shared" si="40"/>
        <v>-5.7986262632298176E-2</v>
      </c>
      <c r="AJ150" s="19">
        <f t="shared" si="41"/>
        <v>-5.8938296088140718E-2</v>
      </c>
      <c r="AK150" s="19">
        <f t="shared" si="42"/>
        <v>-0.22056998962248001</v>
      </c>
      <c r="AL150" s="19">
        <f t="shared" si="43"/>
        <v>-0.30659233515966777</v>
      </c>
      <c r="BV150" s="16">
        <v>1</v>
      </c>
      <c r="BW150" s="18">
        <v>122</v>
      </c>
      <c r="BX150" s="48">
        <v>-1.5013171519921396</v>
      </c>
      <c r="BY150" s="48">
        <v>1.2025425402482246</v>
      </c>
      <c r="BZ150" s="18">
        <f t="shared" si="44"/>
        <v>1.2025425402482246</v>
      </c>
    </row>
    <row r="151" spans="1:78" x14ac:dyDescent="0.3">
      <c r="A151" s="19">
        <v>126</v>
      </c>
      <c r="B151" s="19">
        <v>0</v>
      </c>
      <c r="C151" s="19">
        <v>8</v>
      </c>
      <c r="D151" s="19">
        <v>60.428423229312202</v>
      </c>
      <c r="E151" s="22">
        <v>13278</v>
      </c>
      <c r="F151" s="22">
        <v>2515</v>
      </c>
      <c r="G151" s="23">
        <v>4849</v>
      </c>
      <c r="H151" s="23">
        <v>5914</v>
      </c>
      <c r="I151" s="24">
        <v>15.9</v>
      </c>
      <c r="J151" s="24">
        <v>83.5</v>
      </c>
      <c r="K151" s="22">
        <v>10380</v>
      </c>
      <c r="L151" s="22">
        <v>37401</v>
      </c>
      <c r="M151" s="22">
        <v>10715</v>
      </c>
      <c r="N151" s="22">
        <v>5999</v>
      </c>
      <c r="O151" s="25">
        <v>3466.06</v>
      </c>
      <c r="P151" s="24">
        <v>83.5</v>
      </c>
      <c r="Q151" s="22">
        <v>6171</v>
      </c>
      <c r="R151" s="23">
        <v>1829</v>
      </c>
      <c r="U151" s="19">
        <v>126</v>
      </c>
      <c r="V151" s="19">
        <v>0</v>
      </c>
      <c r="W151" s="19">
        <v>8</v>
      </c>
      <c r="X151" s="19">
        <f t="shared" si="29"/>
        <v>8.1287999633250646E-2</v>
      </c>
      <c r="Y151" s="19">
        <f t="shared" si="30"/>
        <v>-0.30748995714391164</v>
      </c>
      <c r="Z151" s="19">
        <f t="shared" si="31"/>
        <v>-0.6830973587552186</v>
      </c>
      <c r="AA151" s="19">
        <f t="shared" si="32"/>
        <v>-0.33496884470725197</v>
      </c>
      <c r="AB151" s="19">
        <f t="shared" si="33"/>
        <v>-0.21002122136729814</v>
      </c>
      <c r="AC151" s="19">
        <f t="shared" si="34"/>
        <v>0.68935856211711743</v>
      </c>
      <c r="AD151" s="19">
        <f t="shared" si="35"/>
        <v>-0.27171108243309572</v>
      </c>
      <c r="AE151" s="19">
        <f t="shared" si="36"/>
        <v>-0.39901769758081734</v>
      </c>
      <c r="AF151" s="19">
        <f t="shared" si="37"/>
        <v>-0.36078810455519505</v>
      </c>
      <c r="AG151" s="19">
        <f t="shared" si="38"/>
        <v>-0.33449635502326397</v>
      </c>
      <c r="AH151" s="19">
        <f t="shared" si="39"/>
        <v>-0.20764772764517866</v>
      </c>
      <c r="AI151" s="19">
        <f t="shared" si="40"/>
        <v>-0.13436205101281881</v>
      </c>
      <c r="AJ151" s="19">
        <f t="shared" si="41"/>
        <v>-0.13465917235465719</v>
      </c>
      <c r="AK151" s="19">
        <f t="shared" si="42"/>
        <v>-0.30469058117498737</v>
      </c>
      <c r="AL151" s="19">
        <f t="shared" si="43"/>
        <v>0.5971292011558732</v>
      </c>
      <c r="BV151" s="16">
        <v>0</v>
      </c>
      <c r="BW151" s="18">
        <v>123</v>
      </c>
      <c r="BX151" s="48">
        <v>-0.96227426158011131</v>
      </c>
      <c r="BY151" s="48">
        <v>0.38503731292028126</v>
      </c>
      <c r="BZ151" s="18" t="e">
        <f t="shared" si="44"/>
        <v>#N/A</v>
      </c>
    </row>
    <row r="152" spans="1:78" x14ac:dyDescent="0.3">
      <c r="A152" s="19">
        <v>127</v>
      </c>
      <c r="B152" s="19">
        <v>0</v>
      </c>
      <c r="C152" s="19">
        <v>8</v>
      </c>
      <c r="D152" s="19">
        <v>23.102128542597299</v>
      </c>
      <c r="E152" s="22">
        <v>17544</v>
      </c>
      <c r="F152" s="22">
        <v>2660</v>
      </c>
      <c r="G152" s="23">
        <v>7315</v>
      </c>
      <c r="H152" s="23">
        <v>7569</v>
      </c>
      <c r="I152" s="24">
        <v>17.899999999999999</v>
      </c>
      <c r="J152" s="24">
        <v>305.5</v>
      </c>
      <c r="K152" s="22">
        <v>16082</v>
      </c>
      <c r="L152" s="22">
        <v>54166</v>
      </c>
      <c r="M152" s="22">
        <v>17091</v>
      </c>
      <c r="N152" s="22">
        <v>7349</v>
      </c>
      <c r="O152" s="25">
        <v>3507.98</v>
      </c>
      <c r="P152" s="24">
        <v>84.5</v>
      </c>
      <c r="Q152" s="22">
        <v>11458</v>
      </c>
      <c r="R152" s="23">
        <v>0</v>
      </c>
      <c r="U152" s="19">
        <v>127</v>
      </c>
      <c r="V152" s="19">
        <v>0</v>
      </c>
      <c r="W152" s="19">
        <v>8</v>
      </c>
      <c r="X152" s="19">
        <f t="shared" si="29"/>
        <v>-1.0737481106827984</v>
      </c>
      <c r="Y152" s="19">
        <f t="shared" si="30"/>
        <v>-0.22754567022819211</v>
      </c>
      <c r="Z152" s="19">
        <f t="shared" si="31"/>
        <v>-0.65647938655415627</v>
      </c>
      <c r="AA152" s="19">
        <f t="shared" si="32"/>
        <v>-7.2679996801374283E-2</v>
      </c>
      <c r="AB152" s="19">
        <f t="shared" si="33"/>
        <v>-0.1735785696216125</v>
      </c>
      <c r="AC152" s="19">
        <f t="shared" si="34"/>
        <v>1.0690328190987888</v>
      </c>
      <c r="AD152" s="19">
        <f t="shared" si="35"/>
        <v>-0.10245768973666977</v>
      </c>
      <c r="AE152" s="19">
        <f t="shared" si="36"/>
        <v>-0.1066740686742249</v>
      </c>
      <c r="AF152" s="19">
        <f t="shared" si="37"/>
        <v>-0.1260054128677161</v>
      </c>
      <c r="AG152" s="19">
        <f t="shared" si="38"/>
        <v>-0.10037047459805715</v>
      </c>
      <c r="AH152" s="19">
        <f t="shared" si="39"/>
        <v>-0.15170794021087955</v>
      </c>
      <c r="AI152" s="19">
        <f t="shared" si="40"/>
        <v>-4.9391959481198733E-2</v>
      </c>
      <c r="AJ152" s="19">
        <f t="shared" si="41"/>
        <v>-5.0524865391861642E-2</v>
      </c>
      <c r="AK152" s="19">
        <f t="shared" si="42"/>
        <v>-0.18615498215097182</v>
      </c>
      <c r="AL152" s="19">
        <f t="shared" si="43"/>
        <v>-0.40402566857224581</v>
      </c>
      <c r="BV152" s="16">
        <v>0</v>
      </c>
      <c r="BW152" s="18">
        <v>124</v>
      </c>
      <c r="BX152" s="48">
        <v>0.27075580315359721</v>
      </c>
      <c r="BY152" s="48">
        <v>1.0137895278224576</v>
      </c>
      <c r="BZ152" s="18" t="e">
        <f t="shared" si="44"/>
        <v>#N/A</v>
      </c>
    </row>
    <row r="153" spans="1:78" x14ac:dyDescent="0.3">
      <c r="A153" s="19">
        <v>128</v>
      </c>
      <c r="B153" s="19">
        <v>0</v>
      </c>
      <c r="C153" s="19">
        <v>8</v>
      </c>
      <c r="D153" s="19">
        <v>69.293884107303001</v>
      </c>
      <c r="E153" s="22">
        <v>10577</v>
      </c>
      <c r="F153" s="22">
        <v>1465</v>
      </c>
      <c r="G153" s="23">
        <v>2571</v>
      </c>
      <c r="H153" s="23">
        <v>6541</v>
      </c>
      <c r="I153" s="24">
        <v>6.3</v>
      </c>
      <c r="J153" s="24">
        <v>142</v>
      </c>
      <c r="K153" s="22">
        <v>8944</v>
      </c>
      <c r="L153" s="22">
        <v>30593</v>
      </c>
      <c r="M153" s="22">
        <v>7738</v>
      </c>
      <c r="N153" s="22">
        <v>5632</v>
      </c>
      <c r="O153" s="25">
        <v>3534.54</v>
      </c>
      <c r="P153" s="24">
        <v>85.2</v>
      </c>
      <c r="Q153" s="22">
        <v>11289</v>
      </c>
      <c r="R153" s="23">
        <v>1131</v>
      </c>
      <c r="U153" s="19">
        <v>128</v>
      </c>
      <c r="V153" s="19">
        <v>0</v>
      </c>
      <c r="W153" s="19">
        <v>8</v>
      </c>
      <c r="X153" s="19">
        <f t="shared" si="29"/>
        <v>0.35562349247064101</v>
      </c>
      <c r="Y153" s="19">
        <f t="shared" si="30"/>
        <v>-0.35810634696092014</v>
      </c>
      <c r="Z153" s="19">
        <f t="shared" si="31"/>
        <v>-0.87584819193532493</v>
      </c>
      <c r="AA153" s="19">
        <f t="shared" si="32"/>
        <v>-0.5772616247273612</v>
      </c>
      <c r="AB153" s="19">
        <f t="shared" si="33"/>
        <v>-0.19621485118932538</v>
      </c>
      <c r="AC153" s="19">
        <f t="shared" si="34"/>
        <v>-1.1330778713949061</v>
      </c>
      <c r="AD153" s="19">
        <f t="shared" si="35"/>
        <v>-0.22711052624957809</v>
      </c>
      <c r="AE153" s="19">
        <f t="shared" si="36"/>
        <v>-0.47264194365410162</v>
      </c>
      <c r="AF153" s="19">
        <f t="shared" si="37"/>
        <v>-0.45612962349395775</v>
      </c>
      <c r="AG153" s="19">
        <f t="shared" si="38"/>
        <v>-0.4438114030197885</v>
      </c>
      <c r="AH153" s="19">
        <f t="shared" si="39"/>
        <v>-0.22285506245139183</v>
      </c>
      <c r="AI153" s="19">
        <f t="shared" si="40"/>
        <v>4.4440527105908869E-3</v>
      </c>
      <c r="AJ153" s="19">
        <f t="shared" si="41"/>
        <v>8.3691494820954705E-3</v>
      </c>
      <c r="AK153" s="19">
        <f t="shared" si="42"/>
        <v>-0.18994399600288378</v>
      </c>
      <c r="AL153" s="19">
        <f t="shared" si="43"/>
        <v>0.2150591633919437</v>
      </c>
      <c r="BV153" s="16">
        <v>0</v>
      </c>
      <c r="BW153" s="18">
        <v>125</v>
      </c>
      <c r="BX153" s="48">
        <v>0.97388075699640275</v>
      </c>
      <c r="BY153" s="48">
        <v>0.20503705959108132</v>
      </c>
      <c r="BZ153" s="18" t="e">
        <f t="shared" si="44"/>
        <v>#N/A</v>
      </c>
    </row>
    <row r="154" spans="1:78" x14ac:dyDescent="0.3">
      <c r="A154" s="19">
        <v>129</v>
      </c>
      <c r="B154" s="19">
        <v>0</v>
      </c>
      <c r="C154" s="19">
        <v>8</v>
      </c>
      <c r="D154" s="19">
        <v>103.635075316081</v>
      </c>
      <c r="E154" s="22">
        <v>11299</v>
      </c>
      <c r="F154" s="22">
        <v>3472</v>
      </c>
      <c r="G154" s="23">
        <v>3946</v>
      </c>
      <c r="H154" s="23">
        <v>3881</v>
      </c>
      <c r="I154" s="24">
        <v>17.600000000000001</v>
      </c>
      <c r="J154" s="24">
        <v>66.400000000000006</v>
      </c>
      <c r="K154" s="22">
        <v>9415</v>
      </c>
      <c r="L154" s="22">
        <v>31385</v>
      </c>
      <c r="M154" s="22">
        <v>9261</v>
      </c>
      <c r="N154" s="22">
        <v>4571</v>
      </c>
      <c r="O154" s="25">
        <v>3552.74</v>
      </c>
      <c r="P154" s="24">
        <v>85.6</v>
      </c>
      <c r="Q154" s="22">
        <v>4991</v>
      </c>
      <c r="R154" s="23">
        <v>57</v>
      </c>
      <c r="U154" s="19">
        <v>129</v>
      </c>
      <c r="V154" s="19">
        <v>0</v>
      </c>
      <c r="W154" s="19">
        <v>8</v>
      </c>
      <c r="X154" s="19">
        <f t="shared" si="29"/>
        <v>1.4182876612643422</v>
      </c>
      <c r="Y154" s="19">
        <f t="shared" si="30"/>
        <v>-0.34457616056777685</v>
      </c>
      <c r="Z154" s="19">
        <f t="shared" si="31"/>
        <v>-0.50741874222820726</v>
      </c>
      <c r="AA154" s="19">
        <f t="shared" si="32"/>
        <v>-0.43101378779687388</v>
      </c>
      <c r="AB154" s="19">
        <f t="shared" si="33"/>
        <v>-0.25478733073224008</v>
      </c>
      <c r="AC154" s="19">
        <f t="shared" si="34"/>
        <v>1.0120816805515385</v>
      </c>
      <c r="AD154" s="19">
        <f t="shared" si="35"/>
        <v>-0.28474816808673936</v>
      </c>
      <c r="AE154" s="19">
        <f t="shared" si="36"/>
        <v>-0.44849360110499514</v>
      </c>
      <c r="AF154" s="19">
        <f t="shared" si="37"/>
        <v>-0.44503818944585261</v>
      </c>
      <c r="AG154" s="19">
        <f t="shared" si="38"/>
        <v>-0.38788704356439485</v>
      </c>
      <c r="AH154" s="19">
        <f t="shared" si="39"/>
        <v>-0.26681959168679287</v>
      </c>
      <c r="AI154" s="19">
        <f t="shared" si="40"/>
        <v>4.1334693595024743E-2</v>
      </c>
      <c r="AJ154" s="19">
        <f t="shared" si="41"/>
        <v>4.2022872267212963E-2</v>
      </c>
      <c r="AK154" s="19">
        <f t="shared" si="42"/>
        <v>-0.33114641753744967</v>
      </c>
      <c r="AL154" s="19">
        <f t="shared" si="43"/>
        <v>-0.3728251067491169</v>
      </c>
      <c r="BV154" s="16">
        <v>0</v>
      </c>
      <c r="BW154" s="18">
        <v>126</v>
      </c>
      <c r="BX154" s="48">
        <v>0.98927735711039966</v>
      </c>
      <c r="BY154" s="48">
        <v>0.18697924030390828</v>
      </c>
      <c r="BZ154" s="18" t="e">
        <f t="shared" si="44"/>
        <v>#N/A</v>
      </c>
    </row>
    <row r="155" spans="1:78" x14ac:dyDescent="0.3">
      <c r="A155" s="19">
        <v>130</v>
      </c>
      <c r="B155" s="19">
        <v>0</v>
      </c>
      <c r="C155" s="19">
        <v>8</v>
      </c>
      <c r="D155" s="19">
        <v>63.688443217575397</v>
      </c>
      <c r="E155" s="22">
        <v>7779</v>
      </c>
      <c r="F155" s="22">
        <v>1924</v>
      </c>
      <c r="G155" s="23">
        <v>1988</v>
      </c>
      <c r="H155" s="23">
        <v>3867</v>
      </c>
      <c r="I155" s="24">
        <v>11.7</v>
      </c>
      <c r="J155" s="24">
        <v>57.9</v>
      </c>
      <c r="K155" s="22">
        <v>6709</v>
      </c>
      <c r="L155" s="22">
        <v>22777</v>
      </c>
      <c r="M155" s="22">
        <v>6110</v>
      </c>
      <c r="N155" s="22">
        <v>2957</v>
      </c>
      <c r="O155" s="25">
        <v>3019.27</v>
      </c>
      <c r="P155" s="24">
        <v>72.7</v>
      </c>
      <c r="Q155" s="22">
        <v>3812</v>
      </c>
      <c r="R155" s="23">
        <v>12400</v>
      </c>
      <c r="U155" s="19">
        <v>130</v>
      </c>
      <c r="V155" s="19">
        <v>0</v>
      </c>
      <c r="W155" s="19">
        <v>8</v>
      </c>
      <c r="X155" s="19">
        <f t="shared" ref="X155:X218" si="45">(D155-D$23)/D$24</f>
        <v>0.18216704049171231</v>
      </c>
      <c r="Y155" s="19">
        <f t="shared" ref="Y155:Y218" si="46">(E155-E$23)/E$24</f>
        <v>-0.41054050420193827</v>
      </c>
      <c r="Z155" s="19">
        <f t="shared" ref="Z155:Z218" si="47">(F155-F$23)/F$24</f>
        <v>-0.79158854200230699</v>
      </c>
      <c r="AA155" s="19">
        <f t="shared" ref="AA155:AA218" si="48">(G155-G$23)/G$24</f>
        <v>-0.63927070758588789</v>
      </c>
      <c r="AB155" s="19">
        <f t="shared" ref="AB155:AB218" si="49">(H155-H$23)/H$24</f>
        <v>-0.25509560694036065</v>
      </c>
      <c r="AC155" s="19">
        <f t="shared" ref="AC155:AC218" si="50">(I155-I$23)/I$24</f>
        <v>-0.10795737754439302</v>
      </c>
      <c r="AD155" s="19">
        <f t="shared" ref="AD155:AD218" si="51">(J155-J$23)/J$24</f>
        <v>-0.29122859078007102</v>
      </c>
      <c r="AE155" s="19">
        <f t="shared" ref="AE155:AE218" si="52">(K155-K$23)/K$24</f>
        <v>-0.58723121243807808</v>
      </c>
      <c r="AF155" s="19">
        <f t="shared" ref="AF155:AF218" si="53">(L155-L$23)/L$24</f>
        <v>-0.5655875130393998</v>
      </c>
      <c r="AG155" s="19">
        <f t="shared" ref="AG155:AG218" si="54">(M155-M$23)/M$24</f>
        <v>-0.5035913486490603</v>
      </c>
      <c r="AH155" s="19">
        <f t="shared" ref="AH155:AH218" si="55">(N155-N$23)/N$24</f>
        <v>-0.33369871533046602</v>
      </c>
      <c r="AI155" s="19">
        <f t="shared" ref="AI155:AI218" si="56">(O155-O$23)/O$24</f>
        <v>-1.0399867455598719</v>
      </c>
      <c r="AJ155" s="19">
        <f t="shared" ref="AJ155:AJ218" si="57">(P155-P$23)/P$24</f>
        <v>-1.0433096875528487</v>
      </c>
      <c r="AK155" s="19">
        <f t="shared" ref="AK155:AK218" si="58">(Q155-Q$23)/Q$24</f>
        <v>-0.35757983369960483</v>
      </c>
      <c r="AL155" s="19">
        <f t="shared" ref="AL155:AL218" si="59">(R155-R$23)/R$24</f>
        <v>6.3834649736522895</v>
      </c>
      <c r="BV155" s="16">
        <v>0</v>
      </c>
      <c r="BW155" s="18">
        <v>127</v>
      </c>
      <c r="BX155" s="48">
        <v>0.45173493765348571</v>
      </c>
      <c r="BY155" s="48">
        <v>0.14534870119668303</v>
      </c>
      <c r="BZ155" s="18" t="e">
        <f t="shared" si="44"/>
        <v>#N/A</v>
      </c>
    </row>
    <row r="156" spans="1:78" x14ac:dyDescent="0.3">
      <c r="A156" s="19">
        <v>131</v>
      </c>
      <c r="B156" s="19">
        <v>0</v>
      </c>
      <c r="C156" s="19">
        <v>8</v>
      </c>
      <c r="D156" s="19">
        <v>31.143910905453499</v>
      </c>
      <c r="E156" s="22">
        <v>17824</v>
      </c>
      <c r="F156" s="22">
        <v>1909</v>
      </c>
      <c r="G156" s="23">
        <v>8116</v>
      </c>
      <c r="H156" s="23">
        <v>7799</v>
      </c>
      <c r="I156" s="24">
        <v>9</v>
      </c>
      <c r="J156" s="24">
        <v>165.4</v>
      </c>
      <c r="K156" s="22">
        <v>10488</v>
      </c>
      <c r="L156" s="22">
        <v>35620</v>
      </c>
      <c r="M156" s="22">
        <v>10182</v>
      </c>
      <c r="N156" s="22">
        <v>5698</v>
      </c>
      <c r="O156" s="25">
        <v>3455.57</v>
      </c>
      <c r="P156" s="24">
        <v>83.2</v>
      </c>
      <c r="Q156" s="22">
        <v>16414</v>
      </c>
      <c r="R156" s="23">
        <v>1433</v>
      </c>
      <c r="U156" s="19">
        <v>131</v>
      </c>
      <c r="V156" s="19">
        <v>0</v>
      </c>
      <c r="W156" s="19">
        <v>8</v>
      </c>
      <c r="X156" s="19">
        <f t="shared" si="45"/>
        <v>-0.82490077401673523</v>
      </c>
      <c r="Y156" s="19">
        <f t="shared" si="46"/>
        <v>-0.22229850653002017</v>
      </c>
      <c r="Z156" s="19">
        <f t="shared" si="47"/>
        <v>-0.79434212533345139</v>
      </c>
      <c r="AA156" s="19">
        <f t="shared" si="48"/>
        <v>1.2516015839586E-2</v>
      </c>
      <c r="AB156" s="19">
        <f t="shared" si="49"/>
        <v>-0.16851403191677403</v>
      </c>
      <c r="AC156" s="19">
        <f t="shared" si="50"/>
        <v>-0.62051762446964953</v>
      </c>
      <c r="AD156" s="19">
        <f t="shared" si="51"/>
        <v>-0.20927030377617103</v>
      </c>
      <c r="AE156" s="19">
        <f t="shared" si="52"/>
        <v>-0.39348049801541712</v>
      </c>
      <c r="AF156" s="19">
        <f t="shared" si="53"/>
        <v>-0.38572982682751239</v>
      </c>
      <c r="AG156" s="19">
        <f t="shared" si="54"/>
        <v>-0.3540680448392356</v>
      </c>
      <c r="AH156" s="19">
        <f t="shared" si="55"/>
        <v>-0.22012022839904832</v>
      </c>
      <c r="AI156" s="19">
        <f t="shared" si="56"/>
        <v>-0.1556248434786269</v>
      </c>
      <c r="AJ156" s="19">
        <f t="shared" si="57"/>
        <v>-0.15989946444349559</v>
      </c>
      <c r="AK156" s="19">
        <f t="shared" si="58"/>
        <v>-7.5040469428630019E-2</v>
      </c>
      <c r="AL156" s="19">
        <f t="shared" si="59"/>
        <v>0.3803674032267671</v>
      </c>
      <c r="BV156" s="16">
        <v>0</v>
      </c>
      <c r="BW156" s="18">
        <v>128</v>
      </c>
      <c r="BX156" s="48">
        <v>0.85413285756106649</v>
      </c>
      <c r="BY156" s="48">
        <v>0.89271279353119626</v>
      </c>
      <c r="BZ156" s="18" t="e">
        <f t="shared" si="44"/>
        <v>#N/A</v>
      </c>
    </row>
    <row r="157" spans="1:78" x14ac:dyDescent="0.3">
      <c r="A157" s="19">
        <v>132</v>
      </c>
      <c r="B157" s="19">
        <v>0</v>
      </c>
      <c r="C157" s="19">
        <v>8</v>
      </c>
      <c r="D157" s="19">
        <v>43.093611995221401</v>
      </c>
      <c r="E157" s="22">
        <v>13033</v>
      </c>
      <c r="F157" s="22">
        <v>2754</v>
      </c>
      <c r="G157" s="23">
        <v>3865</v>
      </c>
      <c r="H157" s="23">
        <v>6414</v>
      </c>
      <c r="I157" s="24">
        <v>17.899999999999999</v>
      </c>
      <c r="J157" s="24">
        <v>153.4</v>
      </c>
      <c r="K157" s="22">
        <v>14273</v>
      </c>
      <c r="L157" s="22">
        <v>51384</v>
      </c>
      <c r="M157" s="22">
        <v>15340</v>
      </c>
      <c r="N157" s="22">
        <v>7410</v>
      </c>
      <c r="O157" s="25">
        <v>3249.08</v>
      </c>
      <c r="P157" s="24">
        <v>78.3</v>
      </c>
      <c r="Q157" s="22">
        <v>14988</v>
      </c>
      <c r="R157" s="23">
        <v>50</v>
      </c>
      <c r="U157" s="19">
        <v>132</v>
      </c>
      <c r="V157" s="19">
        <v>0</v>
      </c>
      <c r="W157" s="19">
        <v>8</v>
      </c>
      <c r="X157" s="19">
        <f t="shared" si="45"/>
        <v>-0.45512562269217927</v>
      </c>
      <c r="Y157" s="19">
        <f t="shared" si="46"/>
        <v>-0.31208122537981209</v>
      </c>
      <c r="Z157" s="19">
        <f t="shared" si="47"/>
        <v>-0.63922359767898485</v>
      </c>
      <c r="AA157" s="19">
        <f t="shared" si="48"/>
        <v>-0.43962911491786988</v>
      </c>
      <c r="AB157" s="19">
        <f t="shared" si="49"/>
        <v>-0.19901135679156229</v>
      </c>
      <c r="AC157" s="19">
        <f t="shared" si="50"/>
        <v>1.0690328190987888</v>
      </c>
      <c r="AD157" s="19">
        <f t="shared" si="51"/>
        <v>-0.2184191358138157</v>
      </c>
      <c r="AE157" s="19">
        <f t="shared" si="52"/>
        <v>-0.19942216139467839</v>
      </c>
      <c r="AF157" s="19">
        <f t="shared" si="53"/>
        <v>-0.16496547539527748</v>
      </c>
      <c r="AG157" s="19">
        <f t="shared" si="54"/>
        <v>-0.16466696403101466</v>
      </c>
      <c r="AH157" s="19">
        <f t="shared" si="55"/>
        <v>-0.14918029055644083</v>
      </c>
      <c r="AI157" s="19">
        <f t="shared" si="56"/>
        <v>-0.57417146085372761</v>
      </c>
      <c r="AJ157" s="19">
        <f t="shared" si="57"/>
        <v>-0.57215756856119415</v>
      </c>
      <c r="AK157" s="19">
        <f t="shared" si="58"/>
        <v>-0.10701167506665653</v>
      </c>
      <c r="AL157" s="19">
        <f t="shared" si="59"/>
        <v>-0.37665675469230814</v>
      </c>
      <c r="BV157" s="16">
        <v>0</v>
      </c>
      <c r="BW157" s="18">
        <v>129</v>
      </c>
      <c r="BX157" s="48">
        <v>1.2121043291515541</v>
      </c>
      <c r="BY157" s="48">
        <v>-8.8758342526546685E-2</v>
      </c>
      <c r="BZ157" s="18" t="e">
        <f t="shared" si="44"/>
        <v>#N/A</v>
      </c>
    </row>
    <row r="158" spans="1:78" x14ac:dyDescent="0.3">
      <c r="A158" s="19">
        <v>133</v>
      </c>
      <c r="B158" s="19">
        <v>0</v>
      </c>
      <c r="C158" s="19">
        <v>18</v>
      </c>
      <c r="D158" s="19">
        <v>36.045343512941898</v>
      </c>
      <c r="E158" s="22">
        <v>20374</v>
      </c>
      <c r="F158" s="22">
        <v>12399</v>
      </c>
      <c r="G158" s="23">
        <v>2131</v>
      </c>
      <c r="H158" s="23">
        <v>5844</v>
      </c>
      <c r="I158" s="24">
        <v>20.7</v>
      </c>
      <c r="J158" s="24">
        <v>40.299999999999997</v>
      </c>
      <c r="K158" s="22">
        <v>13195</v>
      </c>
      <c r="L158" s="22">
        <v>41297</v>
      </c>
      <c r="M158" s="22">
        <v>11620</v>
      </c>
      <c r="N158" s="22">
        <v>3779</v>
      </c>
      <c r="O158" s="25">
        <v>3162.84</v>
      </c>
      <c r="P158" s="24">
        <v>76.2</v>
      </c>
      <c r="Q158" s="22">
        <v>135</v>
      </c>
      <c r="R158" s="23">
        <v>0</v>
      </c>
      <c r="U158" s="19">
        <v>133</v>
      </c>
      <c r="V158" s="19">
        <v>0</v>
      </c>
      <c r="W158" s="19">
        <v>18</v>
      </c>
      <c r="X158" s="19">
        <f t="shared" si="45"/>
        <v>-0.67322936646219378</v>
      </c>
      <c r="Y158" s="19">
        <f t="shared" si="46"/>
        <v>-0.17451183713595436</v>
      </c>
      <c r="Z158" s="19">
        <f t="shared" si="47"/>
        <v>1.1313304842468497</v>
      </c>
      <c r="AA158" s="19">
        <f t="shared" si="48"/>
        <v>-0.62406093254511719</v>
      </c>
      <c r="AB158" s="19">
        <f t="shared" si="49"/>
        <v>-0.21156260240790115</v>
      </c>
      <c r="AC158" s="19">
        <f t="shared" si="50"/>
        <v>1.6005767788731291</v>
      </c>
      <c r="AD158" s="19">
        <f t="shared" si="51"/>
        <v>-0.30464687776861643</v>
      </c>
      <c r="AE158" s="19">
        <f t="shared" si="52"/>
        <v>-0.25469161631598786</v>
      </c>
      <c r="AF158" s="19">
        <f t="shared" si="53"/>
        <v>-0.30622721181350593</v>
      </c>
      <c r="AG158" s="19">
        <f t="shared" si="54"/>
        <v>-0.30126487419126707</v>
      </c>
      <c r="AH158" s="19">
        <f t="shared" si="55"/>
        <v>-0.29963760031491499</v>
      </c>
      <c r="AI158" s="19">
        <f t="shared" si="56"/>
        <v>-0.7489763438138155</v>
      </c>
      <c r="AJ158" s="19">
        <f t="shared" si="57"/>
        <v>-0.74883961318306436</v>
      </c>
      <c r="AK158" s="19">
        <f t="shared" si="58"/>
        <v>-0.44001891022907436</v>
      </c>
      <c r="AL158" s="19">
        <f t="shared" si="59"/>
        <v>-0.40402566857224581</v>
      </c>
      <c r="BV158" s="16">
        <v>0</v>
      </c>
      <c r="BW158" s="18">
        <v>130</v>
      </c>
      <c r="BX158" s="48">
        <v>1.6209009549778612</v>
      </c>
      <c r="BY158" s="48">
        <v>0.13271582953038386</v>
      </c>
      <c r="BZ158" s="18" t="e">
        <f t="shared" ref="BZ158:BZ221" si="60">IF(BV158=1,BY158,NA())</f>
        <v>#N/A</v>
      </c>
    </row>
    <row r="159" spans="1:78" x14ac:dyDescent="0.3">
      <c r="A159" s="19">
        <v>134</v>
      </c>
      <c r="B159" s="19">
        <v>0</v>
      </c>
      <c r="C159" s="19">
        <v>18</v>
      </c>
      <c r="D159" s="19">
        <v>92.541652344660207</v>
      </c>
      <c r="E159" s="22">
        <v>5590</v>
      </c>
      <c r="F159" s="22">
        <v>2790</v>
      </c>
      <c r="G159" s="23">
        <v>526</v>
      </c>
      <c r="H159" s="23">
        <v>2274</v>
      </c>
      <c r="I159" s="24">
        <v>20.5</v>
      </c>
      <c r="J159" s="24">
        <v>54.2</v>
      </c>
      <c r="K159" s="22">
        <v>3884</v>
      </c>
      <c r="L159" s="22">
        <v>14458</v>
      </c>
      <c r="M159" s="22">
        <v>3730</v>
      </c>
      <c r="N159" s="22">
        <v>2149</v>
      </c>
      <c r="O159" s="25">
        <v>3448.24</v>
      </c>
      <c r="P159" s="24">
        <v>83.1</v>
      </c>
      <c r="Q159" s="22">
        <v>874</v>
      </c>
      <c r="R159" s="23">
        <v>0</v>
      </c>
      <c r="U159" s="19">
        <v>134</v>
      </c>
      <c r="V159" s="19">
        <v>0</v>
      </c>
      <c r="W159" s="19">
        <v>18</v>
      </c>
      <c r="X159" s="19">
        <f t="shared" si="45"/>
        <v>1.0750094380561581</v>
      </c>
      <c r="Y159" s="19">
        <f t="shared" si="46"/>
        <v>-0.45156208039943241</v>
      </c>
      <c r="Z159" s="19">
        <f t="shared" si="47"/>
        <v>-0.63261499768423834</v>
      </c>
      <c r="AA159" s="19">
        <f t="shared" si="48"/>
        <v>-0.79477204401670432</v>
      </c>
      <c r="AB159" s="19">
        <f t="shared" si="49"/>
        <v>-0.29017303547865503</v>
      </c>
      <c r="AC159" s="19">
        <f t="shared" si="50"/>
        <v>1.5626093531749621</v>
      </c>
      <c r="AD159" s="19">
        <f t="shared" si="51"/>
        <v>-0.29404948065834474</v>
      </c>
      <c r="AE159" s="19">
        <f t="shared" si="52"/>
        <v>-0.73206999736637057</v>
      </c>
      <c r="AF159" s="19">
        <f t="shared" si="53"/>
        <v>-0.68208958355226212</v>
      </c>
      <c r="AG159" s="19">
        <f t="shared" si="54"/>
        <v>-0.59098463525696365</v>
      </c>
      <c r="AH159" s="19">
        <f t="shared" si="55"/>
        <v>-0.36717971403188354</v>
      </c>
      <c r="AI159" s="19">
        <f t="shared" si="56"/>
        <v>-0.17048244774691904</v>
      </c>
      <c r="AJ159" s="19">
        <f t="shared" si="57"/>
        <v>-0.16831289513977588</v>
      </c>
      <c r="AK159" s="19">
        <f t="shared" si="58"/>
        <v>-0.42345038220207459</v>
      </c>
      <c r="AL159" s="19">
        <f t="shared" si="59"/>
        <v>-0.40402566857224581</v>
      </c>
      <c r="BV159" s="16">
        <v>0</v>
      </c>
      <c r="BW159" s="18">
        <v>131</v>
      </c>
      <c r="BX159" s="48">
        <v>0.54307518253268949</v>
      </c>
      <c r="BY159" s="48">
        <v>0.73669503800027525</v>
      </c>
      <c r="BZ159" s="18" t="e">
        <f t="shared" si="60"/>
        <v>#N/A</v>
      </c>
    </row>
    <row r="160" spans="1:78" x14ac:dyDescent="0.3">
      <c r="A160" s="19">
        <v>135</v>
      </c>
      <c r="B160" s="19">
        <v>0</v>
      </c>
      <c r="C160" s="19">
        <v>18</v>
      </c>
      <c r="D160" s="19">
        <v>45.366311955789499</v>
      </c>
      <c r="E160" s="22">
        <v>45283</v>
      </c>
      <c r="F160" s="22">
        <v>17023</v>
      </c>
      <c r="G160" s="23">
        <v>13459</v>
      </c>
      <c r="H160" s="23">
        <v>14801</v>
      </c>
      <c r="I160" s="24">
        <v>11</v>
      </c>
      <c r="J160" s="24">
        <v>709.2</v>
      </c>
      <c r="K160" s="22">
        <v>26301</v>
      </c>
      <c r="L160" s="22">
        <v>85983</v>
      </c>
      <c r="M160" s="22">
        <v>23009</v>
      </c>
      <c r="N160" s="22">
        <v>9277</v>
      </c>
      <c r="O160" s="25">
        <v>3401.58</v>
      </c>
      <c r="P160" s="24">
        <v>81.900000000000006</v>
      </c>
      <c r="Q160" s="22">
        <v>7441</v>
      </c>
      <c r="R160" s="23">
        <v>136</v>
      </c>
      <c r="U160" s="19">
        <v>135</v>
      </c>
      <c r="V160" s="19">
        <v>0</v>
      </c>
      <c r="W160" s="19">
        <v>18</v>
      </c>
      <c r="X160" s="19">
        <f t="shared" si="45"/>
        <v>-0.38479851027980483</v>
      </c>
      <c r="Y160" s="19">
        <f t="shared" si="46"/>
        <v>0.29227959342749094</v>
      </c>
      <c r="Z160" s="19">
        <f t="shared" si="47"/>
        <v>1.9801684391276231</v>
      </c>
      <c r="AA160" s="19">
        <f t="shared" si="48"/>
        <v>0.58080851963565439</v>
      </c>
      <c r="AB160" s="19">
        <f t="shared" si="49"/>
        <v>-1.4331888398169316E-2</v>
      </c>
      <c r="AC160" s="19">
        <f t="shared" si="50"/>
        <v>-0.24084336748797794</v>
      </c>
      <c r="AD160" s="19">
        <f t="shared" si="51"/>
        <v>0.20532426806309223</v>
      </c>
      <c r="AE160" s="19">
        <f t="shared" si="52"/>
        <v>0.41725780501859661</v>
      </c>
      <c r="AF160" s="19">
        <f t="shared" si="53"/>
        <v>0.3195705430774386</v>
      </c>
      <c r="AG160" s="19">
        <f t="shared" si="54"/>
        <v>0.11693770613537663</v>
      </c>
      <c r="AH160" s="19">
        <f t="shared" si="55"/>
        <v>-7.1817636378784203E-2</v>
      </c>
      <c r="AI160" s="19">
        <f t="shared" si="56"/>
        <v>-0.26506032157481441</v>
      </c>
      <c r="AJ160" s="19">
        <f t="shared" si="57"/>
        <v>-0.26927406349512956</v>
      </c>
      <c r="AK160" s="19">
        <f t="shared" si="58"/>
        <v>-0.27621692678487958</v>
      </c>
      <c r="AL160" s="19">
        <f t="shared" si="59"/>
        <v>-0.32958222281881538</v>
      </c>
      <c r="BV160" s="16">
        <v>0</v>
      </c>
      <c r="BW160" s="18">
        <v>132</v>
      </c>
      <c r="BX160" s="48">
        <v>0.90714645454183696</v>
      </c>
      <c r="BY160" s="48">
        <v>-0.52291555131707435</v>
      </c>
      <c r="BZ160" s="18" t="e">
        <f t="shared" si="60"/>
        <v>#N/A</v>
      </c>
    </row>
    <row r="161" spans="1:78" x14ac:dyDescent="0.3">
      <c r="A161" s="19">
        <v>136</v>
      </c>
      <c r="B161" s="19">
        <v>0</v>
      </c>
      <c r="C161" s="19">
        <v>18</v>
      </c>
      <c r="D161" s="19">
        <v>58.2790351499848</v>
      </c>
      <c r="E161" s="22">
        <v>38109</v>
      </c>
      <c r="F161" s="22">
        <v>16312</v>
      </c>
      <c r="G161" s="23">
        <v>8638</v>
      </c>
      <c r="H161" s="23">
        <v>13159</v>
      </c>
      <c r="I161" s="24">
        <v>15.7</v>
      </c>
      <c r="J161" s="24">
        <v>182.1</v>
      </c>
      <c r="K161" s="22">
        <v>22689</v>
      </c>
      <c r="L161" s="22">
        <v>76841</v>
      </c>
      <c r="M161" s="22">
        <v>21978</v>
      </c>
      <c r="N161" s="22">
        <v>8612</v>
      </c>
      <c r="O161" s="25">
        <v>3546.57</v>
      </c>
      <c r="P161" s="24">
        <v>85.4</v>
      </c>
      <c r="Q161" s="22">
        <v>1688</v>
      </c>
      <c r="R161" s="23">
        <v>470</v>
      </c>
      <c r="U161" s="19">
        <v>136</v>
      </c>
      <c r="V161" s="19">
        <v>0</v>
      </c>
      <c r="W161" s="19">
        <v>18</v>
      </c>
      <c r="X161" s="19">
        <f t="shared" si="45"/>
        <v>1.4776687231550756E-2</v>
      </c>
      <c r="Y161" s="19">
        <f t="shared" si="46"/>
        <v>0.15783976353218573</v>
      </c>
      <c r="Z161" s="19">
        <f t="shared" si="47"/>
        <v>1.8496485892313796</v>
      </c>
      <c r="AA161" s="19">
        <f t="shared" si="48"/>
        <v>6.8037012841560107E-2</v>
      </c>
      <c r="AB161" s="19">
        <f t="shared" si="49"/>
        <v>-5.0488283664885815E-2</v>
      </c>
      <c r="AC161" s="19">
        <f t="shared" si="50"/>
        <v>0.65139113641895008</v>
      </c>
      <c r="AD161" s="19">
        <f t="shared" si="51"/>
        <v>-0.19653817919044886</v>
      </c>
      <c r="AE161" s="19">
        <f t="shared" si="52"/>
        <v>0.23206924177576746</v>
      </c>
      <c r="AF161" s="19">
        <f t="shared" si="53"/>
        <v>0.19154290410297198</v>
      </c>
      <c r="AG161" s="19">
        <f t="shared" si="54"/>
        <v>7.9079521894726029E-2</v>
      </c>
      <c r="AH161" s="19">
        <f t="shared" si="55"/>
        <v>-9.9373161300124135E-2</v>
      </c>
      <c r="AI161" s="19">
        <f t="shared" si="56"/>
        <v>2.8828360943544247E-2</v>
      </c>
      <c r="AJ161" s="19">
        <f t="shared" si="57"/>
        <v>2.5196010874654815E-2</v>
      </c>
      <c r="AK161" s="19">
        <f t="shared" si="58"/>
        <v>-0.40520033915203707</v>
      </c>
      <c r="AL161" s="19">
        <f t="shared" si="59"/>
        <v>-0.14675787810083193</v>
      </c>
      <c r="BV161" s="16">
        <v>0</v>
      </c>
      <c r="BW161" s="18">
        <v>133</v>
      </c>
      <c r="BX161" s="48">
        <v>1.3815995670711445</v>
      </c>
      <c r="BY161" s="48">
        <v>-1.4426834148516035</v>
      </c>
      <c r="BZ161" s="18" t="e">
        <f t="shared" si="60"/>
        <v>#N/A</v>
      </c>
    </row>
    <row r="162" spans="1:78" x14ac:dyDescent="0.3">
      <c r="A162" s="19">
        <v>137</v>
      </c>
      <c r="B162" s="19">
        <v>0</v>
      </c>
      <c r="C162" s="19">
        <v>18</v>
      </c>
      <c r="D162" s="19">
        <v>31.382775929833301</v>
      </c>
      <c r="E162" s="22">
        <v>17696</v>
      </c>
      <c r="F162" s="22">
        <v>9340</v>
      </c>
      <c r="G162" s="23">
        <v>2515</v>
      </c>
      <c r="H162" s="23">
        <v>5841</v>
      </c>
      <c r="I162" s="24">
        <v>13.3</v>
      </c>
      <c r="J162" s="24">
        <v>59.1</v>
      </c>
      <c r="K162" s="22">
        <v>11907</v>
      </c>
      <c r="L162" s="22">
        <v>40103</v>
      </c>
      <c r="M162" s="22">
        <v>10503</v>
      </c>
      <c r="N162" s="22">
        <v>3622</v>
      </c>
      <c r="O162" s="25">
        <v>3112.52</v>
      </c>
      <c r="P162" s="24">
        <v>75</v>
      </c>
      <c r="Q162" s="22">
        <v>400</v>
      </c>
      <c r="R162" s="23">
        <v>0</v>
      </c>
      <c r="U162" s="19">
        <v>137</v>
      </c>
      <c r="V162" s="19">
        <v>0</v>
      </c>
      <c r="W162" s="19">
        <v>18</v>
      </c>
      <c r="X162" s="19">
        <f t="shared" si="45"/>
        <v>-0.81750926272514191</v>
      </c>
      <c r="Y162" s="19">
        <f t="shared" si="46"/>
        <v>-0.22469720993489878</v>
      </c>
      <c r="Z162" s="19">
        <f t="shared" si="47"/>
        <v>0.56978305691547304</v>
      </c>
      <c r="AA162" s="19">
        <f t="shared" si="48"/>
        <v>-0.58321790026780296</v>
      </c>
      <c r="AB162" s="19">
        <f t="shared" si="49"/>
        <v>-0.21162866159535557</v>
      </c>
      <c r="AC162" s="19">
        <f t="shared" si="50"/>
        <v>0.19578202804094449</v>
      </c>
      <c r="AD162" s="19">
        <f t="shared" si="51"/>
        <v>-0.29031370757630648</v>
      </c>
      <c r="AE162" s="19">
        <f t="shared" si="52"/>
        <v>-0.32072784817001998</v>
      </c>
      <c r="AF162" s="19">
        <f t="shared" si="53"/>
        <v>-0.32294838890117966</v>
      </c>
      <c r="AG162" s="19">
        <f t="shared" si="54"/>
        <v>-0.34228096710766542</v>
      </c>
      <c r="AH162" s="19">
        <f t="shared" si="55"/>
        <v>-0.30614319040912608</v>
      </c>
      <c r="AI162" s="19">
        <f t="shared" si="56"/>
        <v>-0.85097288498440538</v>
      </c>
      <c r="AJ162" s="19">
        <f t="shared" si="57"/>
        <v>-0.8498007815384192</v>
      </c>
      <c r="AK162" s="19">
        <f t="shared" si="58"/>
        <v>-0.43407755714767388</v>
      </c>
      <c r="AL162" s="19">
        <f t="shared" si="59"/>
        <v>-0.40402566857224581</v>
      </c>
      <c r="BV162" s="16">
        <v>0</v>
      </c>
      <c r="BW162" s="18">
        <v>134</v>
      </c>
      <c r="BX162" s="48">
        <v>1.7839394728999616</v>
      </c>
      <c r="BY162" s="48">
        <v>-0.26932893043417083</v>
      </c>
      <c r="BZ162" s="18" t="e">
        <f t="shared" si="60"/>
        <v>#N/A</v>
      </c>
    </row>
    <row r="163" spans="1:78" x14ac:dyDescent="0.3">
      <c r="A163" s="19">
        <v>138</v>
      </c>
      <c r="B163" s="19">
        <v>0</v>
      </c>
      <c r="C163" s="19">
        <v>18</v>
      </c>
      <c r="D163" s="19">
        <v>55.796097159279597</v>
      </c>
      <c r="E163" s="22">
        <v>39117</v>
      </c>
      <c r="F163" s="22">
        <v>19112</v>
      </c>
      <c r="G163" s="23">
        <v>9109</v>
      </c>
      <c r="H163" s="23">
        <v>10896</v>
      </c>
      <c r="I163" s="24">
        <v>15.2</v>
      </c>
      <c r="J163" s="24">
        <v>144</v>
      </c>
      <c r="K163" s="22">
        <v>20630</v>
      </c>
      <c r="L163" s="22">
        <v>73062</v>
      </c>
      <c r="M163" s="22">
        <v>21081</v>
      </c>
      <c r="N163" s="22">
        <v>7983</v>
      </c>
      <c r="O163" s="25">
        <v>3262.91</v>
      </c>
      <c r="P163" s="24">
        <v>78.599999999999994</v>
      </c>
      <c r="Q163" s="22">
        <v>3520</v>
      </c>
      <c r="R163" s="23">
        <v>500</v>
      </c>
      <c r="U163" s="19">
        <v>138</v>
      </c>
      <c r="V163" s="19">
        <v>0</v>
      </c>
      <c r="W163" s="19">
        <v>18</v>
      </c>
      <c r="X163" s="19">
        <f t="shared" si="45"/>
        <v>-6.2056094136400432E-2</v>
      </c>
      <c r="Y163" s="19">
        <f t="shared" si="46"/>
        <v>0.17672955284560471</v>
      </c>
      <c r="Z163" s="19">
        <f t="shared" si="47"/>
        <v>2.3636508110449967</v>
      </c>
      <c r="AA163" s="19">
        <f t="shared" si="48"/>
        <v>0.11813354461920342</v>
      </c>
      <c r="AB163" s="19">
        <f t="shared" si="49"/>
        <v>-0.10031893073466623</v>
      </c>
      <c r="AC163" s="19">
        <f t="shared" si="50"/>
        <v>0.55647257217353219</v>
      </c>
      <c r="AD163" s="19">
        <f t="shared" si="51"/>
        <v>-0.22558572090997064</v>
      </c>
      <c r="AE163" s="19">
        <f t="shared" si="52"/>
        <v>0.12650355746873942</v>
      </c>
      <c r="AF163" s="19">
        <f t="shared" si="53"/>
        <v>0.13862051866384384</v>
      </c>
      <c r="AG163" s="19">
        <f t="shared" si="54"/>
        <v>4.6141800009310334E-2</v>
      </c>
      <c r="AH163" s="19">
        <f t="shared" si="55"/>
        <v>-0.12543695855654943</v>
      </c>
      <c r="AI163" s="19">
        <f t="shared" si="56"/>
        <v>-0.54613862769813837</v>
      </c>
      <c r="AJ163" s="19">
        <f t="shared" si="57"/>
        <v>-0.54691727647235577</v>
      </c>
      <c r="AK163" s="19">
        <f t="shared" si="58"/>
        <v>-0.36412653218929891</v>
      </c>
      <c r="AL163" s="19">
        <f t="shared" si="59"/>
        <v>-0.13033652977286936</v>
      </c>
      <c r="BV163" s="16">
        <v>0</v>
      </c>
      <c r="BW163" s="18">
        <v>135</v>
      </c>
      <c r="BX163" s="48">
        <v>-0.3970157335799378</v>
      </c>
      <c r="BY163" s="48">
        <v>-1.0501599423928951</v>
      </c>
      <c r="BZ163" s="18" t="e">
        <f t="shared" si="60"/>
        <v>#N/A</v>
      </c>
    </row>
    <row r="164" spans="1:78" x14ac:dyDescent="0.3">
      <c r="A164" s="19">
        <v>139</v>
      </c>
      <c r="B164" s="19">
        <v>0</v>
      </c>
      <c r="C164" s="19">
        <v>18</v>
      </c>
      <c r="D164" s="19">
        <v>53.515740944129497</v>
      </c>
      <c r="E164" s="22">
        <v>26299</v>
      </c>
      <c r="F164" s="22">
        <v>14638</v>
      </c>
      <c r="G164" s="23">
        <v>4121</v>
      </c>
      <c r="H164" s="23">
        <v>7540</v>
      </c>
      <c r="I164" s="24">
        <v>13.8</v>
      </c>
      <c r="J164" s="24">
        <v>88.6</v>
      </c>
      <c r="K164" s="22">
        <v>21841</v>
      </c>
      <c r="L164" s="22">
        <v>69969</v>
      </c>
      <c r="M164" s="22">
        <v>20307</v>
      </c>
      <c r="N164" s="22">
        <v>7616</v>
      </c>
      <c r="O164" s="25">
        <v>3021.31</v>
      </c>
      <c r="P164" s="24">
        <v>72.8</v>
      </c>
      <c r="Q164" s="22">
        <v>2581</v>
      </c>
      <c r="R164" s="23">
        <v>626</v>
      </c>
      <c r="U164" s="19">
        <v>139</v>
      </c>
      <c r="V164" s="19">
        <v>0</v>
      </c>
      <c r="W164" s="19">
        <v>18</v>
      </c>
      <c r="X164" s="19">
        <f t="shared" si="45"/>
        <v>-0.13262012399761913</v>
      </c>
      <c r="Y164" s="19">
        <f t="shared" si="46"/>
        <v>-6.3478105308566138E-2</v>
      </c>
      <c r="Z164" s="19">
        <f t="shared" si="47"/>
        <v>1.5423486894756671</v>
      </c>
      <c r="AA164" s="19">
        <f t="shared" si="48"/>
        <v>-0.41240042673299365</v>
      </c>
      <c r="AB164" s="19">
        <f t="shared" si="49"/>
        <v>-0.17421714176700517</v>
      </c>
      <c r="AC164" s="19">
        <f t="shared" si="50"/>
        <v>0.29070059228636241</v>
      </c>
      <c r="AD164" s="19">
        <f t="shared" si="51"/>
        <v>-0.26782282881709674</v>
      </c>
      <c r="AE164" s="19">
        <f t="shared" si="52"/>
        <v>0.18859197111410655</v>
      </c>
      <c r="AF164" s="19">
        <f t="shared" si="53"/>
        <v>9.5305107665372479E-2</v>
      </c>
      <c r="AG164" s="19">
        <f t="shared" si="54"/>
        <v>1.7720621927580404E-2</v>
      </c>
      <c r="AH164" s="19">
        <f t="shared" si="55"/>
        <v>-0.1406442933627626</v>
      </c>
      <c r="AI164" s="19">
        <f t="shared" si="56"/>
        <v>-1.0358517506475509</v>
      </c>
      <c r="AJ164" s="19">
        <f t="shared" si="57"/>
        <v>-1.0348962568565696</v>
      </c>
      <c r="AK164" s="19">
        <f t="shared" si="58"/>
        <v>-0.38517910027773294</v>
      </c>
      <c r="AL164" s="19">
        <f t="shared" si="59"/>
        <v>-6.1366866795426488E-2</v>
      </c>
      <c r="BV164" s="16">
        <v>0</v>
      </c>
      <c r="BW164" s="18">
        <v>136</v>
      </c>
      <c r="BX164" s="48">
        <v>0.13379758361633415</v>
      </c>
      <c r="BY164" s="48">
        <v>-0.90740598668126216</v>
      </c>
      <c r="BZ164" s="18" t="e">
        <f t="shared" si="60"/>
        <v>#N/A</v>
      </c>
    </row>
    <row r="165" spans="1:78" x14ac:dyDescent="0.3">
      <c r="A165" s="19">
        <v>140</v>
      </c>
      <c r="B165" s="19">
        <v>0</v>
      </c>
      <c r="C165" s="19">
        <v>18</v>
      </c>
      <c r="D165" s="19">
        <v>42.745523750996497</v>
      </c>
      <c r="E165" s="22">
        <v>19613</v>
      </c>
      <c r="F165" s="22">
        <v>10187</v>
      </c>
      <c r="G165" s="23">
        <v>3463</v>
      </c>
      <c r="H165" s="23">
        <v>5963</v>
      </c>
      <c r="I165" s="24">
        <v>17.399999999999999</v>
      </c>
      <c r="J165" s="24">
        <v>83.1</v>
      </c>
      <c r="K165" s="22">
        <v>13220</v>
      </c>
      <c r="L165" s="22">
        <v>44189</v>
      </c>
      <c r="M165" s="22">
        <v>12292</v>
      </c>
      <c r="N165" s="22">
        <v>4267</v>
      </c>
      <c r="O165" s="25">
        <v>3302.16</v>
      </c>
      <c r="P165" s="24">
        <v>79.599999999999994</v>
      </c>
      <c r="Q165" s="22">
        <v>2688</v>
      </c>
      <c r="R165" s="23">
        <v>0</v>
      </c>
      <c r="U165" s="19">
        <v>140</v>
      </c>
      <c r="V165" s="19">
        <v>0</v>
      </c>
      <c r="W165" s="19">
        <v>18</v>
      </c>
      <c r="X165" s="19">
        <f t="shared" si="45"/>
        <v>-0.46589697021088639</v>
      </c>
      <c r="Y165" s="19">
        <f t="shared" si="46"/>
        <v>-0.18877287847277166</v>
      </c>
      <c r="Z165" s="19">
        <f t="shared" si="47"/>
        <v>0.72526872901409223</v>
      </c>
      <c r="AA165" s="19">
        <f t="shared" si="48"/>
        <v>-0.48238666433318328</v>
      </c>
      <c r="AB165" s="19">
        <f t="shared" si="49"/>
        <v>-0.20894225463887603</v>
      </c>
      <c r="AC165" s="19">
        <f t="shared" si="50"/>
        <v>0.97411425485337078</v>
      </c>
      <c r="AD165" s="19">
        <f t="shared" si="51"/>
        <v>-0.27201604350101721</v>
      </c>
      <c r="AE165" s="19">
        <f t="shared" si="52"/>
        <v>-0.25340985715733039</v>
      </c>
      <c r="AF165" s="19">
        <f t="shared" si="53"/>
        <v>-0.26572667233481884</v>
      </c>
      <c r="AG165" s="19">
        <f t="shared" si="54"/>
        <v>-0.27658912267844726</v>
      </c>
      <c r="AH165" s="19">
        <f t="shared" si="55"/>
        <v>-0.27941640307940541</v>
      </c>
      <c r="AI165" s="19">
        <f t="shared" si="56"/>
        <v>-0.46658051480176238</v>
      </c>
      <c r="AJ165" s="19">
        <f t="shared" si="57"/>
        <v>-0.46278296950956022</v>
      </c>
      <c r="AK165" s="19">
        <f t="shared" si="58"/>
        <v>-0.38278013884486556</v>
      </c>
      <c r="AL165" s="19">
        <f t="shared" si="59"/>
        <v>-0.40402566857224581</v>
      </c>
      <c r="BV165" s="16">
        <v>0</v>
      </c>
      <c r="BW165" s="18">
        <v>137</v>
      </c>
      <c r="BX165" s="48">
        <v>1.2524697090665706</v>
      </c>
      <c r="BY165" s="48">
        <v>-0.88270067888842696</v>
      </c>
      <c r="BZ165" s="18" t="e">
        <f t="shared" si="60"/>
        <v>#N/A</v>
      </c>
    </row>
    <row r="166" spans="1:78" x14ac:dyDescent="0.3">
      <c r="A166" s="19">
        <v>141</v>
      </c>
      <c r="B166" s="19">
        <v>0</v>
      </c>
      <c r="C166" s="19">
        <v>18</v>
      </c>
      <c r="D166" s="19">
        <v>91.736405913493698</v>
      </c>
      <c r="E166" s="22">
        <v>18332</v>
      </c>
      <c r="F166" s="22">
        <v>11785</v>
      </c>
      <c r="G166" s="23">
        <v>1231</v>
      </c>
      <c r="H166" s="23">
        <v>5316</v>
      </c>
      <c r="I166" s="24">
        <v>13.8</v>
      </c>
      <c r="J166" s="24">
        <v>26</v>
      </c>
      <c r="K166" s="22">
        <v>10111</v>
      </c>
      <c r="L166" s="22">
        <v>36101</v>
      </c>
      <c r="M166" s="22">
        <v>10324</v>
      </c>
      <c r="N166" s="22">
        <v>3212</v>
      </c>
      <c r="O166" s="25">
        <v>3168.23</v>
      </c>
      <c r="P166" s="24">
        <v>76.3</v>
      </c>
      <c r="Q166" s="22">
        <v>1888</v>
      </c>
      <c r="R166" s="23">
        <v>250</v>
      </c>
      <c r="U166" s="19">
        <v>141</v>
      </c>
      <c r="V166" s="19">
        <v>0</v>
      </c>
      <c r="W166" s="19">
        <v>18</v>
      </c>
      <c r="X166" s="19">
        <f t="shared" si="45"/>
        <v>1.0500916498452784</v>
      </c>
      <c r="Y166" s="19">
        <f t="shared" si="46"/>
        <v>-0.21277865239190824</v>
      </c>
      <c r="Z166" s="19">
        <f t="shared" si="47"/>
        <v>1.0186171398920065</v>
      </c>
      <c r="AA166" s="19">
        <f t="shared" si="48"/>
        <v>-0.71978678944507257</v>
      </c>
      <c r="AB166" s="19">
        <f t="shared" si="49"/>
        <v>-0.2231890193998782</v>
      </c>
      <c r="AC166" s="19">
        <f t="shared" si="50"/>
        <v>0.29070059228636241</v>
      </c>
      <c r="AD166" s="19">
        <f t="shared" si="51"/>
        <v>-0.31554923594680967</v>
      </c>
      <c r="AE166" s="19">
        <f t="shared" si="52"/>
        <v>-0.41280942612797156</v>
      </c>
      <c r="AF166" s="19">
        <f t="shared" si="53"/>
        <v>-0.37899374125031721</v>
      </c>
      <c r="AG166" s="19">
        <f t="shared" si="54"/>
        <v>-0.34885382353741951</v>
      </c>
      <c r="AH166" s="19">
        <f t="shared" si="55"/>
        <v>-0.3231323110373206</v>
      </c>
      <c r="AI166" s="19">
        <f t="shared" si="56"/>
        <v>-0.73805103862881016</v>
      </c>
      <c r="AJ166" s="19">
        <f t="shared" si="57"/>
        <v>-0.74042618248678527</v>
      </c>
      <c r="AK166" s="19">
        <f t="shared" si="58"/>
        <v>-0.40071629909060275</v>
      </c>
      <c r="AL166" s="19">
        <f t="shared" si="59"/>
        <v>-0.26718109917255756</v>
      </c>
      <c r="BV166" s="16">
        <v>0</v>
      </c>
      <c r="BW166" s="18">
        <v>138</v>
      </c>
      <c r="BX166" s="48">
        <v>0.40036050734973772</v>
      </c>
      <c r="BY166" s="48">
        <v>-1.6536169166624448</v>
      </c>
      <c r="BZ166" s="18" t="e">
        <f t="shared" si="60"/>
        <v>#N/A</v>
      </c>
    </row>
    <row r="167" spans="1:78" x14ac:dyDescent="0.3">
      <c r="A167" s="19">
        <v>142</v>
      </c>
      <c r="B167" s="19">
        <v>0</v>
      </c>
      <c r="C167" s="19">
        <v>18</v>
      </c>
      <c r="D167" s="19">
        <v>20.458137662961601</v>
      </c>
      <c r="E167" s="22">
        <v>21876</v>
      </c>
      <c r="F167" s="22">
        <v>9953</v>
      </c>
      <c r="G167" s="23">
        <v>4700</v>
      </c>
      <c r="H167" s="23">
        <v>7223</v>
      </c>
      <c r="I167" s="24">
        <v>15</v>
      </c>
      <c r="J167" s="24">
        <v>127.1</v>
      </c>
      <c r="K167" s="22">
        <v>15915</v>
      </c>
      <c r="L167" s="22">
        <v>49544</v>
      </c>
      <c r="M167" s="22">
        <v>14742</v>
      </c>
      <c r="N167" s="22">
        <v>5894</v>
      </c>
      <c r="O167" s="25">
        <v>3115.76</v>
      </c>
      <c r="P167" s="24">
        <v>75.099999999999994</v>
      </c>
      <c r="Q167" s="22">
        <v>1244</v>
      </c>
      <c r="R167" s="23">
        <v>0</v>
      </c>
      <c r="U167" s="19">
        <v>142</v>
      </c>
      <c r="V167" s="19">
        <v>0</v>
      </c>
      <c r="W167" s="19">
        <v>18</v>
      </c>
      <c r="X167" s="19">
        <f t="shared" si="45"/>
        <v>-1.1555645611758734</v>
      </c>
      <c r="Y167" s="19">
        <f t="shared" si="46"/>
        <v>-0.14636455186933206</v>
      </c>
      <c r="Z167" s="19">
        <f t="shared" si="47"/>
        <v>0.68231282904823998</v>
      </c>
      <c r="AA167" s="19">
        <f t="shared" si="48"/>
        <v>-0.35081679212735573</v>
      </c>
      <c r="AB167" s="19">
        <f t="shared" si="49"/>
        <v>-0.1811973959080217</v>
      </c>
      <c r="AC167" s="19">
        <f t="shared" si="50"/>
        <v>0.51850514647536516</v>
      </c>
      <c r="AD167" s="19">
        <f t="shared" si="51"/>
        <v>-0.23847032602965351</v>
      </c>
      <c r="AE167" s="19">
        <f t="shared" si="52"/>
        <v>-0.1152362198540567</v>
      </c>
      <c r="AF167" s="19">
        <f t="shared" si="53"/>
        <v>-0.19073345348683496</v>
      </c>
      <c r="AG167" s="19">
        <f t="shared" si="54"/>
        <v>-0.18662544528795846</v>
      </c>
      <c r="AH167" s="19">
        <f t="shared" si="55"/>
        <v>-0.2119986000011797</v>
      </c>
      <c r="AI167" s="19">
        <f t="shared" si="56"/>
        <v>-0.84440554012365943</v>
      </c>
      <c r="AJ167" s="19">
        <f t="shared" si="57"/>
        <v>-0.84138735084214011</v>
      </c>
      <c r="AK167" s="19">
        <f t="shared" si="58"/>
        <v>-0.41515490808842115</v>
      </c>
      <c r="AL167" s="19">
        <f t="shared" si="59"/>
        <v>-0.40402566857224581</v>
      </c>
      <c r="BV167" s="16">
        <v>0</v>
      </c>
      <c r="BW167" s="18">
        <v>139</v>
      </c>
      <c r="BX167" s="48">
        <v>0.8046772206540076</v>
      </c>
      <c r="BY167" s="48">
        <v>-1.7759760650453669</v>
      </c>
      <c r="BZ167" s="18" t="e">
        <f t="shared" si="60"/>
        <v>#N/A</v>
      </c>
    </row>
    <row r="168" spans="1:78" x14ac:dyDescent="0.3">
      <c r="A168" s="19">
        <v>143</v>
      </c>
      <c r="B168" s="19">
        <v>0</v>
      </c>
      <c r="C168" s="19">
        <v>18</v>
      </c>
      <c r="D168" s="19">
        <v>48.623697073372</v>
      </c>
      <c r="E168" s="22">
        <v>49054</v>
      </c>
      <c r="F168" s="22">
        <v>14639</v>
      </c>
      <c r="G168" s="23">
        <v>20232</v>
      </c>
      <c r="H168" s="23">
        <v>14183</v>
      </c>
      <c r="I168" s="24">
        <v>11</v>
      </c>
      <c r="J168" s="24">
        <v>520.29999999999995</v>
      </c>
      <c r="K168" s="22">
        <v>25648</v>
      </c>
      <c r="L168" s="22">
        <v>85959</v>
      </c>
      <c r="M168" s="22">
        <v>24656</v>
      </c>
      <c r="N168" s="22">
        <v>10643</v>
      </c>
      <c r="O168" s="25">
        <v>3532.3</v>
      </c>
      <c r="P168" s="24">
        <v>85.1</v>
      </c>
      <c r="Q168" s="22">
        <v>6179</v>
      </c>
      <c r="R168" s="23">
        <v>3</v>
      </c>
      <c r="U168" s="19">
        <v>143</v>
      </c>
      <c r="V168" s="19">
        <v>0</v>
      </c>
      <c r="W168" s="19">
        <v>18</v>
      </c>
      <c r="X168" s="19">
        <f t="shared" si="45"/>
        <v>-0.284001003653652</v>
      </c>
      <c r="Y168" s="19">
        <f t="shared" si="46"/>
        <v>0.3629476445196565</v>
      </c>
      <c r="Z168" s="19">
        <f t="shared" si="47"/>
        <v>1.5425322616977435</v>
      </c>
      <c r="AA168" s="19">
        <f t="shared" si="48"/>
        <v>1.3011987738394297</v>
      </c>
      <c r="AB168" s="19">
        <f t="shared" si="49"/>
        <v>-2.7940081013778813E-2</v>
      </c>
      <c r="AC168" s="19">
        <f t="shared" si="50"/>
        <v>-0.24084336748797794</v>
      </c>
      <c r="AD168" s="19">
        <f t="shared" si="51"/>
        <v>6.1306403737169356E-2</v>
      </c>
      <c r="AE168" s="19">
        <f t="shared" si="52"/>
        <v>0.3837782557944639</v>
      </c>
      <c r="AF168" s="19">
        <f t="shared" si="53"/>
        <v>0.31923443901537479</v>
      </c>
      <c r="AG168" s="19">
        <f t="shared" si="54"/>
        <v>0.1774153292627787</v>
      </c>
      <c r="AH168" s="19">
        <f t="shared" si="55"/>
        <v>-1.5214858871189677E-2</v>
      </c>
      <c r="AI168" s="19">
        <f t="shared" si="56"/>
        <v>-9.6333859800575708E-5</v>
      </c>
      <c r="AJ168" s="19">
        <f t="shared" si="57"/>
        <v>-4.4281214184800787E-5</v>
      </c>
      <c r="AK168" s="19">
        <f t="shared" si="58"/>
        <v>-0.30451121957252997</v>
      </c>
      <c r="AL168" s="19">
        <f t="shared" si="59"/>
        <v>-0.40238353373944952</v>
      </c>
      <c r="BV168" s="16">
        <v>0</v>
      </c>
      <c r="BW168" s="18">
        <v>140</v>
      </c>
      <c r="BX168" s="48">
        <v>1.106345552653518</v>
      </c>
      <c r="BY168" s="48">
        <v>-0.83596480530608375</v>
      </c>
      <c r="BZ168" s="18" t="e">
        <f t="shared" si="60"/>
        <v>#N/A</v>
      </c>
    </row>
    <row r="169" spans="1:78" x14ac:dyDescent="0.3">
      <c r="A169" s="19">
        <v>144</v>
      </c>
      <c r="B169" s="19">
        <v>0</v>
      </c>
      <c r="C169" s="19">
        <v>14</v>
      </c>
      <c r="D169" s="19">
        <v>78.020814445228893</v>
      </c>
      <c r="E169" s="22">
        <v>21794</v>
      </c>
      <c r="F169" s="22">
        <v>8535</v>
      </c>
      <c r="G169" s="23">
        <v>4922</v>
      </c>
      <c r="H169" s="23">
        <v>8337</v>
      </c>
      <c r="I169" s="24">
        <v>8.3000000000000007</v>
      </c>
      <c r="J169" s="24">
        <v>170.9</v>
      </c>
      <c r="K169" s="22">
        <v>15115</v>
      </c>
      <c r="L169" s="22">
        <v>46428</v>
      </c>
      <c r="M169" s="22">
        <v>12408</v>
      </c>
      <c r="N169" s="22">
        <v>6299</v>
      </c>
      <c r="O169" s="25">
        <v>3370.96</v>
      </c>
      <c r="P169" s="24">
        <v>81.2</v>
      </c>
      <c r="Q169" s="22">
        <v>6519</v>
      </c>
      <c r="R169" s="23">
        <v>70</v>
      </c>
      <c r="U169" s="19">
        <v>144</v>
      </c>
      <c r="V169" s="19">
        <v>0</v>
      </c>
      <c r="W169" s="19">
        <v>14</v>
      </c>
      <c r="X169" s="19">
        <f t="shared" si="45"/>
        <v>0.62567225453286279</v>
      </c>
      <c r="Y169" s="19">
        <f t="shared" si="46"/>
        <v>-0.14790122123808241</v>
      </c>
      <c r="Z169" s="19">
        <f t="shared" si="47"/>
        <v>0.42200741814405818</v>
      </c>
      <c r="AA169" s="19">
        <f t="shared" si="48"/>
        <v>-0.32720441409203338</v>
      </c>
      <c r="AB169" s="19">
        <f t="shared" si="49"/>
        <v>-0.15666741763328226</v>
      </c>
      <c r="AC169" s="19">
        <f t="shared" si="50"/>
        <v>-0.75340361441323445</v>
      </c>
      <c r="AD169" s="19">
        <f t="shared" si="51"/>
        <v>-0.20507708909225059</v>
      </c>
      <c r="AE169" s="19">
        <f t="shared" si="52"/>
        <v>-0.15625251293109527</v>
      </c>
      <c r="AF169" s="19">
        <f t="shared" si="53"/>
        <v>-0.23437096421145079</v>
      </c>
      <c r="AG169" s="19">
        <f t="shared" si="54"/>
        <v>-0.27232961795302002</v>
      </c>
      <c r="AH169" s="19">
        <f t="shared" si="55"/>
        <v>-0.19521666377088998</v>
      </c>
      <c r="AI169" s="19">
        <f t="shared" si="56"/>
        <v>-0.32712578442543921</v>
      </c>
      <c r="AJ169" s="19">
        <f t="shared" si="57"/>
        <v>-0.32816807836908668</v>
      </c>
      <c r="AK169" s="19">
        <f t="shared" si="58"/>
        <v>-0.29688835146809167</v>
      </c>
      <c r="AL169" s="19">
        <f t="shared" si="59"/>
        <v>-0.36570918914033307</v>
      </c>
      <c r="BV169" s="16">
        <v>0</v>
      </c>
      <c r="BW169" s="18">
        <v>141</v>
      </c>
      <c r="BX169" s="48">
        <v>1.4663900453988548</v>
      </c>
      <c r="BY169" s="48">
        <v>-1.2662618910795786</v>
      </c>
      <c r="BZ169" s="18" t="e">
        <f t="shared" si="60"/>
        <v>#N/A</v>
      </c>
    </row>
    <row r="170" spans="1:78" x14ac:dyDescent="0.3">
      <c r="A170" s="19">
        <v>145</v>
      </c>
      <c r="B170" s="19">
        <v>0</v>
      </c>
      <c r="C170" s="19">
        <v>16</v>
      </c>
      <c r="D170" s="19">
        <v>38.285507377191799</v>
      </c>
      <c r="E170" s="22">
        <v>18723</v>
      </c>
      <c r="F170" s="22">
        <v>3503</v>
      </c>
      <c r="G170" s="23">
        <v>6586</v>
      </c>
      <c r="H170" s="23">
        <v>8634</v>
      </c>
      <c r="I170" s="24">
        <v>13.8</v>
      </c>
      <c r="J170" s="24">
        <v>276.39999999999998</v>
      </c>
      <c r="K170" s="22">
        <v>15989</v>
      </c>
      <c r="L170" s="22">
        <v>57435</v>
      </c>
      <c r="M170" s="22">
        <v>17767</v>
      </c>
      <c r="N170" s="22">
        <v>10082</v>
      </c>
      <c r="O170" s="25">
        <v>3546.88</v>
      </c>
      <c r="P170" s="24">
        <v>85.4</v>
      </c>
      <c r="Q170" s="22">
        <v>21831</v>
      </c>
      <c r="R170" s="23">
        <v>61</v>
      </c>
      <c r="U170" s="19">
        <v>145</v>
      </c>
      <c r="V170" s="19">
        <v>0</v>
      </c>
      <c r="W170" s="19">
        <v>16</v>
      </c>
      <c r="X170" s="19">
        <f t="shared" si="45"/>
        <v>-0.6039090608183898</v>
      </c>
      <c r="Y170" s="19">
        <f t="shared" si="46"/>
        <v>-0.20545136308481815</v>
      </c>
      <c r="Z170" s="19">
        <f t="shared" si="47"/>
        <v>-0.50172800334384227</v>
      </c>
      <c r="AA170" s="19">
        <f t="shared" si="48"/>
        <v>-0.15021794089033813</v>
      </c>
      <c r="AB170" s="19">
        <f t="shared" si="49"/>
        <v>-0.15012755807529518</v>
      </c>
      <c r="AC170" s="19">
        <f t="shared" si="50"/>
        <v>0.29070059228636241</v>
      </c>
      <c r="AD170" s="19">
        <f t="shared" si="51"/>
        <v>-0.12464360742795806</v>
      </c>
      <c r="AE170" s="19">
        <f t="shared" si="52"/>
        <v>-0.11144221274443063</v>
      </c>
      <c r="AF170" s="19">
        <f t="shared" si="53"/>
        <v>-8.0225238747443584E-2</v>
      </c>
      <c r="AG170" s="19">
        <f t="shared" si="54"/>
        <v>-7.5547843611946774E-2</v>
      </c>
      <c r="AH170" s="19">
        <f t="shared" si="55"/>
        <v>-3.8460948316109536E-2</v>
      </c>
      <c r="AI170" s="19">
        <f t="shared" si="56"/>
        <v>2.9456718013553727E-2</v>
      </c>
      <c r="AJ170" s="19">
        <f t="shared" si="57"/>
        <v>2.5196010874654815E-2</v>
      </c>
      <c r="AK170" s="19">
        <f t="shared" si="58"/>
        <v>4.6409755635317816E-2</v>
      </c>
      <c r="AL170" s="19">
        <f t="shared" si="59"/>
        <v>-0.37063559363872184</v>
      </c>
      <c r="BV170" s="16">
        <v>0</v>
      </c>
      <c r="BW170" s="18">
        <v>142</v>
      </c>
      <c r="BX170" s="48">
        <v>0.9517730808973659</v>
      </c>
      <c r="BY170" s="48">
        <v>-1.0335896353877863</v>
      </c>
      <c r="BZ170" s="18" t="e">
        <f t="shared" si="60"/>
        <v>#N/A</v>
      </c>
    </row>
    <row r="171" spans="1:78" x14ac:dyDescent="0.3">
      <c r="A171" s="19">
        <v>146</v>
      </c>
      <c r="B171" s="19">
        <v>0</v>
      </c>
      <c r="C171" s="19">
        <v>30</v>
      </c>
      <c r="D171" s="19">
        <v>61.047163843935003</v>
      </c>
      <c r="E171" s="22">
        <v>12284</v>
      </c>
      <c r="F171" s="22">
        <v>2471</v>
      </c>
      <c r="G171" s="23">
        <v>5856</v>
      </c>
      <c r="H171" s="23">
        <v>3957</v>
      </c>
      <c r="I171" s="24">
        <v>11.2</v>
      </c>
      <c r="J171" s="24">
        <v>138.9</v>
      </c>
      <c r="K171" s="22">
        <v>9323</v>
      </c>
      <c r="L171" s="22">
        <v>29654</v>
      </c>
      <c r="M171" s="22">
        <v>8557</v>
      </c>
      <c r="N171" s="22">
        <v>4335</v>
      </c>
      <c r="O171" s="25">
        <v>3488.04</v>
      </c>
      <c r="P171" s="24">
        <v>84</v>
      </c>
      <c r="Q171" s="22">
        <v>2650</v>
      </c>
      <c r="R171" s="23">
        <v>1816</v>
      </c>
      <c r="U171" s="19">
        <v>146</v>
      </c>
      <c r="V171" s="19">
        <v>0</v>
      </c>
      <c r="W171" s="19">
        <v>30</v>
      </c>
      <c r="X171" s="19">
        <f t="shared" si="45"/>
        <v>0.10043449565721428</v>
      </c>
      <c r="Y171" s="19">
        <f t="shared" si="46"/>
        <v>-0.32611738827242198</v>
      </c>
      <c r="Z171" s="19">
        <f t="shared" si="47"/>
        <v>-0.69117453652657546</v>
      </c>
      <c r="AA171" s="19">
        <f t="shared" si="48"/>
        <v>-0.22786224704252414</v>
      </c>
      <c r="AB171" s="19">
        <f t="shared" si="49"/>
        <v>-0.25311383131672821</v>
      </c>
      <c r="AC171" s="19">
        <f t="shared" si="50"/>
        <v>-0.20287594178981092</v>
      </c>
      <c r="AD171" s="19">
        <f t="shared" si="51"/>
        <v>-0.22947397452596963</v>
      </c>
      <c r="AE171" s="19">
        <f t="shared" si="52"/>
        <v>-0.45321047480885457</v>
      </c>
      <c r="AF171" s="19">
        <f t="shared" si="53"/>
        <v>-0.46927969492220367</v>
      </c>
      <c r="AG171" s="19">
        <f t="shared" si="54"/>
        <v>-0.41373783086353938</v>
      </c>
      <c r="AH171" s="19">
        <f t="shared" si="55"/>
        <v>-0.27659869526789993</v>
      </c>
      <c r="AI171" s="19">
        <f t="shared" si="56"/>
        <v>-8.9809507790848203E-2</v>
      </c>
      <c r="AJ171" s="19">
        <f t="shared" si="57"/>
        <v>-9.2592018873259407E-2</v>
      </c>
      <c r="AK171" s="19">
        <f t="shared" si="58"/>
        <v>-0.38363210645653811</v>
      </c>
      <c r="AL171" s="19">
        <f t="shared" si="59"/>
        <v>0.59001328354708937</v>
      </c>
      <c r="BV171" s="16">
        <v>0</v>
      </c>
      <c r="BW171" s="18">
        <v>143</v>
      </c>
      <c r="BX171" s="48">
        <v>-0.71483224694057956</v>
      </c>
      <c r="BY171" s="48">
        <v>-0.59278803906721378</v>
      </c>
      <c r="BZ171" s="18" t="e">
        <f t="shared" si="60"/>
        <v>#N/A</v>
      </c>
    </row>
    <row r="172" spans="1:78" x14ac:dyDescent="0.3">
      <c r="A172" s="19">
        <v>147</v>
      </c>
      <c r="B172" s="19">
        <v>0</v>
      </c>
      <c r="C172" s="19">
        <v>30</v>
      </c>
      <c r="D172" s="19">
        <v>131.20379795583199</v>
      </c>
      <c r="E172" s="22">
        <v>17475</v>
      </c>
      <c r="F172" s="22">
        <v>6624</v>
      </c>
      <c r="G172" s="23">
        <v>6041</v>
      </c>
      <c r="H172" s="23">
        <v>4810</v>
      </c>
      <c r="I172" s="24">
        <v>6.8</v>
      </c>
      <c r="J172" s="24">
        <v>149.1</v>
      </c>
      <c r="K172" s="22">
        <v>10876</v>
      </c>
      <c r="L172" s="22">
        <v>34804</v>
      </c>
      <c r="M172" s="22">
        <v>9729</v>
      </c>
      <c r="N172" s="22">
        <v>5388</v>
      </c>
      <c r="O172" s="25">
        <v>3338.34</v>
      </c>
      <c r="P172" s="24">
        <v>80.400000000000006</v>
      </c>
      <c r="Q172" s="22">
        <v>1298</v>
      </c>
      <c r="R172" s="23">
        <v>172</v>
      </c>
      <c r="U172" s="19">
        <v>147</v>
      </c>
      <c r="V172" s="19">
        <v>0</v>
      </c>
      <c r="W172" s="19">
        <v>30</v>
      </c>
      <c r="X172" s="19">
        <f t="shared" si="45"/>
        <v>2.2713825219104868</v>
      </c>
      <c r="Y172" s="19">
        <f t="shared" si="46"/>
        <v>-0.22883872128238447</v>
      </c>
      <c r="Z172" s="19">
        <f t="shared" si="47"/>
        <v>7.1200901756264506E-2</v>
      </c>
      <c r="AA172" s="19">
        <f t="shared" si="48"/>
        <v>-0.2081852653464222</v>
      </c>
      <c r="AB172" s="19">
        <f t="shared" si="49"/>
        <v>-0.23433100235052287</v>
      </c>
      <c r="AC172" s="19">
        <f t="shared" si="50"/>
        <v>-1.0381593071494883</v>
      </c>
      <c r="AD172" s="19">
        <f t="shared" si="51"/>
        <v>-0.22169746729397166</v>
      </c>
      <c r="AE172" s="19">
        <f t="shared" si="52"/>
        <v>-0.3735875958730534</v>
      </c>
      <c r="AF172" s="19">
        <f t="shared" si="53"/>
        <v>-0.39715736493768133</v>
      </c>
      <c r="AG172" s="19">
        <f t="shared" si="54"/>
        <v>-0.37070214518939537</v>
      </c>
      <c r="AH172" s="19">
        <f t="shared" si="55"/>
        <v>-0.23296566106914662</v>
      </c>
      <c r="AI172" s="19">
        <f t="shared" si="56"/>
        <v>-0.39324516385677111</v>
      </c>
      <c r="AJ172" s="19">
        <f t="shared" si="57"/>
        <v>-0.39547552393932284</v>
      </c>
      <c r="AK172" s="19">
        <f t="shared" si="58"/>
        <v>-0.41394421727183389</v>
      </c>
      <c r="AL172" s="19">
        <f t="shared" si="59"/>
        <v>-0.3098766048252603</v>
      </c>
      <c r="BV172" s="16">
        <v>0</v>
      </c>
      <c r="BW172" s="18">
        <v>144</v>
      </c>
      <c r="BX172" s="48">
        <v>0.71256314773208862</v>
      </c>
      <c r="BY172" s="48">
        <v>-0.3005400439883309</v>
      </c>
      <c r="BZ172" s="18" t="e">
        <f t="shared" si="60"/>
        <v>#N/A</v>
      </c>
    </row>
    <row r="173" spans="1:78" x14ac:dyDescent="0.3">
      <c r="A173" s="19">
        <v>148</v>
      </c>
      <c r="B173" s="19">
        <v>0</v>
      </c>
      <c r="C173" s="19">
        <v>14</v>
      </c>
      <c r="D173" s="19">
        <v>93.957385483093205</v>
      </c>
      <c r="E173" s="22">
        <v>35237</v>
      </c>
      <c r="F173" s="22">
        <v>17703</v>
      </c>
      <c r="G173" s="23">
        <v>7060</v>
      </c>
      <c r="H173" s="23">
        <v>10474</v>
      </c>
      <c r="I173" s="24">
        <v>4.5</v>
      </c>
      <c r="J173" s="24">
        <v>563.79999999999995</v>
      </c>
      <c r="K173" s="22">
        <v>18606</v>
      </c>
      <c r="L173" s="22">
        <v>60987</v>
      </c>
      <c r="M173" s="22">
        <v>19026</v>
      </c>
      <c r="N173" s="22">
        <v>8765</v>
      </c>
      <c r="O173" s="25">
        <v>3913.66</v>
      </c>
      <c r="P173" s="24">
        <v>94.3</v>
      </c>
      <c r="Q173" s="22">
        <v>2584</v>
      </c>
      <c r="R173" s="23">
        <v>411</v>
      </c>
      <c r="U173" s="19">
        <v>148</v>
      </c>
      <c r="V173" s="19">
        <v>0</v>
      </c>
      <c r="W173" s="19">
        <v>14</v>
      </c>
      <c r="X173" s="19">
        <f t="shared" si="45"/>
        <v>1.1188183108946181</v>
      </c>
      <c r="Y173" s="19">
        <f t="shared" si="46"/>
        <v>0.10401885588522221</v>
      </c>
      <c r="Z173" s="19">
        <f t="shared" si="47"/>
        <v>2.1049975501395015</v>
      </c>
      <c r="AA173" s="19">
        <f t="shared" si="48"/>
        <v>-9.9802322923028305E-2</v>
      </c>
      <c r="AB173" s="19">
        <f t="shared" si="49"/>
        <v>-0.10961125643658727</v>
      </c>
      <c r="AC173" s="19">
        <f t="shared" si="50"/>
        <v>-1.4747847026784104</v>
      </c>
      <c r="AD173" s="19">
        <f t="shared" si="51"/>
        <v>9.4470919873631196E-2</v>
      </c>
      <c r="AE173" s="19">
        <f t="shared" si="52"/>
        <v>2.2732335983831814E-2</v>
      </c>
      <c r="AF173" s="19">
        <f t="shared" si="53"/>
        <v>-3.0481837562002168E-2</v>
      </c>
      <c r="AG173" s="19">
        <f t="shared" si="54"/>
        <v>-2.9317529393732316E-2</v>
      </c>
      <c r="AH173" s="19">
        <f t="shared" si="55"/>
        <v>-9.3033318724236896E-2</v>
      </c>
      <c r="AI173" s="19">
        <f t="shared" si="56"/>
        <v>0.77290447974942056</v>
      </c>
      <c r="AJ173" s="19">
        <f t="shared" si="57"/>
        <v>0.77399134284353432</v>
      </c>
      <c r="AK173" s="19">
        <f t="shared" si="58"/>
        <v>-0.3851118396768114</v>
      </c>
      <c r="AL173" s="19">
        <f t="shared" si="59"/>
        <v>-0.17905319647915835</v>
      </c>
      <c r="BV173" s="16">
        <v>0</v>
      </c>
      <c r="BW173" s="18">
        <v>145</v>
      </c>
      <c r="BX173" s="48">
        <v>0.25103100665703171</v>
      </c>
      <c r="BY173" s="48">
        <v>0.29277660615165474</v>
      </c>
      <c r="BZ173" s="18" t="e">
        <f t="shared" si="60"/>
        <v>#N/A</v>
      </c>
    </row>
    <row r="174" spans="1:78" x14ac:dyDescent="0.3">
      <c r="A174" s="19">
        <v>149</v>
      </c>
      <c r="B174" s="19">
        <v>0</v>
      </c>
      <c r="C174" s="19">
        <v>14</v>
      </c>
      <c r="D174" s="19">
        <v>50.188671701185001</v>
      </c>
      <c r="E174" s="22">
        <v>24529</v>
      </c>
      <c r="F174" s="22">
        <v>1174</v>
      </c>
      <c r="G174" s="23">
        <v>7288</v>
      </c>
      <c r="H174" s="23">
        <v>16067</v>
      </c>
      <c r="I174" s="24">
        <v>7.9</v>
      </c>
      <c r="J174" s="24">
        <v>217.6</v>
      </c>
      <c r="K174" s="22">
        <v>14903</v>
      </c>
      <c r="L174" s="22">
        <v>47187</v>
      </c>
      <c r="M174" s="22">
        <v>14852</v>
      </c>
      <c r="N174" s="22">
        <v>8380</v>
      </c>
      <c r="O174" s="25">
        <v>3752.28</v>
      </c>
      <c r="P174" s="24">
        <v>90.4</v>
      </c>
      <c r="Q174" s="22">
        <v>5862</v>
      </c>
      <c r="R174" s="23">
        <v>0</v>
      </c>
      <c r="U174" s="19">
        <v>149</v>
      </c>
      <c r="V174" s="19">
        <v>0</v>
      </c>
      <c r="W174" s="19">
        <v>14</v>
      </c>
      <c r="X174" s="19">
        <f t="shared" si="45"/>
        <v>-0.23557395719688723</v>
      </c>
      <c r="Y174" s="19">
        <f t="shared" si="46"/>
        <v>-9.6647675829152999E-2</v>
      </c>
      <c r="Z174" s="19">
        <f t="shared" si="47"/>
        <v>-0.9292677085595259</v>
      </c>
      <c r="AA174" s="19">
        <f t="shared" si="48"/>
        <v>-7.5551772508372944E-2</v>
      </c>
      <c r="AB174" s="19">
        <f t="shared" si="49"/>
        <v>1.3545088707593831E-2</v>
      </c>
      <c r="AC174" s="19">
        <f t="shared" si="50"/>
        <v>-0.82933846580956883</v>
      </c>
      <c r="AD174" s="19">
        <f t="shared" si="51"/>
        <v>-0.16947288441241681</v>
      </c>
      <c r="AE174" s="19">
        <f t="shared" si="52"/>
        <v>-0.16712183059651051</v>
      </c>
      <c r="AF174" s="19">
        <f t="shared" si="53"/>
        <v>-0.22374167324868333</v>
      </c>
      <c r="AG174" s="19">
        <f t="shared" si="54"/>
        <v>-0.18258625977246712</v>
      </c>
      <c r="AH174" s="19">
        <f t="shared" si="55"/>
        <v>-0.10898651736290739</v>
      </c>
      <c r="AI174" s="19">
        <f t="shared" si="56"/>
        <v>0.44579395085216877</v>
      </c>
      <c r="AJ174" s="19">
        <f t="shared" si="57"/>
        <v>0.44586754568863246</v>
      </c>
      <c r="AK174" s="19">
        <f t="shared" si="58"/>
        <v>-0.31161842306990334</v>
      </c>
      <c r="AL174" s="19">
        <f t="shared" si="59"/>
        <v>-0.40402566857224581</v>
      </c>
      <c r="BV174" s="16">
        <v>0</v>
      </c>
      <c r="BW174" s="18">
        <v>146</v>
      </c>
      <c r="BX174" s="48">
        <v>0.96131518644039138</v>
      </c>
      <c r="BY174" s="48">
        <v>0.54642828347549033</v>
      </c>
      <c r="BZ174" s="18" t="e">
        <f t="shared" si="60"/>
        <v>#N/A</v>
      </c>
    </row>
    <row r="175" spans="1:78" x14ac:dyDescent="0.3">
      <c r="A175" s="19">
        <v>150</v>
      </c>
      <c r="B175" s="19">
        <v>0</v>
      </c>
      <c r="C175" s="19">
        <v>14</v>
      </c>
      <c r="D175" s="19">
        <v>103.07596991811</v>
      </c>
      <c r="E175" s="22">
        <v>55617</v>
      </c>
      <c r="F175" s="22">
        <v>2311</v>
      </c>
      <c r="G175" s="23">
        <v>16781</v>
      </c>
      <c r="H175" s="23">
        <v>36525</v>
      </c>
      <c r="I175" s="24">
        <v>18.399999999999999</v>
      </c>
      <c r="J175" s="24">
        <v>641.20000000000005</v>
      </c>
      <c r="K175" s="22">
        <v>37131</v>
      </c>
      <c r="L175" s="22">
        <v>133827</v>
      </c>
      <c r="M175" s="22">
        <v>45201</v>
      </c>
      <c r="N175" s="22">
        <v>24683</v>
      </c>
      <c r="O175" s="25">
        <v>3743.89</v>
      </c>
      <c r="P175" s="24">
        <v>90.2</v>
      </c>
      <c r="Q175" s="22">
        <v>17561</v>
      </c>
      <c r="R175" s="23">
        <v>0</v>
      </c>
      <c r="U175" s="19">
        <v>150</v>
      </c>
      <c r="V175" s="19">
        <v>0</v>
      </c>
      <c r="W175" s="19">
        <v>14</v>
      </c>
      <c r="X175" s="19">
        <f t="shared" si="45"/>
        <v>1.4009865353543287</v>
      </c>
      <c r="Y175" s="19">
        <f t="shared" si="46"/>
        <v>0.48593741363073645</v>
      </c>
      <c r="Z175" s="19">
        <f t="shared" si="47"/>
        <v>-0.72054609205878206</v>
      </c>
      <c r="AA175" s="19">
        <f t="shared" si="48"/>
        <v>0.93414329365971194</v>
      </c>
      <c r="AB175" s="19">
        <f t="shared" si="49"/>
        <v>0.46402470768840148</v>
      </c>
      <c r="AC175" s="19">
        <f t="shared" si="50"/>
        <v>1.1639513833442066</v>
      </c>
      <c r="AD175" s="19">
        <f t="shared" si="51"/>
        <v>0.15348088651643924</v>
      </c>
      <c r="AE175" s="19">
        <f t="shared" si="52"/>
        <v>0.97251587254900629</v>
      </c>
      <c r="AF175" s="19">
        <f t="shared" si="53"/>
        <v>0.98959399080161048</v>
      </c>
      <c r="AG175" s="19">
        <f t="shared" si="54"/>
        <v>0.93182502395159195</v>
      </c>
      <c r="AH175" s="19">
        <f t="shared" si="55"/>
        <v>0.56655893044552119</v>
      </c>
      <c r="AI175" s="19">
        <f t="shared" si="56"/>
        <v>0.42878777079610197</v>
      </c>
      <c r="AJ175" s="19">
        <f t="shared" si="57"/>
        <v>0.42904068429607312</v>
      </c>
      <c r="AK175" s="19">
        <f t="shared" si="58"/>
        <v>-4.9324499676304354E-2</v>
      </c>
      <c r="AL175" s="19">
        <f t="shared" si="59"/>
        <v>-0.40402566857224581</v>
      </c>
      <c r="BV175" s="16">
        <v>0</v>
      </c>
      <c r="BW175" s="18">
        <v>147</v>
      </c>
      <c r="BX175" s="48">
        <v>1.0280353653140426</v>
      </c>
      <c r="BY175" s="48">
        <v>-0.36979146238544569</v>
      </c>
      <c r="BZ175" s="18" t="e">
        <f t="shared" si="60"/>
        <v>#N/A</v>
      </c>
    </row>
    <row r="176" spans="1:78" x14ac:dyDescent="0.3">
      <c r="A176" s="19">
        <v>151</v>
      </c>
      <c r="B176" s="19">
        <v>1</v>
      </c>
      <c r="C176" s="19">
        <v>14</v>
      </c>
      <c r="D176" s="19">
        <v>0</v>
      </c>
      <c r="E176" s="22">
        <v>46842</v>
      </c>
      <c r="F176" s="22">
        <v>5283</v>
      </c>
      <c r="G176" s="23">
        <v>11528</v>
      </c>
      <c r="H176" s="23">
        <v>30031</v>
      </c>
      <c r="I176" s="24">
        <v>6.3</v>
      </c>
      <c r="J176" s="24">
        <v>418.6</v>
      </c>
      <c r="K176" s="22">
        <v>38601</v>
      </c>
      <c r="L176" s="22">
        <v>108827</v>
      </c>
      <c r="M176" s="22">
        <v>29579</v>
      </c>
      <c r="N176" s="22">
        <v>30702</v>
      </c>
      <c r="O176" s="25">
        <v>4030.78</v>
      </c>
      <c r="P176" s="24">
        <v>97.1</v>
      </c>
      <c r="Q176" s="22">
        <v>12085</v>
      </c>
      <c r="R176" s="23">
        <v>1973</v>
      </c>
      <c r="U176" s="19">
        <v>151</v>
      </c>
      <c r="V176" s="19">
        <v>1</v>
      </c>
      <c r="W176" s="19">
        <v>14</v>
      </c>
      <c r="X176" s="19">
        <f t="shared" si="45"/>
        <v>-1.7886273376680637</v>
      </c>
      <c r="Y176" s="19">
        <f t="shared" si="46"/>
        <v>0.32149505130409822</v>
      </c>
      <c r="Z176" s="19">
        <f t="shared" si="47"/>
        <v>-0.17496944804804282</v>
      </c>
      <c r="AA176" s="19">
        <f t="shared" si="48"/>
        <v>0.37542337555363903</v>
      </c>
      <c r="AB176" s="19">
        <f t="shared" si="49"/>
        <v>0.32102858657874439</v>
      </c>
      <c r="AC176" s="19">
        <f t="shared" si="50"/>
        <v>-1.1330778713949061</v>
      </c>
      <c r="AD176" s="19">
        <f t="shared" si="51"/>
        <v>-1.622994778186897E-2</v>
      </c>
      <c r="AE176" s="19">
        <f t="shared" si="52"/>
        <v>1.0478833110780648</v>
      </c>
      <c r="AF176" s="19">
        <f t="shared" si="53"/>
        <v>0.63948559281849249</v>
      </c>
      <c r="AG176" s="19">
        <f t="shared" si="54"/>
        <v>0.35818724101517724</v>
      </c>
      <c r="AH176" s="19">
        <f t="shared" si="55"/>
        <v>0.81596750864333323</v>
      </c>
      <c r="AI176" s="19">
        <f t="shared" si="56"/>
        <v>1.0103018347156265</v>
      </c>
      <c r="AJ176" s="19">
        <f t="shared" si="57"/>
        <v>1.0095674023393615</v>
      </c>
      <c r="AK176" s="19">
        <f t="shared" si="58"/>
        <v>-0.1720975165583753</v>
      </c>
      <c r="AL176" s="19">
        <f t="shared" si="59"/>
        <v>0.67595167313009363</v>
      </c>
      <c r="BV176" s="16">
        <v>0</v>
      </c>
      <c r="BW176" s="18">
        <v>148</v>
      </c>
      <c r="BX176" s="48">
        <v>-0.15185744068863755</v>
      </c>
      <c r="BY176" s="48">
        <v>0.30533901582467154</v>
      </c>
      <c r="BZ176" s="18" t="e">
        <f t="shared" si="60"/>
        <v>#N/A</v>
      </c>
    </row>
    <row r="177" spans="1:78" x14ac:dyDescent="0.3">
      <c r="A177" s="19">
        <v>152</v>
      </c>
      <c r="B177" s="19">
        <v>0</v>
      </c>
      <c r="C177" s="19">
        <v>30</v>
      </c>
      <c r="D177" s="19">
        <v>53.755508080678602</v>
      </c>
      <c r="E177" s="22">
        <v>22848</v>
      </c>
      <c r="F177" s="22">
        <v>4192</v>
      </c>
      <c r="G177" s="23">
        <v>10805</v>
      </c>
      <c r="H177" s="23">
        <v>7851</v>
      </c>
      <c r="I177" s="24">
        <v>3.9</v>
      </c>
      <c r="J177" s="24">
        <v>313</v>
      </c>
      <c r="K177" s="22">
        <v>15524</v>
      </c>
      <c r="L177" s="22">
        <v>46767</v>
      </c>
      <c r="M177" s="22">
        <v>12434</v>
      </c>
      <c r="N177" s="22">
        <v>8171</v>
      </c>
      <c r="O177" s="25">
        <v>3547.42</v>
      </c>
      <c r="P177" s="24">
        <v>85.5</v>
      </c>
      <c r="Q177" s="22">
        <v>22813</v>
      </c>
      <c r="R177" s="23">
        <v>9440</v>
      </c>
      <c r="U177" s="19">
        <v>152</v>
      </c>
      <c r="V177" s="19">
        <v>0</v>
      </c>
      <c r="W177" s="19">
        <v>30</v>
      </c>
      <c r="X177" s="19">
        <f t="shared" si="45"/>
        <v>-0.12520069747522544</v>
      </c>
      <c r="Y177" s="19">
        <f t="shared" si="46"/>
        <v>-0.12814939788853522</v>
      </c>
      <c r="Z177" s="19">
        <f t="shared" si="47"/>
        <v>-0.37524674233327721</v>
      </c>
      <c r="AA177" s="19">
        <f t="shared" si="48"/>
        <v>0.29852360384400822</v>
      </c>
      <c r="AB177" s="19">
        <f t="shared" si="49"/>
        <v>-0.16736900600089749</v>
      </c>
      <c r="AC177" s="19">
        <f t="shared" si="50"/>
        <v>-1.588686979772912</v>
      </c>
      <c r="AD177" s="19">
        <f t="shared" si="51"/>
        <v>-9.6739669713141879E-2</v>
      </c>
      <c r="AE177" s="19">
        <f t="shared" si="52"/>
        <v>-0.1352829330954593</v>
      </c>
      <c r="AF177" s="19">
        <f t="shared" si="53"/>
        <v>-0.2296234943347997</v>
      </c>
      <c r="AG177" s="19">
        <f t="shared" si="54"/>
        <v>-0.27137490137663117</v>
      </c>
      <c r="AH177" s="19">
        <f t="shared" si="55"/>
        <v>-0.11764682519532851</v>
      </c>
      <c r="AI177" s="19">
        <f t="shared" si="56"/>
        <v>3.0551275490344559E-2</v>
      </c>
      <c r="AJ177" s="19">
        <f t="shared" si="57"/>
        <v>3.3609441570933887E-2</v>
      </c>
      <c r="AK177" s="19">
        <f t="shared" si="58"/>
        <v>6.8426392336960198E-2</v>
      </c>
      <c r="AL177" s="19">
        <f t="shared" si="59"/>
        <v>4.763225271959981</v>
      </c>
      <c r="BV177" s="16">
        <v>0</v>
      </c>
      <c r="BW177" s="18">
        <v>149</v>
      </c>
      <c r="BX177" s="48">
        <v>0.10679171253998876</v>
      </c>
      <c r="BY177" s="48">
        <v>1.1947872873104659</v>
      </c>
      <c r="BZ177" s="18" t="e">
        <f t="shared" si="60"/>
        <v>#N/A</v>
      </c>
    </row>
    <row r="178" spans="1:78" x14ac:dyDescent="0.3">
      <c r="A178" s="19">
        <v>153</v>
      </c>
      <c r="B178" s="19">
        <v>0</v>
      </c>
      <c r="C178" s="19">
        <v>30</v>
      </c>
      <c r="D178" s="19">
        <v>33.187834185343704</v>
      </c>
      <c r="E178" s="22">
        <v>15388</v>
      </c>
      <c r="F178" s="22">
        <v>3238</v>
      </c>
      <c r="G178" s="23">
        <v>7239</v>
      </c>
      <c r="H178" s="23">
        <v>4911</v>
      </c>
      <c r="I178" s="24">
        <v>6.7</v>
      </c>
      <c r="J178" s="24">
        <v>175.4</v>
      </c>
      <c r="K178" s="22">
        <v>12315</v>
      </c>
      <c r="L178" s="22">
        <v>37497</v>
      </c>
      <c r="M178" s="22">
        <v>9689</v>
      </c>
      <c r="N178" s="22">
        <v>6329</v>
      </c>
      <c r="O178" s="25">
        <v>3620.93</v>
      </c>
      <c r="P178" s="24">
        <v>87.2</v>
      </c>
      <c r="Q178" s="22">
        <v>4005</v>
      </c>
      <c r="R178" s="23">
        <v>15</v>
      </c>
      <c r="U178" s="19">
        <v>153</v>
      </c>
      <c r="V178" s="19">
        <v>0</v>
      </c>
      <c r="W178" s="19">
        <v>30</v>
      </c>
      <c r="X178" s="19">
        <f t="shared" si="45"/>
        <v>-0.76165299614852222</v>
      </c>
      <c r="Y178" s="19">
        <f t="shared" si="46"/>
        <v>-0.26794883070411601</v>
      </c>
      <c r="Z178" s="19">
        <f t="shared" si="47"/>
        <v>-0.55037464219405963</v>
      </c>
      <c r="AA178" s="19">
        <f t="shared" si="48"/>
        <v>-8.0763513606259399E-2</v>
      </c>
      <c r="AB178" s="19">
        <f t="shared" si="49"/>
        <v>-0.23210700970622422</v>
      </c>
      <c r="AC178" s="19">
        <f t="shared" si="50"/>
        <v>-1.0571430199985719</v>
      </c>
      <c r="AD178" s="19">
        <f t="shared" si="51"/>
        <v>-0.20164627707813385</v>
      </c>
      <c r="AE178" s="19">
        <f t="shared" si="52"/>
        <v>-0.29980953870073029</v>
      </c>
      <c r="AF178" s="19">
        <f t="shared" si="53"/>
        <v>-0.3594436883069399</v>
      </c>
      <c r="AG178" s="19">
        <f t="shared" si="54"/>
        <v>-0.37217093992230132</v>
      </c>
      <c r="AH178" s="19">
        <f t="shared" si="55"/>
        <v>-0.19397355738346109</v>
      </c>
      <c r="AI178" s="19">
        <f t="shared" si="56"/>
        <v>0.17955297941423198</v>
      </c>
      <c r="AJ178" s="19">
        <f t="shared" si="57"/>
        <v>0.17663776340768653</v>
      </c>
      <c r="AK178" s="19">
        <f t="shared" si="58"/>
        <v>-0.35325273504032073</v>
      </c>
      <c r="AL178" s="19">
        <f t="shared" si="59"/>
        <v>-0.39581499440826451</v>
      </c>
      <c r="BV178" s="16">
        <v>0</v>
      </c>
      <c r="BW178" s="18">
        <v>150</v>
      </c>
      <c r="BX178" s="48">
        <v>-1.6783937190189135</v>
      </c>
      <c r="BY178" s="48">
        <v>-0.45147429002454803</v>
      </c>
      <c r="BZ178" s="18" t="e">
        <f t="shared" si="60"/>
        <v>#N/A</v>
      </c>
    </row>
    <row r="179" spans="1:78" x14ac:dyDescent="0.3">
      <c r="A179" s="19">
        <v>154</v>
      </c>
      <c r="B179" s="19">
        <v>0</v>
      </c>
      <c r="C179" s="19">
        <v>16</v>
      </c>
      <c r="D179" s="19">
        <v>49.659488980912002</v>
      </c>
      <c r="E179" s="22">
        <v>27367</v>
      </c>
      <c r="F179" s="22">
        <v>6946</v>
      </c>
      <c r="G179" s="23">
        <v>7401</v>
      </c>
      <c r="H179" s="23">
        <v>13020</v>
      </c>
      <c r="I179" s="24">
        <v>14.3</v>
      </c>
      <c r="J179" s="24">
        <v>363.7</v>
      </c>
      <c r="K179" s="22">
        <v>21941</v>
      </c>
      <c r="L179" s="22">
        <v>88327</v>
      </c>
      <c r="M179" s="22">
        <v>28701</v>
      </c>
      <c r="N179" s="22">
        <v>13746</v>
      </c>
      <c r="O179" s="25">
        <v>3337.24</v>
      </c>
      <c r="P179" s="24">
        <v>80.400000000000006</v>
      </c>
      <c r="Q179" s="22">
        <v>20686</v>
      </c>
      <c r="R179" s="23">
        <v>1898</v>
      </c>
      <c r="U179" s="19">
        <v>154</v>
      </c>
      <c r="V179" s="19">
        <v>0</v>
      </c>
      <c r="W179" s="19">
        <v>16</v>
      </c>
      <c r="X179" s="19">
        <f t="shared" si="45"/>
        <v>-0.25194914675161517</v>
      </c>
      <c r="Y179" s="19">
        <f t="shared" si="46"/>
        <v>-4.346392377411034E-2</v>
      </c>
      <c r="Z179" s="19">
        <f t="shared" si="47"/>
        <v>0.13031115726483047</v>
      </c>
      <c r="AA179" s="19">
        <f t="shared" si="48"/>
        <v>-6.3532859364267433E-2</v>
      </c>
      <c r="AB179" s="19">
        <f t="shared" si="49"/>
        <v>-5.3549026016940379E-2</v>
      </c>
      <c r="AC179" s="19">
        <f t="shared" si="50"/>
        <v>0.3856191565317803</v>
      </c>
      <c r="AD179" s="19">
        <f t="shared" si="51"/>
        <v>-5.8085854354093254E-2</v>
      </c>
      <c r="AE179" s="19">
        <f t="shared" si="52"/>
        <v>0.19371900774873638</v>
      </c>
      <c r="AF179" s="19">
        <f t="shared" si="53"/>
        <v>0.35239670647233573</v>
      </c>
      <c r="AG179" s="19">
        <f t="shared" si="54"/>
        <v>0.32594719662789184</v>
      </c>
      <c r="AH179" s="19">
        <f t="shared" si="55"/>
        <v>0.11336377846853637</v>
      </c>
      <c r="AI179" s="19">
        <f t="shared" si="56"/>
        <v>-0.39547481797616074</v>
      </c>
      <c r="AJ179" s="19">
        <f t="shared" si="57"/>
        <v>-0.39547552393932284</v>
      </c>
      <c r="AK179" s="19">
        <f t="shared" si="58"/>
        <v>2.0738626283606485E-2</v>
      </c>
      <c r="AL179" s="19">
        <f t="shared" si="59"/>
        <v>0.63489830231018718</v>
      </c>
      <c r="BV179" s="16">
        <v>1</v>
      </c>
      <c r="BW179" s="18">
        <v>151</v>
      </c>
      <c r="BX179" s="48">
        <v>-1.8234133021412182</v>
      </c>
      <c r="BY179" s="48">
        <v>1.4886690784273446</v>
      </c>
      <c r="BZ179" s="18">
        <f t="shared" si="60"/>
        <v>1.4886690784273446</v>
      </c>
    </row>
    <row r="180" spans="1:78" x14ac:dyDescent="0.3">
      <c r="A180" s="19">
        <v>155</v>
      </c>
      <c r="B180" s="19">
        <v>0</v>
      </c>
      <c r="C180" s="19">
        <v>16</v>
      </c>
      <c r="D180" s="19">
        <v>42.893954411652203</v>
      </c>
      <c r="E180" s="22">
        <v>17778</v>
      </c>
      <c r="F180" s="22">
        <v>7303</v>
      </c>
      <c r="G180" s="23">
        <v>5339</v>
      </c>
      <c r="H180" s="23">
        <v>5136</v>
      </c>
      <c r="I180" s="24">
        <v>7.4</v>
      </c>
      <c r="J180" s="24">
        <v>162.4</v>
      </c>
      <c r="K180" s="22">
        <v>10541</v>
      </c>
      <c r="L180" s="22">
        <v>41789</v>
      </c>
      <c r="M180" s="22">
        <v>12976</v>
      </c>
      <c r="N180" s="22">
        <v>5526</v>
      </c>
      <c r="O180" s="25">
        <v>3321.49</v>
      </c>
      <c r="P180" s="24">
        <v>80</v>
      </c>
      <c r="Q180" s="22">
        <v>5676</v>
      </c>
      <c r="R180" s="23">
        <v>98</v>
      </c>
      <c r="U180" s="19">
        <v>155</v>
      </c>
      <c r="V180" s="19">
        <v>0</v>
      </c>
      <c r="W180" s="19">
        <v>16</v>
      </c>
      <c r="X180" s="19">
        <f t="shared" si="45"/>
        <v>-0.46130388712095333</v>
      </c>
      <c r="Y180" s="19">
        <f t="shared" si="46"/>
        <v>-0.22316054056614842</v>
      </c>
      <c r="Z180" s="19">
        <f t="shared" si="47"/>
        <v>0.19584644054606665</v>
      </c>
      <c r="AA180" s="19">
        <f t="shared" si="48"/>
        <v>-0.28285143372838739</v>
      </c>
      <c r="AB180" s="19">
        <f t="shared" si="49"/>
        <v>-0.22715257064714311</v>
      </c>
      <c r="AC180" s="19">
        <f t="shared" si="50"/>
        <v>-0.92425703005498672</v>
      </c>
      <c r="AD180" s="19">
        <f t="shared" si="51"/>
        <v>-0.21155751178558219</v>
      </c>
      <c r="AE180" s="19">
        <f t="shared" si="52"/>
        <v>-0.39076316859906335</v>
      </c>
      <c r="AF180" s="19">
        <f t="shared" si="53"/>
        <v>-0.29933707854119818</v>
      </c>
      <c r="AG180" s="19">
        <f t="shared" si="54"/>
        <v>-0.25147273274575571</v>
      </c>
      <c r="AH180" s="19">
        <f t="shared" si="55"/>
        <v>-0.22724737168697384</v>
      </c>
      <c r="AI180" s="19">
        <f t="shared" si="56"/>
        <v>-0.42739941104922885</v>
      </c>
      <c r="AJ180" s="19">
        <f t="shared" si="57"/>
        <v>-0.42912924672444153</v>
      </c>
      <c r="AK180" s="19">
        <f t="shared" si="58"/>
        <v>-0.31578858032703722</v>
      </c>
      <c r="AL180" s="19">
        <f t="shared" si="59"/>
        <v>-0.35038259736756799</v>
      </c>
      <c r="BV180" s="16">
        <v>0</v>
      </c>
      <c r="BW180" s="18">
        <v>152</v>
      </c>
      <c r="BX180" s="48">
        <v>3.7031560630135019E-2</v>
      </c>
      <c r="BY180" s="48">
        <v>1.3192413798165261</v>
      </c>
      <c r="BZ180" s="18" t="e">
        <f t="shared" si="60"/>
        <v>#N/A</v>
      </c>
    </row>
    <row r="181" spans="1:78" x14ac:dyDescent="0.3">
      <c r="A181" s="19">
        <v>156</v>
      </c>
      <c r="B181" s="19">
        <v>0</v>
      </c>
      <c r="C181" s="19">
        <v>30</v>
      </c>
      <c r="D181" s="19">
        <v>66.155878021681701</v>
      </c>
      <c r="E181" s="22">
        <v>16247</v>
      </c>
      <c r="F181" s="22">
        <v>6168</v>
      </c>
      <c r="G181" s="23">
        <v>6020</v>
      </c>
      <c r="H181" s="23">
        <v>4059</v>
      </c>
      <c r="I181" s="24">
        <v>5.0999999999999996</v>
      </c>
      <c r="J181" s="24">
        <v>223.6</v>
      </c>
      <c r="K181" s="22">
        <v>11838</v>
      </c>
      <c r="L181" s="22">
        <v>34500</v>
      </c>
      <c r="M181" s="22">
        <v>8429</v>
      </c>
      <c r="N181" s="22">
        <v>5712</v>
      </c>
      <c r="O181" s="25">
        <v>3812.62</v>
      </c>
      <c r="P181" s="24">
        <v>91.9</v>
      </c>
      <c r="Q181" s="22">
        <v>554</v>
      </c>
      <c r="R181" s="23">
        <v>16403</v>
      </c>
      <c r="U181" s="19">
        <v>156</v>
      </c>
      <c r="V181" s="19">
        <v>0</v>
      </c>
      <c r="W181" s="19">
        <v>30</v>
      </c>
      <c r="X181" s="19">
        <f t="shared" si="45"/>
        <v>0.25852008658197279</v>
      </c>
      <c r="Y181" s="19">
        <f t="shared" si="46"/>
        <v>-0.25185128207293855</v>
      </c>
      <c r="Z181" s="19">
        <f t="shared" si="47"/>
        <v>-1.2508031510524568E-2</v>
      </c>
      <c r="AA181" s="19">
        <f t="shared" si="48"/>
        <v>-0.21041886867408785</v>
      </c>
      <c r="AB181" s="19">
        <f t="shared" si="49"/>
        <v>-0.25086781894327809</v>
      </c>
      <c r="AC181" s="19">
        <f t="shared" si="50"/>
        <v>-1.3608824255839091</v>
      </c>
      <c r="AD181" s="19">
        <f t="shared" si="51"/>
        <v>-0.16489846839359448</v>
      </c>
      <c r="AE181" s="19">
        <f t="shared" si="52"/>
        <v>-0.32426550344791455</v>
      </c>
      <c r="AF181" s="19">
        <f t="shared" si="53"/>
        <v>-0.40141468305715605</v>
      </c>
      <c r="AG181" s="19">
        <f t="shared" si="54"/>
        <v>-0.41843797400883842</v>
      </c>
      <c r="AH181" s="19">
        <f t="shared" si="55"/>
        <v>-0.21954011208491483</v>
      </c>
      <c r="AI181" s="19">
        <f t="shared" si="56"/>
        <v>0.56810061409210011</v>
      </c>
      <c r="AJ181" s="19">
        <f t="shared" si="57"/>
        <v>0.57206900613282574</v>
      </c>
      <c r="AK181" s="19">
        <f t="shared" si="58"/>
        <v>-0.43062484630036951</v>
      </c>
      <c r="AL181" s="19">
        <f t="shared" si="59"/>
        <v>8.5746202188800975</v>
      </c>
      <c r="BV181" s="16">
        <v>0</v>
      </c>
      <c r="BW181" s="18">
        <v>153</v>
      </c>
      <c r="BX181" s="48">
        <v>0.48434082174706972</v>
      </c>
      <c r="BY181" s="48">
        <v>1.0494105361317718</v>
      </c>
      <c r="BZ181" s="18" t="e">
        <f t="shared" si="60"/>
        <v>#N/A</v>
      </c>
    </row>
    <row r="182" spans="1:78" x14ac:dyDescent="0.3">
      <c r="A182" s="19">
        <v>157</v>
      </c>
      <c r="B182" s="19">
        <v>0</v>
      </c>
      <c r="C182" s="19">
        <v>30</v>
      </c>
      <c r="D182" s="19">
        <v>64.188046552623305</v>
      </c>
      <c r="E182" s="22">
        <v>8036</v>
      </c>
      <c r="F182" s="22">
        <v>2102</v>
      </c>
      <c r="G182" s="23">
        <v>2439</v>
      </c>
      <c r="H182" s="23">
        <v>3495</v>
      </c>
      <c r="I182" s="24">
        <v>7.2</v>
      </c>
      <c r="J182" s="24">
        <v>194.3</v>
      </c>
      <c r="K182" s="22">
        <v>7235</v>
      </c>
      <c r="L182" s="22">
        <v>23283</v>
      </c>
      <c r="M182" s="22">
        <v>6566</v>
      </c>
      <c r="N182" s="22">
        <v>3575</v>
      </c>
      <c r="O182" s="25">
        <v>3207.93</v>
      </c>
      <c r="P182" s="24">
        <v>77.3</v>
      </c>
      <c r="Q182" s="22">
        <v>3830</v>
      </c>
      <c r="R182" s="23">
        <v>0</v>
      </c>
      <c r="U182" s="19">
        <v>157</v>
      </c>
      <c r="V182" s="19">
        <v>0</v>
      </c>
      <c r="W182" s="19">
        <v>30</v>
      </c>
      <c r="X182" s="19">
        <f t="shared" si="45"/>
        <v>0.19762691663688051</v>
      </c>
      <c r="Y182" s="19">
        <f t="shared" si="46"/>
        <v>-0.40572435752183045</v>
      </c>
      <c r="Z182" s="19">
        <f t="shared" si="47"/>
        <v>-0.75891268647272703</v>
      </c>
      <c r="AA182" s="19">
        <f t="shared" si="48"/>
        <v>-0.59130141707268802</v>
      </c>
      <c r="AB182" s="19">
        <f t="shared" si="49"/>
        <v>-0.26328694618470816</v>
      </c>
      <c r="AC182" s="19">
        <f t="shared" si="50"/>
        <v>-0.96222445575315385</v>
      </c>
      <c r="AD182" s="19">
        <f t="shared" si="51"/>
        <v>-0.18723686661884348</v>
      </c>
      <c r="AE182" s="19">
        <f t="shared" si="52"/>
        <v>-0.56026299973992522</v>
      </c>
      <c r="AF182" s="19">
        <f t="shared" si="53"/>
        <v>-0.55850131906422151</v>
      </c>
      <c r="AG182" s="19">
        <f t="shared" si="54"/>
        <v>-0.48684708869393256</v>
      </c>
      <c r="AH182" s="19">
        <f t="shared" si="55"/>
        <v>-0.30809072374943131</v>
      </c>
      <c r="AI182" s="19">
        <f t="shared" si="56"/>
        <v>-0.65758079450177542</v>
      </c>
      <c r="AJ182" s="19">
        <f t="shared" si="57"/>
        <v>-0.65629187552398971</v>
      </c>
      <c r="AK182" s="19">
        <f t="shared" si="58"/>
        <v>-0.35717627009407577</v>
      </c>
      <c r="AL182" s="19">
        <f t="shared" si="59"/>
        <v>-0.40402566857224581</v>
      </c>
      <c r="BV182" s="16">
        <v>0</v>
      </c>
      <c r="BW182" s="18">
        <v>154</v>
      </c>
      <c r="BX182" s="48">
        <v>-7.6931853992507654E-2</v>
      </c>
      <c r="BY182" s="48">
        <v>-0.60028445365310545</v>
      </c>
      <c r="BZ182" s="18" t="e">
        <f t="shared" si="60"/>
        <v>#N/A</v>
      </c>
    </row>
    <row r="183" spans="1:78" x14ac:dyDescent="0.3">
      <c r="A183" s="19">
        <v>158</v>
      </c>
      <c r="B183" s="19">
        <v>0</v>
      </c>
      <c r="C183" s="19">
        <v>16</v>
      </c>
      <c r="D183" s="19">
        <v>29.1461624770653</v>
      </c>
      <c r="E183" s="22">
        <v>18664</v>
      </c>
      <c r="F183" s="22">
        <v>4321</v>
      </c>
      <c r="G183" s="23">
        <v>6301</v>
      </c>
      <c r="H183" s="23">
        <v>8042</v>
      </c>
      <c r="I183" s="24">
        <v>7.4</v>
      </c>
      <c r="J183" s="24">
        <v>436.5</v>
      </c>
      <c r="K183" s="22">
        <v>11995</v>
      </c>
      <c r="L183" s="22">
        <v>49047</v>
      </c>
      <c r="M183" s="22">
        <v>14398</v>
      </c>
      <c r="N183" s="22">
        <v>5255</v>
      </c>
      <c r="O183" s="25">
        <v>3575.74</v>
      </c>
      <c r="P183" s="24">
        <v>86.1</v>
      </c>
      <c r="Q183" s="22">
        <v>9377</v>
      </c>
      <c r="R183" s="23">
        <v>0</v>
      </c>
      <c r="U183" s="19">
        <v>158</v>
      </c>
      <c r="V183" s="19">
        <v>0</v>
      </c>
      <c r="W183" s="19">
        <v>16</v>
      </c>
      <c r="X183" s="19">
        <f t="shared" si="45"/>
        <v>-0.88671970336620465</v>
      </c>
      <c r="Y183" s="19">
        <f t="shared" si="46"/>
        <v>-0.20655701543550437</v>
      </c>
      <c r="Z183" s="19">
        <f t="shared" si="47"/>
        <v>-0.35156592568543554</v>
      </c>
      <c r="AA183" s="19">
        <f t="shared" si="48"/>
        <v>-0.18053112890865733</v>
      </c>
      <c r="AB183" s="19">
        <f t="shared" si="49"/>
        <v>-0.1631632377329664</v>
      </c>
      <c r="AC183" s="19">
        <f t="shared" si="50"/>
        <v>-0.92425703005498672</v>
      </c>
      <c r="AD183" s="19">
        <f t="shared" si="51"/>
        <v>-2.5829399923823896E-3</v>
      </c>
      <c r="AE183" s="19">
        <f t="shared" si="52"/>
        <v>-0.31621605593154573</v>
      </c>
      <c r="AF183" s="19">
        <f t="shared" si="53"/>
        <v>-0.19769360843873934</v>
      </c>
      <c r="AG183" s="19">
        <f t="shared" si="54"/>
        <v>-0.19925707999094955</v>
      </c>
      <c r="AH183" s="19">
        <f t="shared" si="55"/>
        <v>-0.23847676605341461</v>
      </c>
      <c r="AI183" s="19">
        <f t="shared" si="56"/>
        <v>8.7954734273155907E-2</v>
      </c>
      <c r="AJ183" s="19">
        <f t="shared" si="57"/>
        <v>8.4090025748610728E-2</v>
      </c>
      <c r="AK183" s="19">
        <f t="shared" si="58"/>
        <v>-0.23281141899019564</v>
      </c>
      <c r="AL183" s="19">
        <f t="shared" si="59"/>
        <v>-0.40402566857224581</v>
      </c>
      <c r="BV183" s="16">
        <v>0</v>
      </c>
      <c r="BW183" s="18">
        <v>155</v>
      </c>
      <c r="BX183" s="48">
        <v>0.78372211038712347</v>
      </c>
      <c r="BY183" s="48">
        <v>-9.3861746911428658E-3</v>
      </c>
      <c r="BZ183" s="18" t="e">
        <f t="shared" si="60"/>
        <v>#N/A</v>
      </c>
    </row>
    <row r="184" spans="1:78" x14ac:dyDescent="0.3">
      <c r="A184" s="19">
        <v>159</v>
      </c>
      <c r="B184" s="19">
        <v>1</v>
      </c>
      <c r="C184" s="19">
        <v>16</v>
      </c>
      <c r="D184" s="19">
        <v>0</v>
      </c>
      <c r="E184" s="22">
        <v>52906</v>
      </c>
      <c r="F184" s="22">
        <v>540</v>
      </c>
      <c r="G184" s="23">
        <v>12475</v>
      </c>
      <c r="H184" s="23">
        <v>39891</v>
      </c>
      <c r="I184" s="24">
        <v>5.3</v>
      </c>
      <c r="J184" s="24">
        <v>577.6</v>
      </c>
      <c r="K184" s="22">
        <v>17862</v>
      </c>
      <c r="L184" s="22">
        <v>73773</v>
      </c>
      <c r="M184" s="22">
        <v>27296</v>
      </c>
      <c r="N184" s="22">
        <v>20686</v>
      </c>
      <c r="O184" s="25">
        <v>4225.1499999999996</v>
      </c>
      <c r="P184" s="24">
        <v>101.8</v>
      </c>
      <c r="Q184" s="22">
        <v>44925</v>
      </c>
      <c r="R184" s="23">
        <v>0</v>
      </c>
      <c r="U184" s="19">
        <v>159</v>
      </c>
      <c r="V184" s="19">
        <v>1</v>
      </c>
      <c r="W184" s="19">
        <v>16</v>
      </c>
      <c r="X184" s="19">
        <f t="shared" si="45"/>
        <v>-1.7886273376680637</v>
      </c>
      <c r="Y184" s="19">
        <f t="shared" si="46"/>
        <v>0.4351336251102218</v>
      </c>
      <c r="Z184" s="19">
        <f t="shared" si="47"/>
        <v>-1.0456524973558949</v>
      </c>
      <c r="AA184" s="19">
        <f t="shared" si="48"/>
        <v>0.47614824942503653</v>
      </c>
      <c r="AB184" s="19">
        <f t="shared" si="49"/>
        <v>0.53814311601225517</v>
      </c>
      <c r="AC184" s="19">
        <f t="shared" si="50"/>
        <v>-1.3229149998857419</v>
      </c>
      <c r="AD184" s="19">
        <f t="shared" si="51"/>
        <v>0.10499207671692259</v>
      </c>
      <c r="AE184" s="19">
        <f t="shared" si="52"/>
        <v>-1.5412816577814062E-2</v>
      </c>
      <c r="AF184" s="19">
        <f t="shared" si="53"/>
        <v>0.14857760150248372</v>
      </c>
      <c r="AG184" s="19">
        <f t="shared" si="54"/>
        <v>0.27435578163457069</v>
      </c>
      <c r="AH184" s="19">
        <f t="shared" si="55"/>
        <v>0.40093572276041484</v>
      </c>
      <c r="AI184" s="19">
        <f t="shared" si="56"/>
        <v>1.4042817176116409</v>
      </c>
      <c r="AJ184" s="19">
        <f t="shared" si="57"/>
        <v>1.4049986450645009</v>
      </c>
      <c r="AK184" s="19">
        <f t="shared" si="58"/>
        <v>0.56418186152913563</v>
      </c>
      <c r="AL184" s="19">
        <f t="shared" si="59"/>
        <v>-0.40402566857224581</v>
      </c>
      <c r="BV184" s="16">
        <v>0</v>
      </c>
      <c r="BW184" s="18">
        <v>156</v>
      </c>
      <c r="BX184" s="48">
        <v>0.51715403057332532</v>
      </c>
      <c r="BY184" s="48">
        <v>2.1351573535490638</v>
      </c>
      <c r="BZ184" s="18" t="e">
        <f t="shared" si="60"/>
        <v>#N/A</v>
      </c>
    </row>
    <row r="185" spans="1:78" x14ac:dyDescent="0.3">
      <c r="A185" s="19">
        <v>160</v>
      </c>
      <c r="B185" s="19">
        <v>0</v>
      </c>
      <c r="C185" s="19">
        <v>16</v>
      </c>
      <c r="D185" s="19">
        <v>57.106125766701098</v>
      </c>
      <c r="E185" s="22">
        <v>23175</v>
      </c>
      <c r="F185" s="22">
        <v>3719</v>
      </c>
      <c r="G185" s="23">
        <v>8166</v>
      </c>
      <c r="H185" s="23">
        <v>11290</v>
      </c>
      <c r="I185" s="24">
        <v>11.8</v>
      </c>
      <c r="J185" s="24">
        <v>545.9</v>
      </c>
      <c r="K185" s="22">
        <v>14752</v>
      </c>
      <c r="L185" s="22">
        <v>60857</v>
      </c>
      <c r="M185" s="22">
        <v>20530</v>
      </c>
      <c r="N185" s="22">
        <v>9103</v>
      </c>
      <c r="O185" s="25">
        <v>4444.99</v>
      </c>
      <c r="P185" s="24">
        <v>107.1</v>
      </c>
      <c r="Q185" s="22">
        <v>20530</v>
      </c>
      <c r="R185" s="23">
        <v>150</v>
      </c>
      <c r="U185" s="19">
        <v>160</v>
      </c>
      <c r="V185" s="19">
        <v>0</v>
      </c>
      <c r="W185" s="19">
        <v>16</v>
      </c>
      <c r="X185" s="19">
        <f t="shared" si="45"/>
        <v>-2.1518174157500656E-2</v>
      </c>
      <c r="Y185" s="19">
        <f t="shared" si="46"/>
        <v>-0.12202146028388441</v>
      </c>
      <c r="Z185" s="19">
        <f t="shared" si="47"/>
        <v>-0.46207640337536321</v>
      </c>
      <c r="AA185" s="19">
        <f t="shared" si="48"/>
        <v>1.7834119000694631E-2</v>
      </c>
      <c r="AB185" s="19">
        <f t="shared" si="49"/>
        <v>-9.1643157448986379E-2</v>
      </c>
      <c r="AC185" s="19">
        <f t="shared" si="50"/>
        <v>-8.8973664695309179E-2</v>
      </c>
      <c r="AD185" s="19">
        <f t="shared" si="51"/>
        <v>8.082391208414462E-2</v>
      </c>
      <c r="AE185" s="19">
        <f t="shared" si="52"/>
        <v>-0.17486365591480152</v>
      </c>
      <c r="AF185" s="19">
        <f t="shared" si="53"/>
        <v>-3.2302401231514385E-2</v>
      </c>
      <c r="AG185" s="19">
        <f t="shared" si="54"/>
        <v>2.5909152563531018E-2</v>
      </c>
      <c r="AH185" s="19">
        <f t="shared" si="55"/>
        <v>-7.9027653425871633E-2</v>
      </c>
      <c r="AI185" s="19">
        <f t="shared" si="56"/>
        <v>1.8498882281629609</v>
      </c>
      <c r="AJ185" s="19">
        <f t="shared" si="57"/>
        <v>1.8509104719673168</v>
      </c>
      <c r="AK185" s="19">
        <f t="shared" si="58"/>
        <v>1.7241075035687736E-2</v>
      </c>
      <c r="AL185" s="19">
        <f t="shared" si="59"/>
        <v>-0.32191892693243285</v>
      </c>
      <c r="BV185" s="16">
        <v>0</v>
      </c>
      <c r="BW185" s="18">
        <v>157</v>
      </c>
      <c r="BX185" s="48">
        <v>1.2883103655369423</v>
      </c>
      <c r="BY185" s="48">
        <v>7.5105814775468627E-2</v>
      </c>
      <c r="BZ185" s="18" t="e">
        <f t="shared" si="60"/>
        <v>#N/A</v>
      </c>
    </row>
    <row r="186" spans="1:78" x14ac:dyDescent="0.3">
      <c r="A186" s="19">
        <v>161</v>
      </c>
      <c r="B186" s="19">
        <v>0</v>
      </c>
      <c r="C186" s="19">
        <v>16</v>
      </c>
      <c r="D186" s="19">
        <v>23.550682946415101</v>
      </c>
      <c r="E186" s="22">
        <v>21250</v>
      </c>
      <c r="F186" s="22">
        <v>3654</v>
      </c>
      <c r="G186" s="23">
        <v>11705</v>
      </c>
      <c r="H186" s="23">
        <v>5891</v>
      </c>
      <c r="I186" s="24">
        <v>7.9</v>
      </c>
      <c r="J186" s="24">
        <v>233.5</v>
      </c>
      <c r="K186" s="22">
        <v>10099</v>
      </c>
      <c r="L186" s="22">
        <v>42010</v>
      </c>
      <c r="M186" s="22">
        <v>12490</v>
      </c>
      <c r="N186" s="22">
        <v>4882</v>
      </c>
      <c r="O186" s="25">
        <v>4183.01</v>
      </c>
      <c r="P186" s="24">
        <v>100.8</v>
      </c>
      <c r="Q186" s="22">
        <v>16916</v>
      </c>
      <c r="R186" s="23">
        <v>600</v>
      </c>
      <c r="U186" s="19">
        <v>161</v>
      </c>
      <c r="V186" s="19">
        <v>0</v>
      </c>
      <c r="W186" s="19">
        <v>16</v>
      </c>
      <c r="X186" s="19">
        <f t="shared" si="45"/>
        <v>-1.0598679080481863</v>
      </c>
      <c r="Y186" s="19">
        <f t="shared" si="46"/>
        <v>-0.15809571070881645</v>
      </c>
      <c r="Z186" s="19">
        <f t="shared" si="47"/>
        <v>-0.47400859781032217</v>
      </c>
      <c r="AA186" s="19">
        <f t="shared" si="48"/>
        <v>0.39424946074396355</v>
      </c>
      <c r="AB186" s="19">
        <f t="shared" si="49"/>
        <v>-0.21052767513778198</v>
      </c>
      <c r="AC186" s="19">
        <f t="shared" si="50"/>
        <v>-0.82933846580956883</v>
      </c>
      <c r="AD186" s="19">
        <f t="shared" si="51"/>
        <v>-0.15735068196253765</v>
      </c>
      <c r="AE186" s="19">
        <f t="shared" si="52"/>
        <v>-0.41342467052412712</v>
      </c>
      <c r="AF186" s="19">
        <f t="shared" si="53"/>
        <v>-0.29624212030302743</v>
      </c>
      <c r="AG186" s="19">
        <f t="shared" si="54"/>
        <v>-0.26931858875056286</v>
      </c>
      <c r="AH186" s="19">
        <f t="shared" si="55"/>
        <v>-0.25393272213711354</v>
      </c>
      <c r="AI186" s="19">
        <f t="shared" si="56"/>
        <v>1.3188656952561444</v>
      </c>
      <c r="AJ186" s="19">
        <f t="shared" si="57"/>
        <v>1.3208643381017053</v>
      </c>
      <c r="AK186" s="19">
        <f t="shared" si="58"/>
        <v>-6.3785528874429953E-2</v>
      </c>
      <c r="AL186" s="19">
        <f t="shared" si="59"/>
        <v>-7.5598702012994068E-2</v>
      </c>
      <c r="BV186" s="16">
        <v>0</v>
      </c>
      <c r="BW186" s="18">
        <v>158</v>
      </c>
      <c r="BX186" s="48">
        <v>0.33237067337899018</v>
      </c>
      <c r="BY186" s="48">
        <v>0.7864713801119062</v>
      </c>
      <c r="BZ186" s="18" t="e">
        <f t="shared" si="60"/>
        <v>#N/A</v>
      </c>
    </row>
    <row r="187" spans="1:78" x14ac:dyDescent="0.3">
      <c r="A187" s="19">
        <v>162</v>
      </c>
      <c r="B187" s="19">
        <v>0</v>
      </c>
      <c r="C187" s="19">
        <v>30</v>
      </c>
      <c r="D187" s="19">
        <v>82.459481785938195</v>
      </c>
      <c r="E187" s="22">
        <v>38096</v>
      </c>
      <c r="F187" s="22">
        <v>6540</v>
      </c>
      <c r="G187" s="23">
        <v>12764</v>
      </c>
      <c r="H187" s="23">
        <v>18792</v>
      </c>
      <c r="I187" s="24">
        <v>8</v>
      </c>
      <c r="J187" s="24">
        <v>554</v>
      </c>
      <c r="K187" s="22">
        <v>25955</v>
      </c>
      <c r="L187" s="22">
        <v>87263</v>
      </c>
      <c r="M187" s="22">
        <v>24352</v>
      </c>
      <c r="N187" s="22">
        <v>12845</v>
      </c>
      <c r="O187" s="25">
        <v>3569.05</v>
      </c>
      <c r="P187" s="24">
        <v>86</v>
      </c>
      <c r="Q187" s="22">
        <v>11652</v>
      </c>
      <c r="R187" s="23">
        <v>0</v>
      </c>
      <c r="U187" s="19">
        <v>162</v>
      </c>
      <c r="V187" s="19">
        <v>0</v>
      </c>
      <c r="W187" s="19">
        <v>30</v>
      </c>
      <c r="X187" s="19">
        <f t="shared" si="45"/>
        <v>0.76302371422715931</v>
      </c>
      <c r="Y187" s="19">
        <f t="shared" si="46"/>
        <v>0.15759614521762777</v>
      </c>
      <c r="Z187" s="19">
        <f t="shared" si="47"/>
        <v>5.578083510185599E-2</v>
      </c>
      <c r="AA187" s="19">
        <f t="shared" si="48"/>
        <v>0.5068868856962444</v>
      </c>
      <c r="AB187" s="19">
        <f t="shared" si="49"/>
        <v>7.3548850645354158E-2</v>
      </c>
      <c r="AC187" s="19">
        <f t="shared" si="50"/>
        <v>-0.81035475296048531</v>
      </c>
      <c r="AD187" s="19">
        <f t="shared" si="51"/>
        <v>8.6999373709554767E-2</v>
      </c>
      <c r="AE187" s="19">
        <f t="shared" si="52"/>
        <v>0.39951825826277743</v>
      </c>
      <c r="AF187" s="19">
        <f t="shared" si="53"/>
        <v>0.33749609305417422</v>
      </c>
      <c r="AG187" s="19">
        <f t="shared" si="54"/>
        <v>0.16625248929269357</v>
      </c>
      <c r="AH187" s="19">
        <f t="shared" si="55"/>
        <v>7.6029149966089338E-2</v>
      </c>
      <c r="AI187" s="19">
        <f t="shared" si="56"/>
        <v>7.439438331069162E-2</v>
      </c>
      <c r="AJ187" s="19">
        <f t="shared" si="57"/>
        <v>7.5676595052331652E-2</v>
      </c>
      <c r="AK187" s="19">
        <f t="shared" si="58"/>
        <v>-0.18180546329138056</v>
      </c>
      <c r="AL187" s="19">
        <f t="shared" si="59"/>
        <v>-0.40402566857224581</v>
      </c>
      <c r="BV187" s="16">
        <v>1</v>
      </c>
      <c r="BW187" s="18">
        <v>159</v>
      </c>
      <c r="BX187" s="48">
        <v>-1.7637026160768867</v>
      </c>
      <c r="BY187" s="48">
        <v>2.4241319297419412</v>
      </c>
      <c r="BZ187" s="18">
        <f t="shared" si="60"/>
        <v>2.4241319297419412</v>
      </c>
    </row>
    <row r="188" spans="1:78" x14ac:dyDescent="0.3">
      <c r="A188" s="19">
        <v>163</v>
      </c>
      <c r="B188" s="19">
        <v>0</v>
      </c>
      <c r="C188" s="19">
        <v>14</v>
      </c>
      <c r="D188" s="19">
        <v>83.240165354686297</v>
      </c>
      <c r="E188" s="22">
        <v>868103</v>
      </c>
      <c r="F188" s="22">
        <v>5717</v>
      </c>
      <c r="G188" s="23">
        <v>107001</v>
      </c>
      <c r="H188" s="23">
        <v>755385</v>
      </c>
      <c r="I188" s="24">
        <v>3.3</v>
      </c>
      <c r="J188" s="24">
        <v>22974.5</v>
      </c>
      <c r="K188" s="22">
        <v>291837</v>
      </c>
      <c r="L188" s="22">
        <v>1046632</v>
      </c>
      <c r="M188" s="22">
        <v>405882</v>
      </c>
      <c r="N188" s="22">
        <v>401339</v>
      </c>
      <c r="O188" s="25">
        <v>5585.89</v>
      </c>
      <c r="P188" s="24">
        <v>134.6</v>
      </c>
      <c r="Q188" s="22">
        <v>593148</v>
      </c>
      <c r="R188" s="23">
        <v>0</v>
      </c>
      <c r="U188" s="19">
        <v>163</v>
      </c>
      <c r="V188" s="19">
        <v>0</v>
      </c>
      <c r="W188" s="19">
        <v>14</v>
      </c>
      <c r="X188" s="19">
        <f t="shared" si="45"/>
        <v>0.78718142182183781</v>
      </c>
      <c r="Y188" s="19">
        <f t="shared" si="46"/>
        <v>15.71181971531974</v>
      </c>
      <c r="Z188" s="19">
        <f t="shared" si="47"/>
        <v>-9.5299103666932172E-2</v>
      </c>
      <c r="AA188" s="19">
        <f t="shared" si="48"/>
        <v>10.530128637564127</v>
      </c>
      <c r="AB188" s="19">
        <f t="shared" si="49"/>
        <v>16.293127205515333</v>
      </c>
      <c r="AC188" s="19">
        <f t="shared" si="50"/>
        <v>-1.7025892568674137</v>
      </c>
      <c r="AD188" s="19">
        <f t="shared" si="51"/>
        <v>17.180448432043871</v>
      </c>
      <c r="AE188" s="19">
        <f t="shared" si="52"/>
        <v>14.03138580314924</v>
      </c>
      <c r="AF188" s="19">
        <f t="shared" si="53"/>
        <v>13.772821839640814</v>
      </c>
      <c r="AG188" s="19">
        <f t="shared" si="54"/>
        <v>14.175983850432774</v>
      </c>
      <c r="AH188" s="19">
        <f t="shared" si="55"/>
        <v>16.174008245892463</v>
      </c>
      <c r="AI188" s="19">
        <f t="shared" si="56"/>
        <v>4.1624449416273031</v>
      </c>
      <c r="AJ188" s="19">
        <f t="shared" si="57"/>
        <v>4.1646039134441937</v>
      </c>
      <c r="AK188" s="19">
        <f t="shared" si="58"/>
        <v>12.855451334527599</v>
      </c>
      <c r="AL188" s="19">
        <f t="shared" si="59"/>
        <v>-0.40402566857224581</v>
      </c>
      <c r="BV188" s="16">
        <v>0</v>
      </c>
      <c r="BW188" s="18">
        <v>160</v>
      </c>
      <c r="BX188" s="48">
        <v>-0.57751072378606139</v>
      </c>
      <c r="BY188" s="48">
        <v>2.289280642800795</v>
      </c>
      <c r="BZ188" s="18" t="e">
        <f t="shared" si="60"/>
        <v>#N/A</v>
      </c>
    </row>
    <row r="189" spans="1:78" x14ac:dyDescent="0.3">
      <c r="A189" s="19">
        <v>164</v>
      </c>
      <c r="B189" s="19">
        <v>0</v>
      </c>
      <c r="C189" s="19">
        <v>16</v>
      </c>
      <c r="D189" s="19">
        <v>42.314759488247802</v>
      </c>
      <c r="E189" s="22">
        <v>8882</v>
      </c>
      <c r="F189" s="22">
        <v>2362</v>
      </c>
      <c r="G189" s="23">
        <v>2936</v>
      </c>
      <c r="H189" s="23">
        <v>3584</v>
      </c>
      <c r="I189" s="24">
        <v>12.4</v>
      </c>
      <c r="J189" s="24">
        <v>104.4</v>
      </c>
      <c r="K189" s="22">
        <v>7532</v>
      </c>
      <c r="L189" s="22">
        <v>27075</v>
      </c>
      <c r="M189" s="22">
        <v>8008</v>
      </c>
      <c r="N189" s="22">
        <v>4301</v>
      </c>
      <c r="O189" s="25">
        <v>3609.87</v>
      </c>
      <c r="P189" s="24">
        <v>87</v>
      </c>
      <c r="Q189" s="22">
        <v>6457</v>
      </c>
      <c r="R189" s="23">
        <v>1033</v>
      </c>
      <c r="U189" s="19">
        <v>164</v>
      </c>
      <c r="V189" s="19">
        <v>0</v>
      </c>
      <c r="W189" s="19">
        <v>16</v>
      </c>
      <c r="X189" s="19">
        <f t="shared" si="45"/>
        <v>-0.47922666935955383</v>
      </c>
      <c r="Y189" s="19">
        <f t="shared" si="46"/>
        <v>-0.38987042720521098</v>
      </c>
      <c r="Z189" s="19">
        <f t="shared" si="47"/>
        <v>-0.71118390873289117</v>
      </c>
      <c r="AA189" s="19">
        <f t="shared" si="48"/>
        <v>-0.53843947165126826</v>
      </c>
      <c r="AB189" s="19">
        <f t="shared" si="49"/>
        <v>-0.26132719029022716</v>
      </c>
      <c r="AC189" s="19">
        <f t="shared" si="50"/>
        <v>2.4928612399192227E-2</v>
      </c>
      <c r="AD189" s="19">
        <f t="shared" si="51"/>
        <v>-0.25577686663419796</v>
      </c>
      <c r="AE189" s="19">
        <f t="shared" si="52"/>
        <v>-0.5450357009350747</v>
      </c>
      <c r="AF189" s="19">
        <f t="shared" si="53"/>
        <v>-0.50539687725814209</v>
      </c>
      <c r="AG189" s="19">
        <f t="shared" si="54"/>
        <v>-0.43389703857267342</v>
      </c>
      <c r="AH189" s="19">
        <f t="shared" si="55"/>
        <v>-0.27800754917365267</v>
      </c>
      <c r="AI189" s="19">
        <f t="shared" si="56"/>
        <v>0.15713482072292206</v>
      </c>
      <c r="AJ189" s="19">
        <f t="shared" si="57"/>
        <v>0.15981090201512718</v>
      </c>
      <c r="AK189" s="19">
        <f t="shared" si="58"/>
        <v>-0.29827840388713633</v>
      </c>
      <c r="AL189" s="19">
        <f t="shared" si="59"/>
        <v>0.16141609218726594</v>
      </c>
      <c r="BV189" s="16">
        <v>0</v>
      </c>
      <c r="BW189" s="18">
        <v>161</v>
      </c>
      <c r="BX189" s="48">
        <v>-0.20578182935343445</v>
      </c>
      <c r="BY189" s="48">
        <v>2.3217906752008717</v>
      </c>
      <c r="BZ189" s="18" t="e">
        <f t="shared" si="60"/>
        <v>#N/A</v>
      </c>
    </row>
    <row r="190" spans="1:78" x14ac:dyDescent="0.3">
      <c r="A190" s="19">
        <v>165</v>
      </c>
      <c r="B190" s="19">
        <v>0</v>
      </c>
      <c r="C190" s="19">
        <v>30</v>
      </c>
      <c r="D190" s="19">
        <v>66.2330866763823</v>
      </c>
      <c r="E190" s="22">
        <v>23403</v>
      </c>
      <c r="F190" s="22">
        <v>6330</v>
      </c>
      <c r="G190" s="23">
        <v>9510</v>
      </c>
      <c r="H190" s="23">
        <v>7563</v>
      </c>
      <c r="I190" s="24">
        <v>8.3000000000000007</v>
      </c>
      <c r="J190" s="24">
        <v>157.19999999999999</v>
      </c>
      <c r="K190" s="22">
        <v>17455</v>
      </c>
      <c r="L190" s="22">
        <v>55074</v>
      </c>
      <c r="M190" s="22">
        <v>15361</v>
      </c>
      <c r="N190" s="22">
        <v>7205</v>
      </c>
      <c r="O190" s="25">
        <v>3506.61</v>
      </c>
      <c r="P190" s="24">
        <v>84.5</v>
      </c>
      <c r="Q190" s="22">
        <v>12277</v>
      </c>
      <c r="R190" s="23">
        <v>50</v>
      </c>
      <c r="U190" s="19">
        <v>165</v>
      </c>
      <c r="V190" s="19">
        <v>0</v>
      </c>
      <c r="W190" s="19">
        <v>30</v>
      </c>
      <c r="X190" s="19">
        <f t="shared" si="45"/>
        <v>0.26090925445830782</v>
      </c>
      <c r="Y190" s="19">
        <f t="shared" si="46"/>
        <v>-0.11774876984394442</v>
      </c>
      <c r="Z190" s="19">
        <f t="shared" si="47"/>
        <v>1.7230668465834705E-2</v>
      </c>
      <c r="AA190" s="19">
        <f t="shared" si="48"/>
        <v>0.16078473197129464</v>
      </c>
      <c r="AB190" s="19">
        <f t="shared" si="49"/>
        <v>-0.17371068799652134</v>
      </c>
      <c r="AC190" s="19">
        <f t="shared" si="50"/>
        <v>-0.75340361441323445</v>
      </c>
      <c r="AD190" s="19">
        <f t="shared" si="51"/>
        <v>-0.21552200566856153</v>
      </c>
      <c r="AE190" s="19">
        <f t="shared" si="52"/>
        <v>-3.6279855680757436E-2</v>
      </c>
      <c r="AF190" s="19">
        <f t="shared" si="53"/>
        <v>-0.11328947585296925</v>
      </c>
      <c r="AG190" s="19">
        <f t="shared" si="54"/>
        <v>-0.16389584679623903</v>
      </c>
      <c r="AH190" s="19">
        <f t="shared" si="55"/>
        <v>-0.15767485087053812</v>
      </c>
      <c r="AI190" s="19">
        <f t="shared" si="56"/>
        <v>-5.2168892338982843E-2</v>
      </c>
      <c r="AJ190" s="19">
        <f t="shared" si="57"/>
        <v>-5.0524865391861642E-2</v>
      </c>
      <c r="AK190" s="19">
        <f t="shared" si="58"/>
        <v>-0.16779283809939838</v>
      </c>
      <c r="AL190" s="19">
        <f t="shared" si="59"/>
        <v>-0.37665675469230814</v>
      </c>
      <c r="BV190" s="16">
        <v>0</v>
      </c>
      <c r="BW190" s="18">
        <v>162</v>
      </c>
      <c r="BX190" s="48">
        <v>-0.59154674659454154</v>
      </c>
      <c r="BY190" s="48">
        <v>-2.8306028175732873E-2</v>
      </c>
      <c r="BZ190" s="18" t="e">
        <f t="shared" si="60"/>
        <v>#N/A</v>
      </c>
    </row>
    <row r="191" spans="1:78" x14ac:dyDescent="0.3">
      <c r="A191" s="19">
        <v>166</v>
      </c>
      <c r="B191" s="19">
        <v>0</v>
      </c>
      <c r="C191" s="19">
        <v>30</v>
      </c>
      <c r="D191" s="19">
        <v>107.86140844896499</v>
      </c>
      <c r="E191" s="22">
        <v>49759</v>
      </c>
      <c r="F191" s="22">
        <v>11359</v>
      </c>
      <c r="G191" s="23">
        <v>20449</v>
      </c>
      <c r="H191" s="23">
        <v>17951</v>
      </c>
      <c r="I191" s="24">
        <v>5.9</v>
      </c>
      <c r="J191" s="24">
        <v>529.9</v>
      </c>
      <c r="K191" s="22">
        <v>29842</v>
      </c>
      <c r="L191" s="22">
        <v>101631</v>
      </c>
      <c r="M191" s="22">
        <v>29962</v>
      </c>
      <c r="N191" s="22">
        <v>16176</v>
      </c>
      <c r="O191" s="25">
        <v>3357.37</v>
      </c>
      <c r="P191" s="24">
        <v>80.900000000000006</v>
      </c>
      <c r="Q191" s="22">
        <v>11876</v>
      </c>
      <c r="R191" s="23">
        <v>417</v>
      </c>
      <c r="U191" s="19">
        <v>166</v>
      </c>
      <c r="V191" s="19">
        <v>0</v>
      </c>
      <c r="W191" s="19">
        <v>30</v>
      </c>
      <c r="X191" s="19">
        <f t="shared" si="45"/>
        <v>1.5490685872490373</v>
      </c>
      <c r="Y191" s="19">
        <f t="shared" si="46"/>
        <v>0.3761592531168394</v>
      </c>
      <c r="Z191" s="19">
        <f t="shared" si="47"/>
        <v>0.94041537328750624</v>
      </c>
      <c r="AA191" s="19">
        <f t="shared" si="48"/>
        <v>1.3242793415586411</v>
      </c>
      <c r="AB191" s="19">
        <f t="shared" si="49"/>
        <v>5.5030258428966479E-2</v>
      </c>
      <c r="AC191" s="19">
        <f t="shared" si="50"/>
        <v>-1.2090127227912404</v>
      </c>
      <c r="AD191" s="19">
        <f t="shared" si="51"/>
        <v>6.8625469367285086E-2</v>
      </c>
      <c r="AE191" s="19">
        <f t="shared" si="52"/>
        <v>0.59880617225083865</v>
      </c>
      <c r="AF191" s="19">
        <f t="shared" si="53"/>
        <v>0.5387103915430318</v>
      </c>
      <c r="AG191" s="19">
        <f t="shared" si="54"/>
        <v>0.37225095058275159</v>
      </c>
      <c r="AH191" s="19">
        <f t="shared" si="55"/>
        <v>0.2140553958502748</v>
      </c>
      <c r="AI191" s="19">
        <f t="shared" si="56"/>
        <v>-0.35467214759134397</v>
      </c>
      <c r="AJ191" s="19">
        <f t="shared" si="57"/>
        <v>-0.35340837045792506</v>
      </c>
      <c r="AK191" s="19">
        <f t="shared" si="58"/>
        <v>-0.17678333842257413</v>
      </c>
      <c r="AL191" s="19">
        <f t="shared" si="59"/>
        <v>-0.17576892681356585</v>
      </c>
      <c r="BV191" s="16">
        <v>0</v>
      </c>
      <c r="BW191" s="18">
        <v>163</v>
      </c>
      <c r="BX191" s="48">
        <v>-43.354049612506287</v>
      </c>
      <c r="BY191" s="48">
        <v>-7.6245566057880909</v>
      </c>
      <c r="BZ191" s="18" t="e">
        <f t="shared" si="60"/>
        <v>#N/A</v>
      </c>
    </row>
    <row r="192" spans="1:78" x14ac:dyDescent="0.3">
      <c r="A192" s="19">
        <v>167</v>
      </c>
      <c r="B192" s="19">
        <v>0</v>
      </c>
      <c r="C192" s="19">
        <v>16</v>
      </c>
      <c r="D192" s="19">
        <v>6.8469872940445802</v>
      </c>
      <c r="E192" s="22">
        <v>25521</v>
      </c>
      <c r="F192" s="22">
        <v>5760</v>
      </c>
      <c r="G192" s="23">
        <v>10812</v>
      </c>
      <c r="H192" s="23">
        <v>8949</v>
      </c>
      <c r="I192" s="24">
        <v>10.199999999999999</v>
      </c>
      <c r="J192" s="24">
        <v>3125.5</v>
      </c>
      <c r="K192" s="22">
        <v>21311</v>
      </c>
      <c r="L192" s="22">
        <v>87243</v>
      </c>
      <c r="M192" s="22">
        <v>24494</v>
      </c>
      <c r="N192" s="22">
        <v>12029</v>
      </c>
      <c r="O192" s="25">
        <v>3376.9</v>
      </c>
      <c r="P192" s="24">
        <v>81.400000000000006</v>
      </c>
      <c r="Q192" s="22">
        <v>5928</v>
      </c>
      <c r="R192" s="23">
        <v>1239</v>
      </c>
      <c r="U192" s="19">
        <v>167</v>
      </c>
      <c r="V192" s="19">
        <v>0</v>
      </c>
      <c r="W192" s="19">
        <v>16</v>
      </c>
      <c r="X192" s="19">
        <f t="shared" si="45"/>
        <v>-1.57675209963884</v>
      </c>
      <c r="Y192" s="19">
        <f t="shared" si="46"/>
        <v>-7.8057724441343859E-2</v>
      </c>
      <c r="Z192" s="19">
        <f t="shared" si="47"/>
        <v>-8.7405498117651623E-2</v>
      </c>
      <c r="AA192" s="19">
        <f t="shared" si="48"/>
        <v>0.2992681382865634</v>
      </c>
      <c r="AB192" s="19">
        <f t="shared" si="49"/>
        <v>-0.14319134339258158</v>
      </c>
      <c r="AC192" s="19">
        <f t="shared" si="50"/>
        <v>-0.39271307028064673</v>
      </c>
      <c r="AD192" s="19">
        <f t="shared" si="51"/>
        <v>2.0475178391098221</v>
      </c>
      <c r="AE192" s="19">
        <f t="shared" si="52"/>
        <v>0.1614186769505685</v>
      </c>
      <c r="AF192" s="19">
        <f t="shared" si="53"/>
        <v>0.33721600633578774</v>
      </c>
      <c r="AG192" s="19">
        <f t="shared" si="54"/>
        <v>0.17146671059450963</v>
      </c>
      <c r="AH192" s="19">
        <f t="shared" si="55"/>
        <v>4.2216656228024091E-2</v>
      </c>
      <c r="AI192" s="19">
        <f t="shared" si="56"/>
        <v>-0.31508565218073914</v>
      </c>
      <c r="AJ192" s="19">
        <f t="shared" si="57"/>
        <v>-0.31134121697652734</v>
      </c>
      <c r="AK192" s="19">
        <f t="shared" si="58"/>
        <v>-0.31013868984963</v>
      </c>
      <c r="AL192" s="19">
        <f t="shared" si="59"/>
        <v>0.27417601737260899</v>
      </c>
      <c r="BV192" s="16">
        <v>0</v>
      </c>
      <c r="BW192" s="18">
        <v>164</v>
      </c>
      <c r="BX192" s="48">
        <v>1.0062889614682602</v>
      </c>
      <c r="BY192" s="48">
        <v>0.84827903613687172</v>
      </c>
      <c r="BZ192" s="18" t="e">
        <f t="shared" si="60"/>
        <v>#N/A</v>
      </c>
    </row>
    <row r="193" spans="1:78" x14ac:dyDescent="0.3">
      <c r="A193" s="19">
        <v>168</v>
      </c>
      <c r="B193" s="19">
        <v>0</v>
      </c>
      <c r="C193" s="19">
        <v>16</v>
      </c>
      <c r="D193" s="19">
        <v>36.7379222531086</v>
      </c>
      <c r="E193" s="22">
        <v>11774</v>
      </c>
      <c r="F193" s="22">
        <v>4147</v>
      </c>
      <c r="G193" s="23">
        <v>2500</v>
      </c>
      <c r="H193" s="23">
        <v>5127</v>
      </c>
      <c r="I193" s="24">
        <v>15.2</v>
      </c>
      <c r="J193" s="24">
        <v>69.8</v>
      </c>
      <c r="K193" s="22">
        <v>9182</v>
      </c>
      <c r="L193" s="22">
        <v>35424</v>
      </c>
      <c r="M193" s="22">
        <v>11568</v>
      </c>
      <c r="N193" s="22">
        <v>4515</v>
      </c>
      <c r="O193" s="25">
        <v>3329.8</v>
      </c>
      <c r="P193" s="24">
        <v>80.2</v>
      </c>
      <c r="Q193" s="22">
        <v>2825</v>
      </c>
      <c r="R193" s="23">
        <v>0</v>
      </c>
      <c r="U193" s="19">
        <v>168</v>
      </c>
      <c r="V193" s="19">
        <v>0</v>
      </c>
      <c r="W193" s="19">
        <v>16</v>
      </c>
      <c r="X193" s="19">
        <f t="shared" si="45"/>
        <v>-0.65179800123176135</v>
      </c>
      <c r="Y193" s="19">
        <f t="shared" si="46"/>
        <v>-0.33567472215123517</v>
      </c>
      <c r="Z193" s="19">
        <f t="shared" si="47"/>
        <v>-0.38350749232671033</v>
      </c>
      <c r="AA193" s="19">
        <f t="shared" si="48"/>
        <v>-0.58481333121613555</v>
      </c>
      <c r="AB193" s="19">
        <f t="shared" si="49"/>
        <v>-0.22735074820950635</v>
      </c>
      <c r="AC193" s="19">
        <f t="shared" si="50"/>
        <v>0.55647257217353219</v>
      </c>
      <c r="AD193" s="19">
        <f t="shared" si="51"/>
        <v>-0.28215599900940669</v>
      </c>
      <c r="AE193" s="19">
        <f t="shared" si="52"/>
        <v>-0.4604395964636826</v>
      </c>
      <c r="AF193" s="19">
        <f t="shared" si="53"/>
        <v>-0.38847467666770003</v>
      </c>
      <c r="AG193" s="19">
        <f t="shared" si="54"/>
        <v>-0.30317430734404477</v>
      </c>
      <c r="AH193" s="19">
        <f t="shared" si="55"/>
        <v>-0.26914005694332671</v>
      </c>
      <c r="AI193" s="19">
        <f t="shared" si="56"/>
        <v>-0.41055538765639021</v>
      </c>
      <c r="AJ193" s="19">
        <f t="shared" si="57"/>
        <v>-0.41230238533188218</v>
      </c>
      <c r="AK193" s="19">
        <f t="shared" si="58"/>
        <v>-0.37970857140278308</v>
      </c>
      <c r="AL193" s="19">
        <f t="shared" si="59"/>
        <v>-0.40402566857224581</v>
      </c>
      <c r="BV193" s="16">
        <v>0</v>
      </c>
      <c r="BW193" s="18">
        <v>165</v>
      </c>
      <c r="BX193" s="48">
        <v>0.2579662091428776</v>
      </c>
      <c r="BY193" s="48">
        <v>0.19265215828303733</v>
      </c>
      <c r="BZ193" s="18" t="e">
        <f t="shared" si="60"/>
        <v>#N/A</v>
      </c>
    </row>
    <row r="194" spans="1:78" x14ac:dyDescent="0.3">
      <c r="A194" s="19">
        <v>169</v>
      </c>
      <c r="B194" s="19">
        <v>0</v>
      </c>
      <c r="C194" s="19">
        <v>16</v>
      </c>
      <c r="D194" s="19">
        <v>45.590750129807503</v>
      </c>
      <c r="E194" s="22">
        <v>14467</v>
      </c>
      <c r="F194" s="22">
        <v>3682</v>
      </c>
      <c r="G194" s="23">
        <v>4407</v>
      </c>
      <c r="H194" s="23">
        <v>6378</v>
      </c>
      <c r="I194" s="24">
        <v>10.7</v>
      </c>
      <c r="J194" s="24">
        <v>150.6</v>
      </c>
      <c r="K194" s="22">
        <v>10626</v>
      </c>
      <c r="L194" s="22">
        <v>43008</v>
      </c>
      <c r="M194" s="22">
        <v>13073</v>
      </c>
      <c r="N194" s="22">
        <v>6274</v>
      </c>
      <c r="O194" s="25">
        <v>3529.72</v>
      </c>
      <c r="P194" s="24">
        <v>85</v>
      </c>
      <c r="Q194" s="22">
        <v>9655</v>
      </c>
      <c r="R194" s="23">
        <v>0</v>
      </c>
      <c r="U194" s="19">
        <v>169</v>
      </c>
      <c r="V194" s="19">
        <v>0</v>
      </c>
      <c r="W194" s="19">
        <v>16</v>
      </c>
      <c r="X194" s="19">
        <f t="shared" si="45"/>
        <v>-0.37785342779304898</v>
      </c>
      <c r="Y194" s="19">
        <f t="shared" si="46"/>
        <v>-0.28520825129703153</v>
      </c>
      <c r="Z194" s="19">
        <f t="shared" si="47"/>
        <v>-0.46886857559218603</v>
      </c>
      <c r="AA194" s="19">
        <f t="shared" si="48"/>
        <v>-0.38198087665145231</v>
      </c>
      <c r="AB194" s="19">
        <f t="shared" si="49"/>
        <v>-0.19980406704101528</v>
      </c>
      <c r="AC194" s="19">
        <f t="shared" si="50"/>
        <v>-0.29779450603522883</v>
      </c>
      <c r="AD194" s="19">
        <f t="shared" si="51"/>
        <v>-0.22055386328926607</v>
      </c>
      <c r="AE194" s="19">
        <f t="shared" si="52"/>
        <v>-0.38640518745962799</v>
      </c>
      <c r="AF194" s="19">
        <f t="shared" si="53"/>
        <v>-0.28226579305554134</v>
      </c>
      <c r="AG194" s="19">
        <f t="shared" si="54"/>
        <v>-0.24791090551845879</v>
      </c>
      <c r="AH194" s="19">
        <f t="shared" si="55"/>
        <v>-0.19625258576041402</v>
      </c>
      <c r="AI194" s="19">
        <f t="shared" si="56"/>
        <v>-5.3258862489134551E-3</v>
      </c>
      <c r="AJ194" s="19">
        <f t="shared" si="57"/>
        <v>-8.4577119104638759E-3</v>
      </c>
      <c r="AK194" s="19">
        <f t="shared" si="58"/>
        <v>-0.22657860330480198</v>
      </c>
      <c r="AL194" s="19">
        <f t="shared" si="59"/>
        <v>-0.40402566857224581</v>
      </c>
      <c r="BV194" s="16">
        <v>0</v>
      </c>
      <c r="BW194" s="18">
        <v>166</v>
      </c>
      <c r="BX194" s="48">
        <v>-0.95531987296130294</v>
      </c>
      <c r="BY194" s="48">
        <v>-0.92256154953687586</v>
      </c>
      <c r="BZ194" s="18" t="e">
        <f t="shared" si="60"/>
        <v>#N/A</v>
      </c>
    </row>
    <row r="195" spans="1:78" x14ac:dyDescent="0.3">
      <c r="A195" s="19">
        <v>170</v>
      </c>
      <c r="B195" s="19">
        <v>0</v>
      </c>
      <c r="C195" s="19">
        <v>16</v>
      </c>
      <c r="D195" s="19">
        <v>38.791879101249698</v>
      </c>
      <c r="E195" s="22">
        <v>11536</v>
      </c>
      <c r="F195" s="22">
        <v>3967</v>
      </c>
      <c r="G195" s="23">
        <v>2671</v>
      </c>
      <c r="H195" s="23">
        <v>4898</v>
      </c>
      <c r="I195" s="24">
        <v>14.1</v>
      </c>
      <c r="J195" s="24">
        <v>55</v>
      </c>
      <c r="K195" s="22">
        <v>7563</v>
      </c>
      <c r="L195" s="22">
        <v>29563</v>
      </c>
      <c r="M195" s="22">
        <v>9766</v>
      </c>
      <c r="N195" s="22">
        <v>4033</v>
      </c>
      <c r="O195" s="25">
        <v>3354.7</v>
      </c>
      <c r="P195" s="24">
        <v>80.8</v>
      </c>
      <c r="Q195" s="22">
        <v>6373</v>
      </c>
      <c r="R195" s="23">
        <v>573</v>
      </c>
      <c r="U195" s="19">
        <v>170</v>
      </c>
      <c r="V195" s="19">
        <v>0</v>
      </c>
      <c r="W195" s="19">
        <v>16</v>
      </c>
      <c r="X195" s="19">
        <f t="shared" si="45"/>
        <v>-0.58823974160417813</v>
      </c>
      <c r="Y195" s="19">
        <f t="shared" si="46"/>
        <v>-0.34013481129468132</v>
      </c>
      <c r="Z195" s="19">
        <f t="shared" si="47"/>
        <v>-0.41655049230044283</v>
      </c>
      <c r="AA195" s="19">
        <f t="shared" si="48"/>
        <v>-0.56662541840514402</v>
      </c>
      <c r="AB195" s="19">
        <f t="shared" si="49"/>
        <v>-0.23239326618519338</v>
      </c>
      <c r="AC195" s="19">
        <f t="shared" si="50"/>
        <v>0.34765173083361295</v>
      </c>
      <c r="AD195" s="19">
        <f t="shared" si="51"/>
        <v>-0.29343955852250175</v>
      </c>
      <c r="AE195" s="19">
        <f t="shared" si="52"/>
        <v>-0.54344631957833944</v>
      </c>
      <c r="AF195" s="19">
        <f t="shared" si="53"/>
        <v>-0.47055408949086225</v>
      </c>
      <c r="AG195" s="19">
        <f t="shared" si="54"/>
        <v>-0.36934351006145738</v>
      </c>
      <c r="AH195" s="19">
        <f t="shared" si="55"/>
        <v>-0.28911263290135059</v>
      </c>
      <c r="AI195" s="19">
        <f t="shared" si="56"/>
        <v>-0.36008412622658803</v>
      </c>
      <c r="AJ195" s="19">
        <f t="shared" si="57"/>
        <v>-0.36182180115420537</v>
      </c>
      <c r="AK195" s="19">
        <f t="shared" si="58"/>
        <v>-0.30016170071293874</v>
      </c>
      <c r="AL195" s="19">
        <f t="shared" si="59"/>
        <v>-9.0377915508160392E-2</v>
      </c>
      <c r="BV195" s="16">
        <v>0</v>
      </c>
      <c r="BW195" s="18">
        <v>167</v>
      </c>
      <c r="BX195" s="48">
        <v>-0.8432173863575374</v>
      </c>
      <c r="BY195" s="48">
        <v>-0.10992810496013179</v>
      </c>
      <c r="BZ195" s="18" t="e">
        <f t="shared" si="60"/>
        <v>#N/A</v>
      </c>
    </row>
    <row r="196" spans="1:78" x14ac:dyDescent="0.3">
      <c r="A196" s="19">
        <v>171</v>
      </c>
      <c r="B196" s="19">
        <v>0</v>
      </c>
      <c r="C196" s="19">
        <v>14</v>
      </c>
      <c r="D196" s="19">
        <v>96.640456906295697</v>
      </c>
      <c r="E196" s="22">
        <v>21034</v>
      </c>
      <c r="F196" s="22">
        <v>9855</v>
      </c>
      <c r="G196" s="23">
        <v>4785</v>
      </c>
      <c r="H196" s="23">
        <v>6394</v>
      </c>
      <c r="I196" s="24">
        <v>12.5</v>
      </c>
      <c r="J196" s="24">
        <v>146.80000000000001</v>
      </c>
      <c r="K196" s="22">
        <v>13732</v>
      </c>
      <c r="L196" s="22">
        <v>45888</v>
      </c>
      <c r="M196" s="22">
        <v>14291</v>
      </c>
      <c r="N196" s="22">
        <v>6386</v>
      </c>
      <c r="O196" s="25">
        <v>3398.2</v>
      </c>
      <c r="P196" s="24">
        <v>81.900000000000006</v>
      </c>
      <c r="Q196" s="22">
        <v>6925</v>
      </c>
      <c r="R196" s="23">
        <v>1142</v>
      </c>
      <c r="U196" s="19">
        <v>171</v>
      </c>
      <c r="V196" s="19">
        <v>0</v>
      </c>
      <c r="W196" s="19">
        <v>14</v>
      </c>
      <c r="X196" s="19">
        <f t="shared" si="45"/>
        <v>1.2018440815039617</v>
      </c>
      <c r="Y196" s="19">
        <f t="shared" si="46"/>
        <v>-0.1621435227045491</v>
      </c>
      <c r="Z196" s="19">
        <f t="shared" si="47"/>
        <v>0.66432275128476337</v>
      </c>
      <c r="AA196" s="19">
        <f t="shared" si="48"/>
        <v>-0.34177601675347102</v>
      </c>
      <c r="AB196" s="19">
        <f t="shared" si="49"/>
        <v>-0.19945175137459173</v>
      </c>
      <c r="AC196" s="19">
        <f t="shared" si="50"/>
        <v>4.3912325248275742E-2</v>
      </c>
      <c r="AD196" s="19">
        <f t="shared" si="51"/>
        <v>-0.22345099343452021</v>
      </c>
      <c r="AE196" s="19">
        <f t="shared" si="52"/>
        <v>-0.22715942958802571</v>
      </c>
      <c r="AF196" s="19">
        <f t="shared" si="53"/>
        <v>-0.24193330560788615</v>
      </c>
      <c r="AG196" s="19">
        <f t="shared" si="54"/>
        <v>-0.20318610590147293</v>
      </c>
      <c r="AH196" s="19">
        <f t="shared" si="55"/>
        <v>-0.19161165524734625</v>
      </c>
      <c r="AI196" s="19">
        <f t="shared" si="56"/>
        <v>-0.27191144059620953</v>
      </c>
      <c r="AJ196" s="19">
        <f t="shared" si="57"/>
        <v>-0.26927406349512956</v>
      </c>
      <c r="AK196" s="19">
        <f t="shared" si="58"/>
        <v>-0.28778575014338009</v>
      </c>
      <c r="AL196" s="19">
        <f t="shared" si="59"/>
        <v>0.22108032444553</v>
      </c>
      <c r="BV196" s="16">
        <v>0</v>
      </c>
      <c r="BW196" s="18">
        <v>168</v>
      </c>
      <c r="BX196" s="48">
        <v>1.1838390954731388</v>
      </c>
      <c r="BY196" s="48">
        <v>-0.14688669807906793</v>
      </c>
      <c r="BZ196" s="18" t="e">
        <f t="shared" si="60"/>
        <v>#N/A</v>
      </c>
    </row>
    <row r="197" spans="1:78" x14ac:dyDescent="0.3">
      <c r="A197" s="19">
        <v>172</v>
      </c>
      <c r="B197" s="19">
        <v>0</v>
      </c>
      <c r="C197" s="19">
        <v>20</v>
      </c>
      <c r="D197" s="19">
        <v>108.125558032675</v>
      </c>
      <c r="E197" s="22">
        <v>6341</v>
      </c>
      <c r="F197" s="22">
        <v>4510</v>
      </c>
      <c r="G197" s="23">
        <v>252</v>
      </c>
      <c r="H197" s="23">
        <v>1579</v>
      </c>
      <c r="I197" s="24">
        <v>16.7</v>
      </c>
      <c r="J197" s="24">
        <v>72</v>
      </c>
      <c r="K197" s="22">
        <v>3540</v>
      </c>
      <c r="L197" s="22">
        <v>12838</v>
      </c>
      <c r="M197" s="22">
        <v>4228</v>
      </c>
      <c r="N197" s="22">
        <v>1262</v>
      </c>
      <c r="O197" s="25">
        <v>3564.4</v>
      </c>
      <c r="P197" s="24">
        <v>85.9</v>
      </c>
      <c r="Q197" s="22">
        <v>3005</v>
      </c>
      <c r="R197" s="23">
        <v>80</v>
      </c>
      <c r="U197" s="19">
        <v>172</v>
      </c>
      <c r="V197" s="19">
        <v>0</v>
      </c>
      <c r="W197" s="19">
        <v>20</v>
      </c>
      <c r="X197" s="19">
        <f t="shared" si="45"/>
        <v>1.5572425115635393</v>
      </c>
      <c r="Y197" s="19">
        <f t="shared" si="46"/>
        <v>-0.43748843776612129</v>
      </c>
      <c r="Z197" s="19">
        <f t="shared" si="47"/>
        <v>-0.31687077571301642</v>
      </c>
      <c r="AA197" s="19">
        <f t="shared" si="48"/>
        <v>-0.8239152493395796</v>
      </c>
      <c r="AB197" s="19">
        <f t="shared" si="49"/>
        <v>-0.30547674723892787</v>
      </c>
      <c r="AC197" s="19">
        <f t="shared" si="50"/>
        <v>0.84122826490978586</v>
      </c>
      <c r="AD197" s="19">
        <f t="shared" si="51"/>
        <v>-0.2804787131358385</v>
      </c>
      <c r="AE197" s="19">
        <f t="shared" si="52"/>
        <v>-0.74970700338949714</v>
      </c>
      <c r="AF197" s="19">
        <f t="shared" si="53"/>
        <v>-0.70477660774156825</v>
      </c>
      <c r="AG197" s="19">
        <f t="shared" si="54"/>
        <v>-0.57269814083228476</v>
      </c>
      <c r="AH197" s="19">
        <f t="shared" si="55"/>
        <v>-0.40393422622019715</v>
      </c>
      <c r="AI197" s="19">
        <f t="shared" si="56"/>
        <v>6.4969027260547513E-2</v>
      </c>
      <c r="AJ197" s="19">
        <f t="shared" si="57"/>
        <v>6.7263164356052577E-2</v>
      </c>
      <c r="AK197" s="19">
        <f t="shared" si="58"/>
        <v>-0.37567293534749224</v>
      </c>
      <c r="AL197" s="19">
        <f t="shared" si="59"/>
        <v>-0.36023540636434553</v>
      </c>
      <c r="BV197" s="16">
        <v>0</v>
      </c>
      <c r="BW197" s="18">
        <v>169</v>
      </c>
      <c r="BX197" s="48">
        <v>0.69397026990096622</v>
      </c>
      <c r="BY197" s="48">
        <v>0.49158420952457366</v>
      </c>
      <c r="BZ197" s="18" t="e">
        <f t="shared" si="60"/>
        <v>#N/A</v>
      </c>
    </row>
    <row r="198" spans="1:78" x14ac:dyDescent="0.3">
      <c r="A198" s="19">
        <v>173</v>
      </c>
      <c r="B198" s="19">
        <v>0</v>
      </c>
      <c r="C198" s="19">
        <v>30</v>
      </c>
      <c r="D198" s="19">
        <v>110.408596867752</v>
      </c>
      <c r="E198" s="22">
        <v>21281</v>
      </c>
      <c r="F198" s="22">
        <v>5708</v>
      </c>
      <c r="G198" s="23">
        <v>4245</v>
      </c>
      <c r="H198" s="23">
        <v>11328</v>
      </c>
      <c r="I198" s="24">
        <v>12.1</v>
      </c>
      <c r="J198" s="24">
        <v>102</v>
      </c>
      <c r="K198" s="22">
        <v>13722</v>
      </c>
      <c r="L198" s="22">
        <v>44545</v>
      </c>
      <c r="M198" s="22">
        <v>11514</v>
      </c>
      <c r="N198" s="22">
        <v>5154</v>
      </c>
      <c r="O198" s="25">
        <v>3114.52</v>
      </c>
      <c r="P198" s="24">
        <v>75</v>
      </c>
      <c r="Q198" s="22">
        <v>20300</v>
      </c>
      <c r="R198" s="23">
        <v>850</v>
      </c>
      <c r="U198" s="19">
        <v>173</v>
      </c>
      <c r="V198" s="19">
        <v>0</v>
      </c>
      <c r="W198" s="19">
        <v>30</v>
      </c>
      <c r="X198" s="19">
        <f t="shared" si="45"/>
        <v>1.6278895532241295</v>
      </c>
      <c r="Y198" s="19">
        <f t="shared" si="46"/>
        <v>-0.15751477472794742</v>
      </c>
      <c r="Z198" s="19">
        <f t="shared" si="47"/>
        <v>-9.6951253665618797E-2</v>
      </c>
      <c r="AA198" s="19">
        <f t="shared" si="48"/>
        <v>-0.39921153089344424</v>
      </c>
      <c r="AB198" s="19">
        <f t="shared" si="49"/>
        <v>-9.0806407741230458E-2</v>
      </c>
      <c r="AC198" s="19">
        <f t="shared" si="50"/>
        <v>-3.2022526148058644E-2</v>
      </c>
      <c r="AD198" s="19">
        <f t="shared" si="51"/>
        <v>-0.25760663304172693</v>
      </c>
      <c r="AE198" s="19">
        <f t="shared" si="52"/>
        <v>-0.22767213325148869</v>
      </c>
      <c r="AF198" s="19">
        <f t="shared" si="53"/>
        <v>-0.26074112874753924</v>
      </c>
      <c r="AG198" s="19">
        <f t="shared" si="54"/>
        <v>-0.30515718023346777</v>
      </c>
      <c r="AH198" s="19">
        <f t="shared" si="55"/>
        <v>-0.2426618908910918</v>
      </c>
      <c r="AI198" s="19">
        <f t="shared" si="56"/>
        <v>-0.84691896840369829</v>
      </c>
      <c r="AJ198" s="19">
        <f t="shared" si="57"/>
        <v>-0.8498007815384192</v>
      </c>
      <c r="AK198" s="19">
        <f t="shared" si="58"/>
        <v>1.2084428965038297E-2</v>
      </c>
      <c r="AL198" s="19">
        <f t="shared" si="59"/>
        <v>6.1245867386694151E-2</v>
      </c>
      <c r="BV198" s="16">
        <v>0</v>
      </c>
      <c r="BW198" s="18">
        <v>170</v>
      </c>
      <c r="BX198" s="48">
        <v>1.2011977603889805</v>
      </c>
      <c r="BY198" s="48">
        <v>4.028335669562251E-2</v>
      </c>
      <c r="BZ198" s="18" t="e">
        <f t="shared" si="60"/>
        <v>#N/A</v>
      </c>
    </row>
    <row r="199" spans="1:78" x14ac:dyDescent="0.3">
      <c r="A199" s="19">
        <v>174</v>
      </c>
      <c r="B199" s="19">
        <v>0</v>
      </c>
      <c r="C199" s="19">
        <v>30</v>
      </c>
      <c r="D199" s="19">
        <v>82.736917924890605</v>
      </c>
      <c r="E199" s="22">
        <v>25847</v>
      </c>
      <c r="F199" s="22">
        <v>7410</v>
      </c>
      <c r="G199" s="23">
        <v>9577</v>
      </c>
      <c r="H199" s="23">
        <v>8860</v>
      </c>
      <c r="I199" s="24">
        <v>5.8</v>
      </c>
      <c r="J199" s="24">
        <v>330.4</v>
      </c>
      <c r="K199" s="22">
        <v>15443</v>
      </c>
      <c r="L199" s="22">
        <v>48580</v>
      </c>
      <c r="M199" s="22">
        <v>13641</v>
      </c>
      <c r="N199" s="22">
        <v>6611</v>
      </c>
      <c r="O199" s="25">
        <v>2931.62</v>
      </c>
      <c r="P199" s="24">
        <v>70.599999999999994</v>
      </c>
      <c r="Q199" s="22">
        <v>11073</v>
      </c>
      <c r="R199" s="23">
        <v>800</v>
      </c>
      <c r="U199" s="19">
        <v>174</v>
      </c>
      <c r="V199" s="19">
        <v>0</v>
      </c>
      <c r="W199" s="19">
        <v>30</v>
      </c>
      <c r="X199" s="19">
        <f t="shared" si="45"/>
        <v>0.77160878171071923</v>
      </c>
      <c r="Y199" s="19">
        <f t="shared" si="46"/>
        <v>-7.1948526707043686E-2</v>
      </c>
      <c r="Z199" s="19">
        <f t="shared" si="47"/>
        <v>0.21548866830822985</v>
      </c>
      <c r="AA199" s="19">
        <f t="shared" si="48"/>
        <v>0.16791099020718023</v>
      </c>
      <c r="AB199" s="19">
        <f t="shared" si="49"/>
        <v>-0.14515109928706257</v>
      </c>
      <c r="AC199" s="19">
        <f t="shared" si="50"/>
        <v>-1.2279964356403241</v>
      </c>
      <c r="AD199" s="19">
        <f t="shared" si="51"/>
        <v>-8.3473863258557157E-2</v>
      </c>
      <c r="AE199" s="19">
        <f t="shared" si="52"/>
        <v>-0.13943583276950947</v>
      </c>
      <c r="AF199" s="19">
        <f t="shared" si="53"/>
        <v>-0.20423363331306399</v>
      </c>
      <c r="AG199" s="19">
        <f t="shared" si="54"/>
        <v>-0.22705402031119445</v>
      </c>
      <c r="AH199" s="19">
        <f t="shared" si="55"/>
        <v>-0.18228835734162974</v>
      </c>
      <c r="AI199" s="19">
        <f t="shared" si="56"/>
        <v>-1.217649639709359</v>
      </c>
      <c r="AJ199" s="19">
        <f t="shared" si="57"/>
        <v>-1.21999173217472</v>
      </c>
      <c r="AK199" s="19">
        <f t="shared" si="58"/>
        <v>-0.19478675926923283</v>
      </c>
      <c r="AL199" s="19">
        <f t="shared" si="59"/>
        <v>3.3876953506756506E-2</v>
      </c>
      <c r="BV199" s="16">
        <v>0</v>
      </c>
      <c r="BW199" s="18">
        <v>171</v>
      </c>
      <c r="BX199" s="48">
        <v>0.86972207491535247</v>
      </c>
      <c r="BY199" s="48">
        <v>-0.597467325056525</v>
      </c>
      <c r="BZ199" s="18" t="e">
        <f t="shared" si="60"/>
        <v>#N/A</v>
      </c>
    </row>
    <row r="200" spans="1:78" x14ac:dyDescent="0.3">
      <c r="A200" s="19">
        <v>175</v>
      </c>
      <c r="B200" s="19">
        <v>0</v>
      </c>
      <c r="C200" s="19">
        <v>20</v>
      </c>
      <c r="D200" s="19">
        <v>50.790653277175402</v>
      </c>
      <c r="E200" s="22">
        <v>22002</v>
      </c>
      <c r="F200" s="22">
        <v>13883</v>
      </c>
      <c r="G200" s="23">
        <v>3418</v>
      </c>
      <c r="H200" s="23">
        <v>4701</v>
      </c>
      <c r="I200" s="24">
        <v>7.7</v>
      </c>
      <c r="J200" s="24">
        <v>146.69999999999999</v>
      </c>
      <c r="K200" s="22">
        <v>10776</v>
      </c>
      <c r="L200" s="22">
        <v>35786</v>
      </c>
      <c r="M200" s="22">
        <v>11615</v>
      </c>
      <c r="N200" s="22">
        <v>4132</v>
      </c>
      <c r="O200" s="25">
        <v>3552.72</v>
      </c>
      <c r="P200" s="24">
        <v>85.6</v>
      </c>
      <c r="Q200" s="22">
        <v>2733</v>
      </c>
      <c r="R200" s="23">
        <v>0</v>
      </c>
      <c r="U200" s="19">
        <v>175</v>
      </c>
      <c r="V200" s="19">
        <v>0</v>
      </c>
      <c r="W200" s="19">
        <v>20</v>
      </c>
      <c r="X200" s="19">
        <f t="shared" si="45"/>
        <v>-0.2169460579143648</v>
      </c>
      <c r="Y200" s="19">
        <f t="shared" si="46"/>
        <v>-0.14400332820515468</v>
      </c>
      <c r="Z200" s="19">
        <f t="shared" si="47"/>
        <v>1.4037516618080668</v>
      </c>
      <c r="AA200" s="19">
        <f t="shared" si="48"/>
        <v>-0.48717295717818104</v>
      </c>
      <c r="AB200" s="19">
        <f t="shared" si="49"/>
        <v>-0.23673115282803328</v>
      </c>
      <c r="AC200" s="19">
        <f t="shared" si="50"/>
        <v>-0.86730589150773596</v>
      </c>
      <c r="AD200" s="19">
        <f t="shared" si="51"/>
        <v>-0.2235272337015006</v>
      </c>
      <c r="AE200" s="19">
        <f t="shared" si="52"/>
        <v>-0.37871463250768322</v>
      </c>
      <c r="AF200" s="19">
        <f t="shared" si="53"/>
        <v>-0.38340510706490449</v>
      </c>
      <c r="AG200" s="19">
        <f t="shared" si="54"/>
        <v>-0.30144847353288029</v>
      </c>
      <c r="AH200" s="19">
        <f t="shared" si="55"/>
        <v>-0.28501038182283528</v>
      </c>
      <c r="AI200" s="19">
        <f t="shared" si="56"/>
        <v>4.129415442921771E-2</v>
      </c>
      <c r="AJ200" s="19">
        <f t="shared" si="57"/>
        <v>4.2022872267212963E-2</v>
      </c>
      <c r="AK200" s="19">
        <f t="shared" si="58"/>
        <v>-0.38177122983104284</v>
      </c>
      <c r="AL200" s="19">
        <f t="shared" si="59"/>
        <v>-0.40402566857224581</v>
      </c>
      <c r="BV200" s="16">
        <v>0</v>
      </c>
      <c r="BW200" s="18">
        <v>172</v>
      </c>
      <c r="BX200" s="48">
        <v>1.6626136320532234</v>
      </c>
      <c r="BY200" s="48">
        <v>1.2157858734956638E-2</v>
      </c>
      <c r="BZ200" s="18" t="e">
        <f t="shared" si="60"/>
        <v>#N/A</v>
      </c>
    </row>
    <row r="201" spans="1:78" x14ac:dyDescent="0.3">
      <c r="A201" s="19">
        <v>176</v>
      </c>
      <c r="B201" s="19">
        <v>0</v>
      </c>
      <c r="C201" s="19">
        <v>26</v>
      </c>
      <c r="D201" s="19">
        <v>49.728204768048201</v>
      </c>
      <c r="E201" s="22">
        <v>29418</v>
      </c>
      <c r="F201" s="22">
        <v>18503</v>
      </c>
      <c r="G201" s="23">
        <v>2343</v>
      </c>
      <c r="H201" s="23">
        <v>8572</v>
      </c>
      <c r="I201" s="24">
        <v>7.1</v>
      </c>
      <c r="J201" s="24">
        <v>132.19999999999999</v>
      </c>
      <c r="K201" s="22">
        <v>12198</v>
      </c>
      <c r="L201" s="22">
        <v>44733</v>
      </c>
      <c r="M201" s="22">
        <v>16137</v>
      </c>
      <c r="N201" s="22">
        <v>5578</v>
      </c>
      <c r="O201" s="25">
        <v>3301.87</v>
      </c>
      <c r="P201" s="24">
        <v>79.5</v>
      </c>
      <c r="Q201" s="22">
        <v>3627</v>
      </c>
      <c r="R201" s="23">
        <v>135</v>
      </c>
      <c r="U201" s="19">
        <v>176</v>
      </c>
      <c r="V201" s="19">
        <v>0</v>
      </c>
      <c r="W201" s="19">
        <v>26</v>
      </c>
      <c r="X201" s="19">
        <f t="shared" si="45"/>
        <v>-0.24982278472834824</v>
      </c>
      <c r="Y201" s="19">
        <f t="shared" si="46"/>
        <v>-5.0284496850009292E-3</v>
      </c>
      <c r="Z201" s="19">
        <f t="shared" si="47"/>
        <v>2.2518553278005351</v>
      </c>
      <c r="AA201" s="19">
        <f t="shared" si="48"/>
        <v>-0.6015121751420166</v>
      </c>
      <c r="AB201" s="19">
        <f t="shared" si="49"/>
        <v>-0.15149278128268642</v>
      </c>
      <c r="AC201" s="19">
        <f t="shared" si="50"/>
        <v>-0.98120816860223758</v>
      </c>
      <c r="AD201" s="19">
        <f t="shared" si="51"/>
        <v>-0.23458207241365456</v>
      </c>
      <c r="AE201" s="19">
        <f t="shared" si="52"/>
        <v>-0.30580817156324719</v>
      </c>
      <c r="AF201" s="19">
        <f t="shared" si="53"/>
        <v>-0.25810831359470621</v>
      </c>
      <c r="AG201" s="19">
        <f t="shared" si="54"/>
        <v>-0.1354012289778638</v>
      </c>
      <c r="AH201" s="19">
        <f t="shared" si="55"/>
        <v>-0.22509265394876379</v>
      </c>
      <c r="AI201" s="19">
        <f t="shared" si="56"/>
        <v>-0.46716833270596486</v>
      </c>
      <c r="AJ201" s="19">
        <f t="shared" si="57"/>
        <v>-0.47119640020583931</v>
      </c>
      <c r="AK201" s="19">
        <f t="shared" si="58"/>
        <v>-0.36172757075643158</v>
      </c>
      <c r="AL201" s="19">
        <f t="shared" si="59"/>
        <v>-0.33012960109641415</v>
      </c>
      <c r="BV201" s="16">
        <v>0</v>
      </c>
      <c r="BW201" s="18">
        <v>173</v>
      </c>
      <c r="BX201" s="48">
        <v>1.0281076744091668</v>
      </c>
      <c r="BY201" s="48">
        <v>-1.0299534116034876</v>
      </c>
      <c r="BZ201" s="18" t="e">
        <f t="shared" si="60"/>
        <v>#N/A</v>
      </c>
    </row>
    <row r="202" spans="1:78" x14ac:dyDescent="0.3">
      <c r="A202" s="19">
        <v>177</v>
      </c>
      <c r="B202" s="19">
        <v>0</v>
      </c>
      <c r="C202" s="19">
        <v>30</v>
      </c>
      <c r="D202" s="19">
        <v>82.405981130543594</v>
      </c>
      <c r="E202" s="22">
        <v>17657</v>
      </c>
      <c r="F202" s="22">
        <v>7043</v>
      </c>
      <c r="G202" s="23">
        <v>4434</v>
      </c>
      <c r="H202" s="23">
        <v>6180</v>
      </c>
      <c r="I202" s="24">
        <v>6.8</v>
      </c>
      <c r="J202" s="24">
        <v>86.5</v>
      </c>
      <c r="K202" s="22">
        <v>12419</v>
      </c>
      <c r="L202" s="22">
        <v>39655</v>
      </c>
      <c r="M202" s="22">
        <v>11178</v>
      </c>
      <c r="N202" s="22">
        <v>5723</v>
      </c>
      <c r="O202" s="25">
        <v>3308.08</v>
      </c>
      <c r="P202" s="24">
        <v>79.7</v>
      </c>
      <c r="Q202" s="22">
        <v>2610</v>
      </c>
      <c r="R202" s="23">
        <v>466</v>
      </c>
      <c r="U202" s="19">
        <v>177</v>
      </c>
      <c r="V202" s="19">
        <v>0</v>
      </c>
      <c r="W202" s="19">
        <v>30</v>
      </c>
      <c r="X202" s="19">
        <f t="shared" si="45"/>
        <v>0.76136817382527922</v>
      </c>
      <c r="Y202" s="19">
        <f t="shared" si="46"/>
        <v>-0.22542806487857273</v>
      </c>
      <c r="Z202" s="19">
        <f t="shared" si="47"/>
        <v>0.14811766280623076</v>
      </c>
      <c r="AA202" s="19">
        <f t="shared" si="48"/>
        <v>-0.37910910094445366</v>
      </c>
      <c r="AB202" s="19">
        <f t="shared" si="49"/>
        <v>-0.20416397341300668</v>
      </c>
      <c r="AC202" s="19">
        <f t="shared" si="50"/>
        <v>-1.0381593071494883</v>
      </c>
      <c r="AD202" s="19">
        <f t="shared" si="51"/>
        <v>-0.2694238744236846</v>
      </c>
      <c r="AE202" s="19">
        <f t="shared" si="52"/>
        <v>-0.2944774206007153</v>
      </c>
      <c r="AF202" s="19">
        <f t="shared" si="53"/>
        <v>-0.32922233139303714</v>
      </c>
      <c r="AG202" s="19">
        <f t="shared" si="54"/>
        <v>-0.31749505598987771</v>
      </c>
      <c r="AH202" s="19">
        <f t="shared" si="55"/>
        <v>-0.21908430640952425</v>
      </c>
      <c r="AI202" s="19">
        <f t="shared" si="56"/>
        <v>-0.45458092172286935</v>
      </c>
      <c r="AJ202" s="19">
        <f t="shared" si="57"/>
        <v>-0.45436953881327996</v>
      </c>
      <c r="AK202" s="19">
        <f t="shared" si="58"/>
        <v>-0.38452891446882498</v>
      </c>
      <c r="AL202" s="19">
        <f t="shared" si="59"/>
        <v>-0.14894739121122694</v>
      </c>
      <c r="BV202" s="16">
        <v>0</v>
      </c>
      <c r="BW202" s="18">
        <v>174</v>
      </c>
      <c r="BX202" s="48">
        <v>0.6936931551369121</v>
      </c>
      <c r="BY202" s="48">
        <v>-1.0792865338725615</v>
      </c>
      <c r="BZ202" s="18" t="e">
        <f t="shared" si="60"/>
        <v>#N/A</v>
      </c>
    </row>
    <row r="203" spans="1:78" x14ac:dyDescent="0.3">
      <c r="A203" s="19">
        <v>178</v>
      </c>
      <c r="B203" s="19">
        <v>0</v>
      </c>
      <c r="C203" s="19">
        <v>30</v>
      </c>
      <c r="D203" s="19">
        <v>37.776995507539397</v>
      </c>
      <c r="E203" s="22">
        <v>15669</v>
      </c>
      <c r="F203" s="22">
        <v>3656</v>
      </c>
      <c r="G203" s="23">
        <v>6142</v>
      </c>
      <c r="H203" s="23">
        <v>5871</v>
      </c>
      <c r="I203" s="24">
        <v>10.9</v>
      </c>
      <c r="J203" s="24">
        <v>124.5</v>
      </c>
      <c r="K203" s="22">
        <v>11478</v>
      </c>
      <c r="L203" s="22">
        <v>36428</v>
      </c>
      <c r="M203" s="22">
        <v>9523</v>
      </c>
      <c r="N203" s="22">
        <v>5546</v>
      </c>
      <c r="O203" s="25">
        <v>3626.56</v>
      </c>
      <c r="P203" s="24">
        <v>87.4</v>
      </c>
      <c r="Q203" s="22">
        <v>1166</v>
      </c>
      <c r="R203" s="23">
        <v>1160</v>
      </c>
      <c r="U203" s="19">
        <v>178</v>
      </c>
      <c r="V203" s="19">
        <v>0</v>
      </c>
      <c r="W203" s="19">
        <v>30</v>
      </c>
      <c r="X203" s="19">
        <f t="shared" si="45"/>
        <v>-0.61964460534276766</v>
      </c>
      <c r="Y203" s="19">
        <f t="shared" si="46"/>
        <v>-0.26268292713559344</v>
      </c>
      <c r="Z203" s="19">
        <f t="shared" si="47"/>
        <v>-0.47364145336616958</v>
      </c>
      <c r="AA203" s="19">
        <f t="shared" si="48"/>
        <v>-0.19744269696098277</v>
      </c>
      <c r="AB203" s="19">
        <f t="shared" si="49"/>
        <v>-0.21096806972081142</v>
      </c>
      <c r="AC203" s="19">
        <f t="shared" si="50"/>
        <v>-0.25982708033706142</v>
      </c>
      <c r="AD203" s="19">
        <f t="shared" si="51"/>
        <v>-0.2404525729711432</v>
      </c>
      <c r="AE203" s="19">
        <f t="shared" si="52"/>
        <v>-0.34272283533258191</v>
      </c>
      <c r="AF203" s="19">
        <f t="shared" si="53"/>
        <v>-0.37441432340469799</v>
      </c>
      <c r="AG203" s="19">
        <f t="shared" si="54"/>
        <v>-0.37826643806386095</v>
      </c>
      <c r="AH203" s="19">
        <f t="shared" si="55"/>
        <v>-0.22641863409535459</v>
      </c>
      <c r="AI203" s="19">
        <f t="shared" si="56"/>
        <v>0.19096475458892259</v>
      </c>
      <c r="AJ203" s="19">
        <f t="shared" si="57"/>
        <v>0.19346462480024587</v>
      </c>
      <c r="AK203" s="19">
        <f t="shared" si="58"/>
        <v>-0.41690368371238057</v>
      </c>
      <c r="AL203" s="19">
        <f t="shared" si="59"/>
        <v>0.23093313344230754</v>
      </c>
      <c r="BV203" s="16">
        <v>0</v>
      </c>
      <c r="BW203" s="18">
        <v>175</v>
      </c>
      <c r="BX203" s="48">
        <v>0.80130730364717984</v>
      </c>
      <c r="BY203" s="48">
        <v>1.0667380347043127E-2</v>
      </c>
      <c r="BZ203" s="18" t="e">
        <f t="shared" si="60"/>
        <v>#N/A</v>
      </c>
    </row>
    <row r="204" spans="1:78" x14ac:dyDescent="0.3">
      <c r="A204" s="19">
        <v>179</v>
      </c>
      <c r="B204" s="19">
        <v>0</v>
      </c>
      <c r="C204" s="19">
        <v>30</v>
      </c>
      <c r="D204" s="19">
        <v>39.8346620315371</v>
      </c>
      <c r="E204" s="22">
        <v>16316</v>
      </c>
      <c r="F204" s="22">
        <v>4007</v>
      </c>
      <c r="G204" s="23">
        <v>5663</v>
      </c>
      <c r="H204" s="23">
        <v>6646</v>
      </c>
      <c r="I204" s="24">
        <v>5.5</v>
      </c>
      <c r="J204" s="24">
        <v>140.30000000000001</v>
      </c>
      <c r="K204" s="22">
        <v>12311</v>
      </c>
      <c r="L204" s="22">
        <v>38388</v>
      </c>
      <c r="M204" s="22">
        <v>10208</v>
      </c>
      <c r="N204" s="22">
        <v>6472</v>
      </c>
      <c r="O204" s="25">
        <v>3250.33</v>
      </c>
      <c r="P204" s="24">
        <v>78.3</v>
      </c>
      <c r="Q204" s="22">
        <v>14633</v>
      </c>
      <c r="R204" s="23">
        <v>2450</v>
      </c>
      <c r="U204" s="19">
        <v>179</v>
      </c>
      <c r="V204" s="19">
        <v>0</v>
      </c>
      <c r="W204" s="19">
        <v>30</v>
      </c>
      <c r="X204" s="19">
        <f t="shared" si="45"/>
        <v>-0.55597155238764118</v>
      </c>
      <c r="Y204" s="19">
        <f t="shared" si="46"/>
        <v>-0.25055823101874614</v>
      </c>
      <c r="Z204" s="19">
        <f t="shared" si="47"/>
        <v>-0.40920760341739115</v>
      </c>
      <c r="AA204" s="19">
        <f t="shared" si="48"/>
        <v>-0.24839012524440346</v>
      </c>
      <c r="AB204" s="19">
        <f t="shared" si="49"/>
        <v>-0.19390277962842087</v>
      </c>
      <c r="AC204" s="19">
        <f t="shared" si="50"/>
        <v>-1.2849475741875747</v>
      </c>
      <c r="AD204" s="19">
        <f t="shared" si="51"/>
        <v>-0.2284066107882444</v>
      </c>
      <c r="AE204" s="19">
        <f t="shared" si="52"/>
        <v>-0.30001462016611546</v>
      </c>
      <c r="AF204" s="19">
        <f t="shared" si="53"/>
        <v>-0.34696582500282158</v>
      </c>
      <c r="AG204" s="19">
        <f t="shared" si="54"/>
        <v>-0.35311332826284675</v>
      </c>
      <c r="AH204" s="19">
        <f t="shared" si="55"/>
        <v>-0.18804808360338349</v>
      </c>
      <c r="AI204" s="19">
        <f t="shared" si="56"/>
        <v>-0.57163776299078561</v>
      </c>
      <c r="AJ204" s="19">
        <f t="shared" si="57"/>
        <v>-0.57215756856119415</v>
      </c>
      <c r="AK204" s="19">
        <f t="shared" si="58"/>
        <v>-0.1149708461757024</v>
      </c>
      <c r="AL204" s="19">
        <f t="shared" si="59"/>
        <v>0.93705111154469878</v>
      </c>
      <c r="BV204" s="16">
        <v>0</v>
      </c>
      <c r="BW204" s="18">
        <v>176</v>
      </c>
      <c r="BX204" s="48">
        <v>0.81907567253715241</v>
      </c>
      <c r="BY204" s="48">
        <v>-0.90808843554065299</v>
      </c>
      <c r="BZ204" s="18" t="e">
        <f t="shared" si="60"/>
        <v>#N/A</v>
      </c>
    </row>
    <row r="205" spans="1:78" x14ac:dyDescent="0.3">
      <c r="A205" s="19">
        <v>180</v>
      </c>
      <c r="B205" s="19">
        <v>0</v>
      </c>
      <c r="C205" s="19">
        <v>30</v>
      </c>
      <c r="D205" s="19">
        <v>109.639274768078</v>
      </c>
      <c r="E205" s="22">
        <v>34099</v>
      </c>
      <c r="F205" s="22">
        <v>1957</v>
      </c>
      <c r="G205" s="23">
        <v>12002</v>
      </c>
      <c r="H205" s="23">
        <v>20140</v>
      </c>
      <c r="I205" s="24">
        <v>5.5</v>
      </c>
      <c r="J205" s="24">
        <v>392.1</v>
      </c>
      <c r="K205" s="22">
        <v>17272</v>
      </c>
      <c r="L205" s="22">
        <v>61682</v>
      </c>
      <c r="M205" s="22">
        <v>23854</v>
      </c>
      <c r="N205" s="22">
        <v>11751</v>
      </c>
      <c r="O205" s="25">
        <v>3532.3</v>
      </c>
      <c r="P205" s="24">
        <v>85.1</v>
      </c>
      <c r="Q205" s="22">
        <v>24203</v>
      </c>
      <c r="R205" s="23">
        <v>0</v>
      </c>
      <c r="U205" s="19">
        <v>180</v>
      </c>
      <c r="V205" s="19">
        <v>0</v>
      </c>
      <c r="W205" s="19">
        <v>30</v>
      </c>
      <c r="X205" s="19">
        <f t="shared" si="45"/>
        <v>1.6040834183520309</v>
      </c>
      <c r="Y205" s="19">
        <f t="shared" si="46"/>
        <v>8.2692883426223426E-2</v>
      </c>
      <c r="Z205" s="19">
        <f t="shared" si="47"/>
        <v>-0.78553065867378935</v>
      </c>
      <c r="AA205" s="19">
        <f t="shared" si="48"/>
        <v>0.42583899352094884</v>
      </c>
      <c r="AB205" s="19">
        <f t="shared" si="49"/>
        <v>0.10323144554153799</v>
      </c>
      <c r="AC205" s="19">
        <f t="shared" si="50"/>
        <v>-1.2849475741875747</v>
      </c>
      <c r="AD205" s="19">
        <f t="shared" si="51"/>
        <v>-3.6433618531667565E-2</v>
      </c>
      <c r="AE205" s="19">
        <f t="shared" si="52"/>
        <v>-4.5662332722130015E-2</v>
      </c>
      <c r="AF205" s="19">
        <f t="shared" si="53"/>
        <v>-2.0748824098071487E-2</v>
      </c>
      <c r="AG205" s="19">
        <f t="shared" si="54"/>
        <v>0.14796599486801462</v>
      </c>
      <c r="AH205" s="19">
        <f t="shared" si="55"/>
        <v>3.0697203704516566E-2</v>
      </c>
      <c r="AI205" s="19">
        <f t="shared" si="56"/>
        <v>-9.6333859800575708E-5</v>
      </c>
      <c r="AJ205" s="19">
        <f t="shared" si="57"/>
        <v>-4.4281214184800787E-5</v>
      </c>
      <c r="AK205" s="19">
        <f t="shared" si="58"/>
        <v>9.9590470763928532E-2</v>
      </c>
      <c r="AL205" s="19">
        <f t="shared" si="59"/>
        <v>-0.40402566857224581</v>
      </c>
      <c r="BV205" s="16">
        <v>0</v>
      </c>
      <c r="BW205" s="18">
        <v>177</v>
      </c>
      <c r="BX205" s="48">
        <v>0.92438415370681071</v>
      </c>
      <c r="BY205" s="48">
        <v>-0.20059454958762751</v>
      </c>
      <c r="BZ205" s="18" t="e">
        <f t="shared" si="60"/>
        <v>#N/A</v>
      </c>
    </row>
    <row r="206" spans="1:78" x14ac:dyDescent="0.3">
      <c r="A206" s="19">
        <v>181</v>
      </c>
      <c r="B206" s="19">
        <v>0</v>
      </c>
      <c r="C206" s="19">
        <v>30</v>
      </c>
      <c r="D206" s="19">
        <v>93.421054273954198</v>
      </c>
      <c r="E206" s="22">
        <v>24082</v>
      </c>
      <c r="F206" s="22">
        <v>839</v>
      </c>
      <c r="G206" s="23">
        <v>7785</v>
      </c>
      <c r="H206" s="23">
        <v>15458</v>
      </c>
      <c r="I206" s="24">
        <v>11.2</v>
      </c>
      <c r="J206" s="24">
        <v>496</v>
      </c>
      <c r="K206" s="22">
        <v>11943</v>
      </c>
      <c r="L206" s="22">
        <v>46679</v>
      </c>
      <c r="M206" s="22">
        <v>17253</v>
      </c>
      <c r="N206" s="22">
        <v>8166</v>
      </c>
      <c r="O206" s="25">
        <v>3790.14</v>
      </c>
      <c r="P206" s="24">
        <v>91.3</v>
      </c>
      <c r="Q206" s="22">
        <v>23783</v>
      </c>
      <c r="R206" s="23">
        <v>0</v>
      </c>
      <c r="U206" s="19">
        <v>181</v>
      </c>
      <c r="V206" s="19">
        <v>0</v>
      </c>
      <c r="W206" s="19">
        <v>30</v>
      </c>
      <c r="X206" s="19">
        <f t="shared" si="45"/>
        <v>1.1022219163463667</v>
      </c>
      <c r="Y206" s="19">
        <f t="shared" si="46"/>
        <v>-0.10502439787587747</v>
      </c>
      <c r="Z206" s="19">
        <f t="shared" si="47"/>
        <v>-0.99076440295508361</v>
      </c>
      <c r="AA206" s="19">
        <f t="shared" si="48"/>
        <v>-2.2689827086953142E-2</v>
      </c>
      <c r="AB206" s="19">
        <f t="shared" si="49"/>
        <v>1.3507365434757727E-4</v>
      </c>
      <c r="AC206" s="19">
        <f t="shared" si="50"/>
        <v>-0.20287594178981092</v>
      </c>
      <c r="AD206" s="19">
        <f t="shared" si="51"/>
        <v>4.2780018860938983E-2</v>
      </c>
      <c r="AE206" s="19">
        <f t="shared" si="52"/>
        <v>-0.31888211498155322</v>
      </c>
      <c r="AF206" s="19">
        <f t="shared" si="53"/>
        <v>-0.23085587589570028</v>
      </c>
      <c r="AG206" s="19">
        <f t="shared" si="54"/>
        <v>-9.4421855929788093E-2</v>
      </c>
      <c r="AH206" s="19">
        <f t="shared" si="55"/>
        <v>-0.11785400959323333</v>
      </c>
      <c r="AI206" s="19">
        <f t="shared" si="56"/>
        <v>0.52253459172495276</v>
      </c>
      <c r="AJ206" s="19">
        <f t="shared" si="57"/>
        <v>0.52158842195514776</v>
      </c>
      <c r="AK206" s="19">
        <f t="shared" si="58"/>
        <v>9.017398663491652E-2</v>
      </c>
      <c r="AL206" s="19">
        <f t="shared" si="59"/>
        <v>-0.40402566857224581</v>
      </c>
      <c r="BV206" s="16">
        <v>0</v>
      </c>
      <c r="BW206" s="18">
        <v>178</v>
      </c>
      <c r="BX206" s="48">
        <v>0.68377728141937177</v>
      </c>
      <c r="BY206" s="48">
        <v>0.84753036042816632</v>
      </c>
      <c r="BZ206" s="18" t="e">
        <f t="shared" si="60"/>
        <v>#N/A</v>
      </c>
    </row>
    <row r="207" spans="1:78" x14ac:dyDescent="0.3">
      <c r="A207" s="19">
        <v>182</v>
      </c>
      <c r="B207" s="19">
        <v>0</v>
      </c>
      <c r="C207" s="19">
        <v>26</v>
      </c>
      <c r="D207" s="19">
        <v>36.790467148770901</v>
      </c>
      <c r="E207" s="22">
        <v>26442</v>
      </c>
      <c r="F207" s="22">
        <v>15160</v>
      </c>
      <c r="G207" s="23">
        <v>4204</v>
      </c>
      <c r="H207" s="23">
        <v>7078</v>
      </c>
      <c r="I207" s="24">
        <v>11.9</v>
      </c>
      <c r="J207" s="24">
        <v>107.2</v>
      </c>
      <c r="K207" s="22">
        <v>15698</v>
      </c>
      <c r="L207" s="22">
        <v>53440</v>
      </c>
      <c r="M207" s="22">
        <v>18003</v>
      </c>
      <c r="N207" s="22">
        <v>6121</v>
      </c>
      <c r="O207" s="25">
        <v>3900.83</v>
      </c>
      <c r="P207" s="24">
        <v>94</v>
      </c>
      <c r="Q207" s="22">
        <v>3844</v>
      </c>
      <c r="R207" s="23">
        <v>0</v>
      </c>
      <c r="U207" s="19">
        <v>182</v>
      </c>
      <c r="V207" s="19">
        <v>0</v>
      </c>
      <c r="W207" s="19">
        <v>26</v>
      </c>
      <c r="X207" s="19">
        <f t="shared" si="45"/>
        <v>-0.65017203614703656</v>
      </c>
      <c r="Y207" s="19">
        <f t="shared" si="46"/>
        <v>-6.0798303848428333E-2</v>
      </c>
      <c r="Z207" s="19">
        <f t="shared" si="47"/>
        <v>1.6381733893994914</v>
      </c>
      <c r="AA207" s="19">
        <f t="shared" si="48"/>
        <v>-0.40357237548555336</v>
      </c>
      <c r="AB207" s="19">
        <f t="shared" si="49"/>
        <v>-0.18439025663498509</v>
      </c>
      <c r="AC207" s="19">
        <f t="shared" si="50"/>
        <v>-6.9989951846225668E-2</v>
      </c>
      <c r="AD207" s="19">
        <f t="shared" si="51"/>
        <v>-0.25364213915874756</v>
      </c>
      <c r="AE207" s="19">
        <f t="shared" si="52"/>
        <v>-0.1263618893512034</v>
      </c>
      <c r="AF207" s="19">
        <f t="shared" si="53"/>
        <v>-0.13617256074514583</v>
      </c>
      <c r="AG207" s="19">
        <f t="shared" si="54"/>
        <v>-6.6881954687801726E-2</v>
      </c>
      <c r="AH207" s="19">
        <f t="shared" si="55"/>
        <v>-0.20259242833630126</v>
      </c>
      <c r="AI207" s="19">
        <f t="shared" si="56"/>
        <v>0.74689860488418491</v>
      </c>
      <c r="AJ207" s="19">
        <f t="shared" si="57"/>
        <v>0.74875105075469595</v>
      </c>
      <c r="AK207" s="19">
        <f t="shared" si="58"/>
        <v>-0.35686238728977537</v>
      </c>
      <c r="AL207" s="19">
        <f t="shared" si="59"/>
        <v>-0.40402566857224581</v>
      </c>
      <c r="BV207" s="16">
        <v>0</v>
      </c>
      <c r="BW207" s="18">
        <v>179</v>
      </c>
      <c r="BX207" s="48">
        <v>0.70480112486879187</v>
      </c>
      <c r="BY207" s="48">
        <v>0.31328168125906619</v>
      </c>
      <c r="BZ207" s="18" t="e">
        <f t="shared" si="60"/>
        <v>#N/A</v>
      </c>
    </row>
    <row r="208" spans="1:78" x14ac:dyDescent="0.3">
      <c r="A208" s="19">
        <v>183</v>
      </c>
      <c r="B208" s="19">
        <v>0</v>
      </c>
      <c r="C208" s="19">
        <v>30</v>
      </c>
      <c r="D208" s="19">
        <v>66.388209347129106</v>
      </c>
      <c r="E208" s="22">
        <v>23034</v>
      </c>
      <c r="F208" s="22">
        <v>7665</v>
      </c>
      <c r="G208" s="23">
        <v>8398</v>
      </c>
      <c r="H208" s="23">
        <v>6971</v>
      </c>
      <c r="I208" s="24">
        <v>8.3000000000000007</v>
      </c>
      <c r="J208" s="24">
        <v>407.9</v>
      </c>
      <c r="K208" s="22">
        <v>14891</v>
      </c>
      <c r="L208" s="22">
        <v>48259</v>
      </c>
      <c r="M208" s="22">
        <v>13080</v>
      </c>
      <c r="N208" s="22">
        <v>7236</v>
      </c>
      <c r="O208" s="25">
        <v>3415.02</v>
      </c>
      <c r="P208" s="24">
        <v>82.3</v>
      </c>
      <c r="Q208" s="22">
        <v>8608</v>
      </c>
      <c r="R208" s="23">
        <v>7450</v>
      </c>
      <c r="U208" s="19">
        <v>183</v>
      </c>
      <c r="V208" s="19">
        <v>0</v>
      </c>
      <c r="W208" s="19">
        <v>30</v>
      </c>
      <c r="X208" s="19">
        <f t="shared" si="45"/>
        <v>0.2657094171250029</v>
      </c>
      <c r="Y208" s="19">
        <f t="shared" si="46"/>
        <v>-0.124663782003321</v>
      </c>
      <c r="Z208" s="19">
        <f t="shared" si="47"/>
        <v>0.26229958493768429</v>
      </c>
      <c r="AA208" s="19">
        <f t="shared" si="48"/>
        <v>4.251011766823868E-2</v>
      </c>
      <c r="AB208" s="19">
        <f t="shared" si="49"/>
        <v>-0.18674636765419259</v>
      </c>
      <c r="AC208" s="19">
        <f t="shared" si="50"/>
        <v>-0.75340361441323445</v>
      </c>
      <c r="AD208" s="19">
        <f t="shared" si="51"/>
        <v>-2.4387656348768813E-2</v>
      </c>
      <c r="AE208" s="19">
        <f t="shared" si="52"/>
        <v>-0.16773707499266607</v>
      </c>
      <c r="AF208" s="19">
        <f t="shared" si="53"/>
        <v>-0.20872902514316724</v>
      </c>
      <c r="AG208" s="19">
        <f t="shared" si="54"/>
        <v>-0.24765386644020027</v>
      </c>
      <c r="AH208" s="19">
        <f t="shared" si="55"/>
        <v>-0.15639030760352829</v>
      </c>
      <c r="AI208" s="19">
        <f t="shared" si="56"/>
        <v>-0.23781800215246285</v>
      </c>
      <c r="AJ208" s="19">
        <f t="shared" si="57"/>
        <v>-0.23562034071001206</v>
      </c>
      <c r="AK208" s="19">
        <f t="shared" si="58"/>
        <v>-0.2500525530264105</v>
      </c>
      <c r="AL208" s="19">
        <f t="shared" si="59"/>
        <v>3.6739424995384629</v>
      </c>
      <c r="BV208" s="16">
        <v>0</v>
      </c>
      <c r="BW208" s="18">
        <v>180</v>
      </c>
      <c r="BX208" s="48">
        <v>-0.32207212544307795</v>
      </c>
      <c r="BY208" s="48">
        <v>0.31106924128004926</v>
      </c>
      <c r="BZ208" s="18" t="e">
        <f t="shared" si="60"/>
        <v>#N/A</v>
      </c>
    </row>
    <row r="209" spans="1:78" x14ac:dyDescent="0.3">
      <c r="A209" s="19">
        <v>184</v>
      </c>
      <c r="B209" s="19">
        <v>0</v>
      </c>
      <c r="C209" s="19">
        <v>20</v>
      </c>
      <c r="D209" s="19">
        <v>76.282497121778803</v>
      </c>
      <c r="E209" s="22">
        <v>15446</v>
      </c>
      <c r="F209" s="22">
        <v>11144</v>
      </c>
      <c r="G209" s="23">
        <v>1867</v>
      </c>
      <c r="H209" s="23">
        <v>2435</v>
      </c>
      <c r="I209" s="24">
        <v>11.5</v>
      </c>
      <c r="J209" s="24">
        <v>194.1</v>
      </c>
      <c r="K209" s="22">
        <v>9920</v>
      </c>
      <c r="L209" s="22">
        <v>32475</v>
      </c>
      <c r="M209" s="22">
        <v>9044</v>
      </c>
      <c r="N209" s="22">
        <v>3013</v>
      </c>
      <c r="O209" s="25">
        <v>3708.32</v>
      </c>
      <c r="P209" s="24">
        <v>89.3</v>
      </c>
      <c r="Q209" s="22">
        <v>1180</v>
      </c>
      <c r="R209" s="23">
        <v>152</v>
      </c>
      <c r="U209" s="19">
        <v>184</v>
      </c>
      <c r="V209" s="19">
        <v>0</v>
      </c>
      <c r="W209" s="19">
        <v>20</v>
      </c>
      <c r="X209" s="19">
        <f t="shared" si="45"/>
        <v>0.57188123946895897</v>
      </c>
      <c r="Y209" s="19">
        <f t="shared" si="46"/>
        <v>-0.26686191822378036</v>
      </c>
      <c r="Z209" s="19">
        <f t="shared" si="47"/>
        <v>0.90094734554110345</v>
      </c>
      <c r="AA209" s="19">
        <f t="shared" si="48"/>
        <v>-0.65214051723577082</v>
      </c>
      <c r="AB209" s="19">
        <f t="shared" si="49"/>
        <v>-0.28662785908526811</v>
      </c>
      <c r="AC209" s="19">
        <f t="shared" si="50"/>
        <v>-0.14592480324256005</v>
      </c>
      <c r="AD209" s="19">
        <f t="shared" si="51"/>
        <v>-0.18738934715280425</v>
      </c>
      <c r="AE209" s="19">
        <f t="shared" si="52"/>
        <v>-0.42260206610011453</v>
      </c>
      <c r="AF209" s="19">
        <f t="shared" si="53"/>
        <v>-0.42977346329378863</v>
      </c>
      <c r="AG209" s="19">
        <f t="shared" si="54"/>
        <v>-0.39585525499040958</v>
      </c>
      <c r="AH209" s="19">
        <f t="shared" si="55"/>
        <v>-0.33137825007393212</v>
      </c>
      <c r="AI209" s="19">
        <f t="shared" si="56"/>
        <v>0.35668886440822756</v>
      </c>
      <c r="AJ209" s="19">
        <f t="shared" si="57"/>
        <v>0.35331980802955665</v>
      </c>
      <c r="AK209" s="19">
        <f t="shared" si="58"/>
        <v>-0.41658980090808018</v>
      </c>
      <c r="AL209" s="19">
        <f t="shared" si="59"/>
        <v>-0.32082417037723537</v>
      </c>
      <c r="BV209" s="16">
        <v>0</v>
      </c>
      <c r="BW209" s="18">
        <v>181</v>
      </c>
      <c r="BX209" s="48">
        <v>7.652114573201016E-2</v>
      </c>
      <c r="BY209" s="48">
        <v>0.86748296414083859</v>
      </c>
      <c r="BZ209" s="18" t="e">
        <f t="shared" si="60"/>
        <v>#N/A</v>
      </c>
    </row>
    <row r="210" spans="1:78" x14ac:dyDescent="0.3">
      <c r="A210" s="19">
        <v>185</v>
      </c>
      <c r="B210" s="19">
        <v>0</v>
      </c>
      <c r="C210" s="19">
        <v>30</v>
      </c>
      <c r="D210" s="19">
        <v>68.498558714506103</v>
      </c>
      <c r="E210" s="22">
        <v>22863</v>
      </c>
      <c r="F210" s="22">
        <v>453</v>
      </c>
      <c r="G210" s="23">
        <v>9039</v>
      </c>
      <c r="H210" s="23">
        <v>13371</v>
      </c>
      <c r="I210" s="24">
        <v>5.6</v>
      </c>
      <c r="J210" s="24">
        <v>152.1</v>
      </c>
      <c r="K210" s="22">
        <v>11740</v>
      </c>
      <c r="L210" s="22">
        <v>39613</v>
      </c>
      <c r="M210" s="22">
        <v>13206</v>
      </c>
      <c r="N210" s="22">
        <v>9015</v>
      </c>
      <c r="O210" s="25">
        <v>3427.7</v>
      </c>
      <c r="P210" s="24">
        <v>82.6</v>
      </c>
      <c r="Q210" s="22">
        <v>66975</v>
      </c>
      <c r="R210" s="23">
        <v>0</v>
      </c>
      <c r="U210" s="19">
        <v>185</v>
      </c>
      <c r="V210" s="19">
        <v>0</v>
      </c>
      <c r="W210" s="19">
        <v>30</v>
      </c>
      <c r="X210" s="19">
        <f t="shared" si="45"/>
        <v>0.33101270386057657</v>
      </c>
      <c r="Y210" s="19">
        <f t="shared" si="46"/>
        <v>-0.12786829983327599</v>
      </c>
      <c r="Z210" s="19">
        <f t="shared" si="47"/>
        <v>-1.0616232806765322</v>
      </c>
      <c r="AA210" s="19">
        <f t="shared" si="48"/>
        <v>0.11068820019365135</v>
      </c>
      <c r="AB210" s="19">
        <f t="shared" si="49"/>
        <v>-4.5820101084773822E-2</v>
      </c>
      <c r="AC210" s="19">
        <f t="shared" si="50"/>
        <v>-1.2659638613384911</v>
      </c>
      <c r="AD210" s="19">
        <f t="shared" si="51"/>
        <v>-0.21941025928456048</v>
      </c>
      <c r="AE210" s="19">
        <f t="shared" si="52"/>
        <v>-0.32928999934985176</v>
      </c>
      <c r="AF210" s="19">
        <f t="shared" si="53"/>
        <v>-0.32981051350164875</v>
      </c>
      <c r="AG210" s="19">
        <f t="shared" si="54"/>
        <v>-0.24302716303154653</v>
      </c>
      <c r="AH210" s="19">
        <f t="shared" si="55"/>
        <v>-8.2674098828996317E-2</v>
      </c>
      <c r="AI210" s="19">
        <f t="shared" si="56"/>
        <v>-0.21211617103078045</v>
      </c>
      <c r="AJ210" s="19">
        <f t="shared" si="57"/>
        <v>-0.21038004862117363</v>
      </c>
      <c r="AK210" s="19">
        <f t="shared" si="58"/>
        <v>1.0585472783022667</v>
      </c>
      <c r="AL210" s="19">
        <f t="shared" si="59"/>
        <v>-0.40402566857224581</v>
      </c>
      <c r="BV210" s="16">
        <v>0</v>
      </c>
      <c r="BW210" s="18">
        <v>182</v>
      </c>
      <c r="BX210" s="48">
        <v>0.29309841264283321</v>
      </c>
      <c r="BY210" s="48">
        <v>0.44095109996733051</v>
      </c>
      <c r="BZ210" s="18" t="e">
        <f t="shared" si="60"/>
        <v>#N/A</v>
      </c>
    </row>
    <row r="211" spans="1:78" x14ac:dyDescent="0.3">
      <c r="A211" s="19">
        <v>186</v>
      </c>
      <c r="B211" s="19">
        <v>0</v>
      </c>
      <c r="C211" s="19">
        <v>30</v>
      </c>
      <c r="D211" s="19">
        <v>149.14430782031201</v>
      </c>
      <c r="E211" s="22">
        <v>23583</v>
      </c>
      <c r="F211" s="22">
        <v>4798</v>
      </c>
      <c r="G211" s="23">
        <v>13875</v>
      </c>
      <c r="H211" s="23">
        <v>4910</v>
      </c>
      <c r="I211" s="24">
        <v>2.6</v>
      </c>
      <c r="J211" s="24">
        <v>296.60000000000002</v>
      </c>
      <c r="K211" s="22">
        <v>11091</v>
      </c>
      <c r="L211" s="22">
        <v>35599</v>
      </c>
      <c r="M211" s="22">
        <v>9737</v>
      </c>
      <c r="N211" s="22">
        <v>5834</v>
      </c>
      <c r="O211" s="25">
        <v>2568.52</v>
      </c>
      <c r="P211" s="24">
        <v>61.9</v>
      </c>
      <c r="Q211" s="22">
        <v>1536</v>
      </c>
      <c r="R211" s="23">
        <v>66</v>
      </c>
      <c r="U211" s="19">
        <v>186</v>
      </c>
      <c r="V211" s="19">
        <v>0</v>
      </c>
      <c r="W211" s="19">
        <v>30</v>
      </c>
      <c r="X211" s="19">
        <f t="shared" si="45"/>
        <v>2.8265390651698161</v>
      </c>
      <c r="Y211" s="19">
        <f t="shared" si="46"/>
        <v>-0.11437559318083389</v>
      </c>
      <c r="Z211" s="19">
        <f t="shared" si="47"/>
        <v>-0.26400197575504436</v>
      </c>
      <c r="AA211" s="19">
        <f t="shared" si="48"/>
        <v>0.62505513793607814</v>
      </c>
      <c r="AB211" s="19">
        <f t="shared" si="49"/>
        <v>-0.23212902943537569</v>
      </c>
      <c r="AC211" s="19">
        <f t="shared" si="50"/>
        <v>-1.8354752468109985</v>
      </c>
      <c r="AD211" s="19">
        <f t="shared" si="51"/>
        <v>-0.10924307349792287</v>
      </c>
      <c r="AE211" s="19">
        <f t="shared" si="52"/>
        <v>-0.3625644671085993</v>
      </c>
      <c r="AF211" s="19">
        <f t="shared" si="53"/>
        <v>-0.38602391788181822</v>
      </c>
      <c r="AG211" s="19">
        <f t="shared" si="54"/>
        <v>-0.37040838624281419</v>
      </c>
      <c r="AH211" s="19">
        <f t="shared" si="55"/>
        <v>-0.21448481277603745</v>
      </c>
      <c r="AI211" s="19">
        <f t="shared" si="56"/>
        <v>-1.9536381949367252</v>
      </c>
      <c r="AJ211" s="19">
        <f t="shared" si="57"/>
        <v>-1.9519602027510408</v>
      </c>
      <c r="AK211" s="19">
        <f t="shared" si="58"/>
        <v>-0.40860820959872712</v>
      </c>
      <c r="AL211" s="19">
        <f t="shared" si="59"/>
        <v>-0.36789870225072807</v>
      </c>
      <c r="BV211" s="16">
        <v>0</v>
      </c>
      <c r="BW211" s="18">
        <v>183</v>
      </c>
      <c r="BX211" s="48">
        <v>0.45224570066830283</v>
      </c>
      <c r="BY211" s="48">
        <v>0.33956087994782197</v>
      </c>
      <c r="BZ211" s="18" t="e">
        <f t="shared" si="60"/>
        <v>#N/A</v>
      </c>
    </row>
    <row r="212" spans="1:78" x14ac:dyDescent="0.3">
      <c r="A212" s="19">
        <v>187</v>
      </c>
      <c r="B212" s="19">
        <v>0</v>
      </c>
      <c r="C212" s="19">
        <v>30</v>
      </c>
      <c r="D212" s="19">
        <v>126.739289675097</v>
      </c>
      <c r="E212" s="22">
        <v>24215</v>
      </c>
      <c r="F212" s="22">
        <v>10649</v>
      </c>
      <c r="G212" s="23">
        <v>6735</v>
      </c>
      <c r="H212" s="23">
        <v>6831</v>
      </c>
      <c r="I212" s="24">
        <v>12.8</v>
      </c>
      <c r="J212" s="24">
        <v>146.4</v>
      </c>
      <c r="K212" s="22">
        <v>16389</v>
      </c>
      <c r="L212" s="22">
        <v>55064</v>
      </c>
      <c r="M212" s="22">
        <v>16946</v>
      </c>
      <c r="N212" s="22">
        <v>6827</v>
      </c>
      <c r="O212" s="25">
        <v>3696.1</v>
      </c>
      <c r="P212" s="24">
        <v>89</v>
      </c>
      <c r="Q212" s="22">
        <v>5686</v>
      </c>
      <c r="R212" s="23">
        <v>70</v>
      </c>
      <c r="U212" s="19">
        <v>187</v>
      </c>
      <c r="V212" s="19">
        <v>0</v>
      </c>
      <c r="W212" s="19">
        <v>30</v>
      </c>
      <c r="X212" s="19">
        <f t="shared" si="45"/>
        <v>2.133231432381387</v>
      </c>
      <c r="Y212" s="19">
        <f t="shared" si="46"/>
        <v>-0.10253199511924581</v>
      </c>
      <c r="Z212" s="19">
        <f t="shared" si="47"/>
        <v>0.81007909561333902</v>
      </c>
      <c r="AA212" s="19">
        <f t="shared" si="48"/>
        <v>-0.1343699934702344</v>
      </c>
      <c r="AB212" s="19">
        <f t="shared" si="49"/>
        <v>-0.18982912973539862</v>
      </c>
      <c r="AC212" s="19">
        <f t="shared" si="50"/>
        <v>0.1008634637955266</v>
      </c>
      <c r="AD212" s="19">
        <f t="shared" si="51"/>
        <v>-0.22375595450244173</v>
      </c>
      <c r="AE212" s="19">
        <f t="shared" si="52"/>
        <v>-9.0934066205911337E-2</v>
      </c>
      <c r="AF212" s="19">
        <f t="shared" si="53"/>
        <v>-0.1134295192121625</v>
      </c>
      <c r="AG212" s="19">
        <f t="shared" si="54"/>
        <v>-0.10569485550484119</v>
      </c>
      <c r="AH212" s="19">
        <f t="shared" si="55"/>
        <v>-0.17333799135214187</v>
      </c>
      <c r="AI212" s="19">
        <f t="shared" si="56"/>
        <v>0.33191943410010694</v>
      </c>
      <c r="AJ212" s="19">
        <f t="shared" si="57"/>
        <v>0.32807951594071827</v>
      </c>
      <c r="AK212" s="19">
        <f t="shared" si="58"/>
        <v>-0.3155643783239655</v>
      </c>
      <c r="AL212" s="19">
        <f t="shared" si="59"/>
        <v>-0.36570918914033307</v>
      </c>
      <c r="BV212" s="16">
        <v>0</v>
      </c>
      <c r="BW212" s="18">
        <v>184</v>
      </c>
      <c r="BX212" s="48">
        <v>0.99986028637846558</v>
      </c>
      <c r="BY212" s="48">
        <v>0.23272787530251632</v>
      </c>
      <c r="BZ212" s="18" t="e">
        <f t="shared" si="60"/>
        <v>#N/A</v>
      </c>
    </row>
    <row r="213" spans="1:78" x14ac:dyDescent="0.3">
      <c r="A213" s="19">
        <v>188</v>
      </c>
      <c r="B213" s="19">
        <v>0</v>
      </c>
      <c r="C213" s="19">
        <v>20</v>
      </c>
      <c r="D213" s="19">
        <v>76.935059154848602</v>
      </c>
      <c r="E213" s="22">
        <v>14588</v>
      </c>
      <c r="F213" s="22">
        <v>6524</v>
      </c>
      <c r="G213" s="23">
        <v>2879</v>
      </c>
      <c r="H213" s="23">
        <v>5185</v>
      </c>
      <c r="I213" s="24">
        <v>15.6</v>
      </c>
      <c r="J213" s="24">
        <v>177.4</v>
      </c>
      <c r="K213" s="22">
        <v>10468</v>
      </c>
      <c r="L213" s="22">
        <v>37131</v>
      </c>
      <c r="M213" s="22">
        <v>11504</v>
      </c>
      <c r="N213" s="22">
        <v>4295</v>
      </c>
      <c r="O213" s="25">
        <v>3761.95</v>
      </c>
      <c r="P213" s="24">
        <v>90.6</v>
      </c>
      <c r="Q213" s="22">
        <v>2759</v>
      </c>
      <c r="R213" s="23">
        <v>672</v>
      </c>
      <c r="U213" s="19">
        <v>188</v>
      </c>
      <c r="V213" s="19">
        <v>0</v>
      </c>
      <c r="W213" s="19">
        <v>20</v>
      </c>
      <c r="X213" s="19">
        <f t="shared" si="45"/>
        <v>0.59207431565675261</v>
      </c>
      <c r="Y213" s="19">
        <f t="shared" si="46"/>
        <v>-0.2829407269846072</v>
      </c>
      <c r="Z213" s="19">
        <f t="shared" si="47"/>
        <v>5.2843679548635315E-2</v>
      </c>
      <c r="AA213" s="19">
        <f t="shared" si="48"/>
        <v>-0.54450210925493203</v>
      </c>
      <c r="AB213" s="19">
        <f t="shared" si="49"/>
        <v>-0.226073603918721</v>
      </c>
      <c r="AC213" s="19">
        <f t="shared" si="50"/>
        <v>0.63240742356986657</v>
      </c>
      <c r="AD213" s="19">
        <f t="shared" si="51"/>
        <v>-0.2001214717385264</v>
      </c>
      <c r="AE213" s="19">
        <f t="shared" si="52"/>
        <v>-0.39450590534234309</v>
      </c>
      <c r="AF213" s="19">
        <f t="shared" si="53"/>
        <v>-0.36456927525341271</v>
      </c>
      <c r="AG213" s="19">
        <f t="shared" si="54"/>
        <v>-0.30552437891669426</v>
      </c>
      <c r="AH213" s="19">
        <f t="shared" si="55"/>
        <v>-0.27825617045113843</v>
      </c>
      <c r="AI213" s="19">
        <f t="shared" si="56"/>
        <v>0.46539463751988663</v>
      </c>
      <c r="AJ213" s="19">
        <f t="shared" si="57"/>
        <v>0.46269440708119064</v>
      </c>
      <c r="AK213" s="19">
        <f t="shared" si="58"/>
        <v>-0.38118830462305642</v>
      </c>
      <c r="AL213" s="19">
        <f t="shared" si="59"/>
        <v>-3.6187466025883859E-2</v>
      </c>
      <c r="BV213" s="16">
        <v>0</v>
      </c>
      <c r="BW213" s="18">
        <v>185</v>
      </c>
      <c r="BX213" s="48">
        <v>-1.34922459811277E-2</v>
      </c>
      <c r="BY213" s="48">
        <v>0.60188716509089346</v>
      </c>
      <c r="BZ213" s="18" t="e">
        <f t="shared" si="60"/>
        <v>#N/A</v>
      </c>
    </row>
    <row r="214" spans="1:78" x14ac:dyDescent="0.3">
      <c r="A214" s="19">
        <v>189</v>
      </c>
      <c r="B214" s="19">
        <v>0</v>
      </c>
      <c r="C214" s="19">
        <v>20</v>
      </c>
      <c r="D214" s="19">
        <v>6.0433277608140097</v>
      </c>
      <c r="E214" s="22">
        <v>32310</v>
      </c>
      <c r="F214" s="22">
        <v>14482</v>
      </c>
      <c r="G214" s="23">
        <v>7987</v>
      </c>
      <c r="H214" s="23">
        <v>9841</v>
      </c>
      <c r="I214" s="24">
        <v>14.3</v>
      </c>
      <c r="J214" s="24">
        <v>238</v>
      </c>
      <c r="K214" s="22">
        <v>26057</v>
      </c>
      <c r="L214" s="22">
        <v>92450</v>
      </c>
      <c r="M214" s="22">
        <v>27010</v>
      </c>
      <c r="N214" s="22">
        <v>12369</v>
      </c>
      <c r="O214" s="25">
        <v>3338.72</v>
      </c>
      <c r="P214" s="24">
        <v>80.400000000000006</v>
      </c>
      <c r="Q214" s="22">
        <v>4482</v>
      </c>
      <c r="R214" s="23">
        <v>239</v>
      </c>
      <c r="U214" s="19">
        <v>189</v>
      </c>
      <c r="V214" s="19">
        <v>0</v>
      </c>
      <c r="W214" s="19">
        <v>20</v>
      </c>
      <c r="X214" s="19">
        <f t="shared" si="45"/>
        <v>-1.6016207824018103</v>
      </c>
      <c r="Y214" s="19">
        <f t="shared" si="46"/>
        <v>4.9167255368974892E-2</v>
      </c>
      <c r="Z214" s="19">
        <f t="shared" si="47"/>
        <v>1.5137114228317656</v>
      </c>
      <c r="AA214" s="19">
        <f t="shared" si="48"/>
        <v>-1.2046903160742707E-3</v>
      </c>
      <c r="AB214" s="19">
        <f t="shared" si="49"/>
        <v>-0.12354974498946884</v>
      </c>
      <c r="AC214" s="19">
        <f t="shared" si="50"/>
        <v>0.3856191565317803</v>
      </c>
      <c r="AD214" s="19">
        <f t="shared" si="51"/>
        <v>-0.15391986994842091</v>
      </c>
      <c r="AE214" s="19">
        <f t="shared" si="52"/>
        <v>0.40474783563009986</v>
      </c>
      <c r="AF214" s="19">
        <f t="shared" si="53"/>
        <v>0.41013658346771154</v>
      </c>
      <c r="AG214" s="19">
        <f t="shared" si="54"/>
        <v>0.26385389929429326</v>
      </c>
      <c r="AH214" s="19">
        <f t="shared" si="55"/>
        <v>5.6305195285551272E-2</v>
      </c>
      <c r="AI214" s="19">
        <f t="shared" si="56"/>
        <v>-0.3924749197064375</v>
      </c>
      <c r="AJ214" s="19">
        <f t="shared" si="57"/>
        <v>-0.39547552393932284</v>
      </c>
      <c r="AK214" s="19">
        <f t="shared" si="58"/>
        <v>-0.34255829949379996</v>
      </c>
      <c r="AL214" s="19">
        <f t="shared" si="59"/>
        <v>-0.27320226022614386</v>
      </c>
      <c r="BV214" s="16">
        <v>0</v>
      </c>
      <c r="BW214" s="18">
        <v>186</v>
      </c>
      <c r="BX214" s="48">
        <v>1.1718151399003709</v>
      </c>
      <c r="BY214" s="48">
        <v>-1.8567151324337665</v>
      </c>
      <c r="BZ214" s="18" t="e">
        <f t="shared" si="60"/>
        <v>#N/A</v>
      </c>
    </row>
    <row r="215" spans="1:78" x14ac:dyDescent="0.3">
      <c r="A215" s="19">
        <v>190</v>
      </c>
      <c r="B215" s="19">
        <v>0</v>
      </c>
      <c r="C215" s="19">
        <v>20</v>
      </c>
      <c r="D215" s="19">
        <v>41.390497518995303</v>
      </c>
      <c r="E215" s="22">
        <v>12271</v>
      </c>
      <c r="F215" s="22">
        <v>8714</v>
      </c>
      <c r="G215" s="23">
        <v>882</v>
      </c>
      <c r="H215" s="23">
        <v>2675</v>
      </c>
      <c r="I215" s="24">
        <v>12.1</v>
      </c>
      <c r="J215" s="24">
        <v>53</v>
      </c>
      <c r="K215" s="22">
        <v>6946</v>
      </c>
      <c r="L215" s="22">
        <v>26338</v>
      </c>
      <c r="M215" s="22">
        <v>8260</v>
      </c>
      <c r="N215" s="22">
        <v>2339</v>
      </c>
      <c r="O215" s="25">
        <v>3364.02</v>
      </c>
      <c r="P215" s="24">
        <v>81</v>
      </c>
      <c r="Q215" s="22">
        <v>2401</v>
      </c>
      <c r="R215" s="23">
        <v>35</v>
      </c>
      <c r="U215" s="19">
        <v>190</v>
      </c>
      <c r="V215" s="19">
        <v>0</v>
      </c>
      <c r="W215" s="19">
        <v>20</v>
      </c>
      <c r="X215" s="19">
        <f t="shared" si="45"/>
        <v>-0.50782731024391192</v>
      </c>
      <c r="Y215" s="19">
        <f t="shared" si="46"/>
        <v>-0.32636100658697997</v>
      </c>
      <c r="Z215" s="19">
        <f t="shared" si="47"/>
        <v>0.45486684589571441</v>
      </c>
      <c r="AA215" s="19">
        <f t="shared" si="48"/>
        <v>-0.7569071495096108</v>
      </c>
      <c r="AB215" s="19">
        <f t="shared" si="49"/>
        <v>-0.28134312408891493</v>
      </c>
      <c r="AC215" s="19">
        <f t="shared" si="50"/>
        <v>-3.2022526148058644E-2</v>
      </c>
      <c r="AD215" s="19">
        <f t="shared" si="51"/>
        <v>-0.29496436386210922</v>
      </c>
      <c r="AE215" s="19">
        <f t="shared" si="52"/>
        <v>-0.57508013561400539</v>
      </c>
      <c r="AF215" s="19">
        <f t="shared" si="53"/>
        <v>-0.51571807283068449</v>
      </c>
      <c r="AG215" s="19">
        <f t="shared" si="54"/>
        <v>-0.42464363175536601</v>
      </c>
      <c r="AH215" s="19">
        <f t="shared" si="55"/>
        <v>-0.35930670691150074</v>
      </c>
      <c r="AI215" s="19">
        <f t="shared" si="56"/>
        <v>-0.34119287496049283</v>
      </c>
      <c r="AJ215" s="19">
        <f t="shared" si="57"/>
        <v>-0.34499493976164602</v>
      </c>
      <c r="AK215" s="19">
        <f t="shared" si="58"/>
        <v>-0.38921473633302378</v>
      </c>
      <c r="AL215" s="19">
        <f t="shared" si="59"/>
        <v>-0.38486742885628944</v>
      </c>
      <c r="BV215" s="16">
        <v>0</v>
      </c>
      <c r="BW215" s="18">
        <v>187</v>
      </c>
      <c r="BX215" s="48">
        <v>0.52962142599701811</v>
      </c>
      <c r="BY215" s="48">
        <v>-0.28301452130356569</v>
      </c>
      <c r="BZ215" s="18" t="e">
        <f t="shared" si="60"/>
        <v>#N/A</v>
      </c>
    </row>
    <row r="216" spans="1:78" x14ac:dyDescent="0.3">
      <c r="A216" s="19">
        <v>191</v>
      </c>
      <c r="B216" s="19">
        <v>0</v>
      </c>
      <c r="C216" s="19">
        <v>26</v>
      </c>
      <c r="D216" s="19">
        <v>64.146178101230404</v>
      </c>
      <c r="E216" s="22">
        <v>13490</v>
      </c>
      <c r="F216" s="22">
        <v>10486</v>
      </c>
      <c r="G216" s="23">
        <v>537</v>
      </c>
      <c r="H216" s="23">
        <v>2467</v>
      </c>
      <c r="I216" s="24">
        <v>10.5</v>
      </c>
      <c r="J216" s="24">
        <v>10.3</v>
      </c>
      <c r="K216" s="22">
        <v>5284</v>
      </c>
      <c r="L216" s="22">
        <v>21534</v>
      </c>
      <c r="M216" s="22">
        <v>7631</v>
      </c>
      <c r="N216" s="22">
        <v>1811</v>
      </c>
      <c r="O216" s="25">
        <v>3142.99</v>
      </c>
      <c r="P216" s="24">
        <v>75.7</v>
      </c>
      <c r="Q216" s="22">
        <v>230</v>
      </c>
      <c r="R216" s="23">
        <v>0</v>
      </c>
      <c r="U216" s="19">
        <v>191</v>
      </c>
      <c r="V216" s="19">
        <v>0</v>
      </c>
      <c r="W216" s="19">
        <v>26</v>
      </c>
      <c r="X216" s="19">
        <f t="shared" si="45"/>
        <v>0.19633132666076039</v>
      </c>
      <c r="Y216" s="19">
        <f t="shared" si="46"/>
        <v>-0.30351710462958142</v>
      </c>
      <c r="Z216" s="19">
        <f t="shared" si="47"/>
        <v>0.78015682341490344</v>
      </c>
      <c r="AA216" s="19">
        <f t="shared" si="48"/>
        <v>-0.79360206132126043</v>
      </c>
      <c r="AB216" s="19">
        <f t="shared" si="49"/>
        <v>-0.28592322775242102</v>
      </c>
      <c r="AC216" s="19">
        <f t="shared" si="50"/>
        <v>-0.3357619317333958</v>
      </c>
      <c r="AD216" s="19">
        <f t="shared" si="51"/>
        <v>-0.32751895786272806</v>
      </c>
      <c r="AE216" s="19">
        <f t="shared" si="52"/>
        <v>-0.66029148448155306</v>
      </c>
      <c r="AF216" s="19">
        <f t="shared" si="53"/>
        <v>-0.58299490258712039</v>
      </c>
      <c r="AG216" s="19">
        <f t="shared" si="54"/>
        <v>-0.44774042893031191</v>
      </c>
      <c r="AH216" s="19">
        <f t="shared" si="55"/>
        <v>-0.38118537933024882</v>
      </c>
      <c r="AI216" s="19">
        <f t="shared" si="56"/>
        <v>-0.78921146587733371</v>
      </c>
      <c r="AJ216" s="19">
        <f t="shared" si="57"/>
        <v>-0.79090676666446202</v>
      </c>
      <c r="AK216" s="19">
        <f t="shared" si="58"/>
        <v>-0.43788899119989305</v>
      </c>
      <c r="AL216" s="19">
        <f t="shared" si="59"/>
        <v>-0.40402566857224581</v>
      </c>
      <c r="BV216" s="16">
        <v>0</v>
      </c>
      <c r="BW216" s="18">
        <v>188</v>
      </c>
      <c r="BX216" s="48">
        <v>0.90175582897068596</v>
      </c>
      <c r="BY216" s="48">
        <v>0.43021717781332885</v>
      </c>
      <c r="BZ216" s="18" t="e">
        <f t="shared" si="60"/>
        <v>#N/A</v>
      </c>
    </row>
    <row r="217" spans="1:78" x14ac:dyDescent="0.3">
      <c r="A217" s="19">
        <v>192</v>
      </c>
      <c r="B217" s="19">
        <v>0</v>
      </c>
      <c r="C217" s="19">
        <v>26</v>
      </c>
      <c r="D217" s="19">
        <v>7.4354440139299403</v>
      </c>
      <c r="E217" s="22">
        <v>48409</v>
      </c>
      <c r="F217" s="22">
        <v>26464</v>
      </c>
      <c r="G217" s="23">
        <v>7819</v>
      </c>
      <c r="H217" s="23">
        <v>14126</v>
      </c>
      <c r="I217" s="24">
        <v>15.3</v>
      </c>
      <c r="J217" s="24">
        <v>284.10000000000002</v>
      </c>
      <c r="K217" s="22">
        <v>40309</v>
      </c>
      <c r="L217" s="22">
        <v>134423</v>
      </c>
      <c r="M217" s="22">
        <v>33794</v>
      </c>
      <c r="N217" s="22">
        <v>15719</v>
      </c>
      <c r="O217" s="25">
        <v>3246.51</v>
      </c>
      <c r="P217" s="24">
        <v>78.2</v>
      </c>
      <c r="Q217" s="22">
        <v>321</v>
      </c>
      <c r="R217" s="23">
        <v>2281</v>
      </c>
      <c r="U217" s="19">
        <v>192</v>
      </c>
      <c r="V217" s="19">
        <v>0</v>
      </c>
      <c r="W217" s="19">
        <v>26</v>
      </c>
      <c r="X217" s="19">
        <f t="shared" si="45"/>
        <v>-1.5585427175790763</v>
      </c>
      <c r="Y217" s="19">
        <f t="shared" si="46"/>
        <v>0.35086042814351043</v>
      </c>
      <c r="Z217" s="19">
        <f t="shared" si="47"/>
        <v>3.7132737877498943</v>
      </c>
      <c r="AA217" s="19">
        <f t="shared" si="48"/>
        <v>-1.9073516937399271E-2</v>
      </c>
      <c r="AB217" s="19">
        <f t="shared" si="49"/>
        <v>-2.9195205575412702E-2</v>
      </c>
      <c r="AC217" s="19">
        <f t="shared" si="50"/>
        <v>0.57545628502261603</v>
      </c>
      <c r="AD217" s="19">
        <f t="shared" si="51"/>
        <v>-0.11877310687046938</v>
      </c>
      <c r="AE217" s="19">
        <f t="shared" si="52"/>
        <v>1.135453096797542</v>
      </c>
      <c r="AF217" s="19">
        <f t="shared" si="53"/>
        <v>0.99794057500952804</v>
      </c>
      <c r="AG217" s="19">
        <f t="shared" si="54"/>
        <v>0.51296148599514058</v>
      </c>
      <c r="AH217" s="19">
        <f t="shared" si="55"/>
        <v>0.19511874188177503</v>
      </c>
      <c r="AI217" s="19">
        <f t="shared" si="56"/>
        <v>-0.57938074365993553</v>
      </c>
      <c r="AJ217" s="19">
        <f t="shared" si="57"/>
        <v>-0.58057099925747324</v>
      </c>
      <c r="AK217" s="19">
        <f t="shared" si="58"/>
        <v>-0.43584875297194042</v>
      </c>
      <c r="AL217" s="19">
        <f t="shared" si="59"/>
        <v>0.84454418263050945</v>
      </c>
      <c r="BV217" s="16">
        <v>0</v>
      </c>
      <c r="BW217" s="18">
        <v>189</v>
      </c>
      <c r="BX217" s="48">
        <v>-6.2510796252092091E-2</v>
      </c>
      <c r="BY217" s="48">
        <v>-0.96347208246591287</v>
      </c>
      <c r="BZ217" s="18" t="e">
        <f t="shared" si="60"/>
        <v>#N/A</v>
      </c>
    </row>
    <row r="218" spans="1:78" x14ac:dyDescent="0.3">
      <c r="A218" s="19">
        <v>193</v>
      </c>
      <c r="B218" s="19">
        <v>0</v>
      </c>
      <c r="C218" s="19">
        <v>20</v>
      </c>
      <c r="D218" s="19">
        <v>110.775663791046</v>
      </c>
      <c r="E218" s="22">
        <v>19935</v>
      </c>
      <c r="F218" s="22">
        <v>1118</v>
      </c>
      <c r="G218" s="23">
        <v>7242</v>
      </c>
      <c r="H218" s="23">
        <v>11575</v>
      </c>
      <c r="I218" s="24">
        <v>8.5</v>
      </c>
      <c r="J218" s="24">
        <v>155.1</v>
      </c>
      <c r="K218" s="22">
        <v>13044</v>
      </c>
      <c r="L218" s="22">
        <v>45167</v>
      </c>
      <c r="M218" s="22">
        <v>11159</v>
      </c>
      <c r="N218" s="22">
        <v>6930</v>
      </c>
      <c r="O218" s="25">
        <v>3435.66</v>
      </c>
      <c r="P218" s="24">
        <v>82.8</v>
      </c>
      <c r="Q218" s="22">
        <v>28946</v>
      </c>
      <c r="R218" s="23">
        <v>0</v>
      </c>
      <c r="U218" s="19">
        <v>193</v>
      </c>
      <c r="V218" s="19">
        <v>0</v>
      </c>
      <c r="W218" s="19">
        <v>20</v>
      </c>
      <c r="X218" s="19">
        <f t="shared" si="45"/>
        <v>1.6392481827067953</v>
      </c>
      <c r="Y218" s="19">
        <f t="shared" si="46"/>
        <v>-0.18273864021987393</v>
      </c>
      <c r="Z218" s="19">
        <f t="shared" si="47"/>
        <v>-0.93954775299579818</v>
      </c>
      <c r="AA218" s="19">
        <f t="shared" si="48"/>
        <v>-8.0444427416592884E-2</v>
      </c>
      <c r="AB218" s="19">
        <f t="shared" si="49"/>
        <v>-8.536753464081695E-2</v>
      </c>
      <c r="AC218" s="19">
        <f t="shared" si="50"/>
        <v>-0.71543618871506742</v>
      </c>
      <c r="AD218" s="19">
        <f t="shared" si="51"/>
        <v>-0.21712305127514933</v>
      </c>
      <c r="AE218" s="19">
        <f t="shared" si="52"/>
        <v>-0.2624334416342789</v>
      </c>
      <c r="AF218" s="19">
        <f t="shared" si="53"/>
        <v>-0.25203043180571927</v>
      </c>
      <c r="AG218" s="19">
        <f t="shared" si="54"/>
        <v>-0.31819273348800803</v>
      </c>
      <c r="AH218" s="19">
        <f t="shared" si="55"/>
        <v>-0.16906999275530274</v>
      </c>
      <c r="AI218" s="19">
        <f t="shared" si="56"/>
        <v>-0.19598158303956628</v>
      </c>
      <c r="AJ218" s="19">
        <f t="shared" si="57"/>
        <v>-0.19355318722861428</v>
      </c>
      <c r="AK218" s="19">
        <f t="shared" si="58"/>
        <v>0.20592948082084281</v>
      </c>
      <c r="AL218" s="19">
        <f t="shared" si="59"/>
        <v>-0.40402566857224581</v>
      </c>
      <c r="BV218" s="16">
        <v>0</v>
      </c>
      <c r="BW218" s="18">
        <v>190</v>
      </c>
      <c r="BX218" s="48">
        <v>1.3438303440250012</v>
      </c>
      <c r="BY218" s="48">
        <v>-0.16960066514113015</v>
      </c>
      <c r="BZ218" s="18" t="e">
        <f t="shared" si="60"/>
        <v>#N/A</v>
      </c>
    </row>
    <row r="219" spans="1:78" x14ac:dyDescent="0.3">
      <c r="A219" s="19">
        <v>194</v>
      </c>
      <c r="B219" s="19">
        <v>0</v>
      </c>
      <c r="C219" s="19">
        <v>20</v>
      </c>
      <c r="D219" s="19">
        <v>41.807326137263203</v>
      </c>
      <c r="E219" s="22">
        <v>20922</v>
      </c>
      <c r="F219" s="22">
        <v>12654</v>
      </c>
      <c r="G219" s="23">
        <v>2546</v>
      </c>
      <c r="H219" s="23">
        <v>5722</v>
      </c>
      <c r="I219" s="24">
        <v>15</v>
      </c>
      <c r="J219" s="24">
        <v>50.1</v>
      </c>
      <c r="K219" s="22">
        <v>11445</v>
      </c>
      <c r="L219" s="22">
        <v>43328</v>
      </c>
      <c r="M219" s="22">
        <v>14602</v>
      </c>
      <c r="N219" s="22">
        <v>3949</v>
      </c>
      <c r="O219" s="25">
        <v>3408.27</v>
      </c>
      <c r="P219" s="24">
        <v>82.1</v>
      </c>
      <c r="Q219" s="22">
        <v>3879</v>
      </c>
      <c r="R219" s="23">
        <v>0</v>
      </c>
      <c r="U219" s="19">
        <v>194</v>
      </c>
      <c r="V219" s="19">
        <v>0</v>
      </c>
      <c r="W219" s="19">
        <v>20</v>
      </c>
      <c r="X219" s="19">
        <f t="shared" ref="X219:X282" si="61">(D219-D$23)/D$24</f>
        <v>-0.4949288398772852</v>
      </c>
      <c r="Y219" s="19">
        <f t="shared" ref="Y219:Y282" si="62">(E219-E$23)/E$24</f>
        <v>-0.16424238818381787</v>
      </c>
      <c r="Z219" s="19">
        <f t="shared" ref="Z219:Z282" si="63">(F219-F$23)/F$24</f>
        <v>1.178141400876304</v>
      </c>
      <c r="AA219" s="19">
        <f t="shared" ref="AA219:AA282" si="64">(G219-G$23)/G$24</f>
        <v>-0.57992067630791555</v>
      </c>
      <c r="AB219" s="19">
        <f t="shared" ref="AB219:AB282" si="65">(H219-H$23)/H$24</f>
        <v>-0.21424900936438071</v>
      </c>
      <c r="AC219" s="19">
        <f t="shared" ref="AC219:AC282" si="66">(I219-I$23)/I$24</f>
        <v>0.51850514647536516</v>
      </c>
      <c r="AD219" s="19">
        <f t="shared" ref="AD219:AD282" si="67">(J219-J$23)/J$24</f>
        <v>-0.29717533160453996</v>
      </c>
      <c r="AE219" s="19">
        <f t="shared" ref="AE219:AE282" si="68">(K219-K$23)/K$24</f>
        <v>-0.34441475742200972</v>
      </c>
      <c r="AF219" s="19">
        <f t="shared" ref="AF219:AF282" si="69">(L219-L$23)/L$24</f>
        <v>-0.27778440556135742</v>
      </c>
      <c r="AG219" s="19">
        <f t="shared" ref="AG219:AG282" si="70">(M219-M$23)/M$24</f>
        <v>-0.19176622685312925</v>
      </c>
      <c r="AH219" s="19">
        <f t="shared" ref="AH219:AH282" si="71">(N219-N$23)/N$24</f>
        <v>-0.29259333078615141</v>
      </c>
      <c r="AI219" s="19">
        <f t="shared" ref="AI219:AI282" si="72">(O219-O$23)/O$24</f>
        <v>-0.25149997061234919</v>
      </c>
      <c r="AJ219" s="19">
        <f t="shared" ref="AJ219:AJ282" si="73">(P219-P$23)/P$24</f>
        <v>-0.25244720210257138</v>
      </c>
      <c r="AK219" s="19">
        <f t="shared" ref="AK219:AK282" si="74">(Q219-Q$23)/Q$24</f>
        <v>-0.35607768027902437</v>
      </c>
      <c r="AL219" s="19">
        <f t="shared" ref="AL219:AL282" si="75">(R219-R$23)/R$24</f>
        <v>-0.40402566857224581</v>
      </c>
      <c r="BV219" s="16">
        <v>0</v>
      </c>
      <c r="BW219" s="18">
        <v>191</v>
      </c>
      <c r="BX219" s="48">
        <v>1.6209178463644041</v>
      </c>
      <c r="BY219" s="48">
        <v>-0.80616026920847716</v>
      </c>
      <c r="BZ219" s="18" t="e">
        <f t="shared" si="60"/>
        <v>#N/A</v>
      </c>
    </row>
    <row r="220" spans="1:78" x14ac:dyDescent="0.3">
      <c r="A220" s="19">
        <v>195</v>
      </c>
      <c r="B220" s="19">
        <v>0</v>
      </c>
      <c r="C220" s="19">
        <v>30</v>
      </c>
      <c r="D220" s="19">
        <v>93.946161179407</v>
      </c>
      <c r="E220" s="22">
        <v>31820</v>
      </c>
      <c r="F220" s="22">
        <v>14455</v>
      </c>
      <c r="G220" s="23">
        <v>8103</v>
      </c>
      <c r="H220" s="23">
        <v>9262</v>
      </c>
      <c r="I220" s="24">
        <v>15</v>
      </c>
      <c r="J220" s="24">
        <v>374.8</v>
      </c>
      <c r="K220" s="22">
        <v>25795</v>
      </c>
      <c r="L220" s="22">
        <v>82979</v>
      </c>
      <c r="M220" s="22">
        <v>20499</v>
      </c>
      <c r="N220" s="22">
        <v>9640</v>
      </c>
      <c r="O220" s="25">
        <v>3319.18</v>
      </c>
      <c r="P220" s="24">
        <v>80</v>
      </c>
      <c r="Q220" s="22">
        <v>1200</v>
      </c>
      <c r="R220" s="23">
        <v>1702</v>
      </c>
      <c r="U220" s="19">
        <v>195</v>
      </c>
      <c r="V220" s="19">
        <v>0</v>
      </c>
      <c r="W220" s="19">
        <v>30</v>
      </c>
      <c r="X220" s="19">
        <f t="shared" si="61"/>
        <v>1.1184709826591335</v>
      </c>
      <c r="Y220" s="19">
        <f t="shared" si="62"/>
        <v>3.9984718897174011E-2</v>
      </c>
      <c r="Z220" s="19">
        <f t="shared" si="63"/>
        <v>1.5087549728357057</v>
      </c>
      <c r="AA220" s="19">
        <f t="shared" si="64"/>
        <v>1.1133309017697754E-2</v>
      </c>
      <c r="AB220" s="19">
        <f t="shared" si="65"/>
        <v>-0.13629916816817095</v>
      </c>
      <c r="AC220" s="19">
        <f t="shared" si="66"/>
        <v>0.51850514647536516</v>
      </c>
      <c r="AD220" s="19">
        <f t="shared" si="67"/>
        <v>-4.9623184719271934E-2</v>
      </c>
      <c r="AE220" s="19">
        <f t="shared" si="68"/>
        <v>0.39131499964736971</v>
      </c>
      <c r="AF220" s="19">
        <f t="shared" si="69"/>
        <v>0.27750151797578709</v>
      </c>
      <c r="AG220" s="19">
        <f t="shared" si="70"/>
        <v>2.4770836645528913E-2</v>
      </c>
      <c r="AH220" s="19">
        <f t="shared" si="71"/>
        <v>-5.6776049090894877E-2</v>
      </c>
      <c r="AI220" s="19">
        <f t="shared" si="72"/>
        <v>-0.43208168469994535</v>
      </c>
      <c r="AJ220" s="19">
        <f t="shared" si="73"/>
        <v>-0.42912924672444153</v>
      </c>
      <c r="AK220" s="19">
        <f t="shared" si="74"/>
        <v>-0.41614139690193674</v>
      </c>
      <c r="AL220" s="19">
        <f t="shared" si="75"/>
        <v>0.52761215990083155</v>
      </c>
      <c r="BV220" s="16">
        <v>0</v>
      </c>
      <c r="BW220" s="18">
        <v>192</v>
      </c>
      <c r="BX220" s="48">
        <v>-0.54800863044051606</v>
      </c>
      <c r="BY220" s="48">
        <v>-2.2056221702674428</v>
      </c>
      <c r="BZ220" s="18" t="e">
        <f t="shared" si="60"/>
        <v>#N/A</v>
      </c>
    </row>
    <row r="221" spans="1:78" x14ac:dyDescent="0.3">
      <c r="A221" s="19">
        <v>196</v>
      </c>
      <c r="B221" s="19">
        <v>0</v>
      </c>
      <c r="C221" s="19">
        <v>30</v>
      </c>
      <c r="D221" s="19">
        <v>43.943936483580899</v>
      </c>
      <c r="E221" s="22">
        <v>20177</v>
      </c>
      <c r="F221" s="22">
        <v>6081</v>
      </c>
      <c r="G221" s="23">
        <v>5603</v>
      </c>
      <c r="H221" s="23">
        <v>8493</v>
      </c>
      <c r="I221" s="24">
        <v>5.8</v>
      </c>
      <c r="J221" s="24">
        <v>193</v>
      </c>
      <c r="K221" s="22">
        <v>15047</v>
      </c>
      <c r="L221" s="22">
        <v>50063</v>
      </c>
      <c r="M221" s="22">
        <v>13918</v>
      </c>
      <c r="N221" s="22">
        <v>7844</v>
      </c>
      <c r="O221" s="25">
        <v>3398.7</v>
      </c>
      <c r="P221" s="24">
        <v>81.900000000000006</v>
      </c>
      <c r="Q221" s="22">
        <v>15958</v>
      </c>
      <c r="R221" s="23">
        <v>4332</v>
      </c>
      <c r="U221" s="19">
        <v>196</v>
      </c>
      <c r="V221" s="19">
        <v>0</v>
      </c>
      <c r="W221" s="19">
        <v>30</v>
      </c>
      <c r="X221" s="19">
        <f t="shared" si="61"/>
        <v>-0.42881292549615124</v>
      </c>
      <c r="Y221" s="19">
        <f t="shared" si="62"/>
        <v>-0.17820359159502533</v>
      </c>
      <c r="Z221" s="19">
        <f t="shared" si="63"/>
        <v>-2.8478814831161957E-2</v>
      </c>
      <c r="AA221" s="19">
        <f t="shared" si="64"/>
        <v>-0.25477184903773381</v>
      </c>
      <c r="AB221" s="19">
        <f t="shared" si="65"/>
        <v>-0.15323233988565269</v>
      </c>
      <c r="AC221" s="19">
        <f t="shared" si="66"/>
        <v>-1.2279964356403241</v>
      </c>
      <c r="AD221" s="19">
        <f t="shared" si="67"/>
        <v>-0.18822799008958835</v>
      </c>
      <c r="AE221" s="19">
        <f t="shared" si="68"/>
        <v>-0.15973889784264356</v>
      </c>
      <c r="AF221" s="19">
        <f t="shared" si="69"/>
        <v>-0.18346520314470544</v>
      </c>
      <c r="AG221" s="19">
        <f t="shared" si="70"/>
        <v>-0.21688261678582083</v>
      </c>
      <c r="AH221" s="19">
        <f t="shared" si="71"/>
        <v>-0.13119668481830318</v>
      </c>
      <c r="AI221" s="19">
        <f t="shared" si="72"/>
        <v>-0.27089796145103279</v>
      </c>
      <c r="AJ221" s="19">
        <f t="shared" si="73"/>
        <v>-0.26927406349512956</v>
      </c>
      <c r="AK221" s="19">
        <f t="shared" si="74"/>
        <v>-8.5264080768700207E-2</v>
      </c>
      <c r="AL221" s="19">
        <f t="shared" si="75"/>
        <v>1.9672170299855516</v>
      </c>
      <c r="BV221" s="16">
        <v>0</v>
      </c>
      <c r="BW221" s="18">
        <v>193</v>
      </c>
      <c r="BX221" s="48">
        <v>0.50370086140595749</v>
      </c>
      <c r="BY221" s="48">
        <v>0.16885300011863724</v>
      </c>
      <c r="BZ221" s="18" t="e">
        <f t="shared" si="60"/>
        <v>#N/A</v>
      </c>
    </row>
    <row r="222" spans="1:78" x14ac:dyDescent="0.3">
      <c r="A222" s="19">
        <v>197</v>
      </c>
      <c r="B222" s="19">
        <v>0</v>
      </c>
      <c r="C222" s="19">
        <v>20</v>
      </c>
      <c r="D222" s="19">
        <v>65.798042051715598</v>
      </c>
      <c r="E222" s="22">
        <v>13492</v>
      </c>
      <c r="F222" s="22">
        <v>5772</v>
      </c>
      <c r="G222" s="23">
        <v>3424</v>
      </c>
      <c r="H222" s="23">
        <v>4296</v>
      </c>
      <c r="I222" s="24">
        <v>12</v>
      </c>
      <c r="J222" s="24">
        <v>137.30000000000001</v>
      </c>
      <c r="K222" s="22">
        <v>8225</v>
      </c>
      <c r="L222" s="22">
        <v>28007</v>
      </c>
      <c r="M222" s="22">
        <v>8067</v>
      </c>
      <c r="N222" s="22">
        <v>3258</v>
      </c>
      <c r="O222" s="25">
        <v>3473.68</v>
      </c>
      <c r="P222" s="24">
        <v>83.7</v>
      </c>
      <c r="Q222" s="22">
        <v>4375</v>
      </c>
      <c r="R222" s="23">
        <v>0</v>
      </c>
      <c r="U222" s="19">
        <v>197</v>
      </c>
      <c r="V222" s="19">
        <v>0</v>
      </c>
      <c r="W222" s="19">
        <v>20</v>
      </c>
      <c r="X222" s="19">
        <f t="shared" si="61"/>
        <v>0.24744710250064839</v>
      </c>
      <c r="Y222" s="19">
        <f t="shared" si="62"/>
        <v>-0.30347962488888025</v>
      </c>
      <c r="Z222" s="19">
        <f t="shared" si="63"/>
        <v>-8.5202631452736127E-2</v>
      </c>
      <c r="AA222" s="19">
        <f t="shared" si="64"/>
        <v>-0.48653478479884799</v>
      </c>
      <c r="AB222" s="19">
        <f t="shared" si="65"/>
        <v>-0.24564914313437933</v>
      </c>
      <c r="AC222" s="19">
        <f t="shared" si="66"/>
        <v>-5.1006238997142156E-2</v>
      </c>
      <c r="AD222" s="19">
        <f t="shared" si="67"/>
        <v>-0.23069381879765555</v>
      </c>
      <c r="AE222" s="19">
        <f t="shared" si="68"/>
        <v>-0.50950533705709</v>
      </c>
      <c r="AF222" s="19">
        <f t="shared" si="69"/>
        <v>-0.49234483618133151</v>
      </c>
      <c r="AG222" s="19">
        <f t="shared" si="70"/>
        <v>-0.43173056634163715</v>
      </c>
      <c r="AH222" s="19">
        <f t="shared" si="71"/>
        <v>-0.32122621457659634</v>
      </c>
      <c r="AI222" s="19">
        <f t="shared" si="72"/>
        <v>-0.11891662884032514</v>
      </c>
      <c r="AJ222" s="19">
        <f t="shared" si="73"/>
        <v>-0.11783231096209783</v>
      </c>
      <c r="AK222" s="19">
        <f t="shared" si="74"/>
        <v>-0.34495726092666729</v>
      </c>
      <c r="AL222" s="19">
        <f t="shared" si="75"/>
        <v>-0.40402566857224581</v>
      </c>
      <c r="BV222" s="16">
        <v>0</v>
      </c>
      <c r="BW222" s="18">
        <v>194</v>
      </c>
      <c r="BX222" s="48">
        <v>1.0184806255092227</v>
      </c>
      <c r="BY222" s="48">
        <v>-0.6212621201005083</v>
      </c>
      <c r="BZ222" s="18" t="e">
        <f t="shared" ref="BZ222:BZ285" si="76">IF(BV222=1,BY222,NA())</f>
        <v>#N/A</v>
      </c>
    </row>
    <row r="223" spans="1:78" x14ac:dyDescent="0.3">
      <c r="A223" s="19">
        <v>198</v>
      </c>
      <c r="B223" s="19">
        <v>1</v>
      </c>
      <c r="C223" s="19">
        <v>20</v>
      </c>
      <c r="D223" s="19">
        <v>0</v>
      </c>
      <c r="E223" s="22">
        <v>86604</v>
      </c>
      <c r="F223" s="22">
        <v>2938</v>
      </c>
      <c r="G223" s="23">
        <v>17459</v>
      </c>
      <c r="H223" s="23">
        <v>66207</v>
      </c>
      <c r="I223" s="24">
        <v>10.5</v>
      </c>
      <c r="J223" s="24">
        <v>1039.4000000000001</v>
      </c>
      <c r="K223" s="22">
        <v>50276</v>
      </c>
      <c r="L223" s="22">
        <v>188588</v>
      </c>
      <c r="M223" s="22">
        <v>57117</v>
      </c>
      <c r="N223" s="22">
        <v>34407</v>
      </c>
      <c r="O223" s="25">
        <v>3844.68</v>
      </c>
      <c r="P223" s="24">
        <v>92.6</v>
      </c>
      <c r="Q223" s="22">
        <v>125844</v>
      </c>
      <c r="R223" s="23">
        <v>0</v>
      </c>
      <c r="U223" s="19">
        <v>198</v>
      </c>
      <c r="V223" s="19">
        <v>1</v>
      </c>
      <c r="W223" s="19">
        <v>20</v>
      </c>
      <c r="X223" s="19">
        <f t="shared" si="61"/>
        <v>-1.7886273376680637</v>
      </c>
      <c r="Y223" s="19">
        <f t="shared" si="62"/>
        <v>1.0666297761852139</v>
      </c>
      <c r="Z223" s="19">
        <f t="shared" si="63"/>
        <v>-0.60544630881694717</v>
      </c>
      <c r="AA223" s="19">
        <f t="shared" si="64"/>
        <v>1.006256772524345</v>
      </c>
      <c r="AB223" s="19">
        <f t="shared" si="65"/>
        <v>1.117614308362384</v>
      </c>
      <c r="AC223" s="19">
        <f t="shared" si="66"/>
        <v>-0.3357619317333958</v>
      </c>
      <c r="AD223" s="19">
        <f t="shared" si="67"/>
        <v>0.45706962963228076</v>
      </c>
      <c r="AE223" s="19">
        <f t="shared" si="68"/>
        <v>1.6464648381710965</v>
      </c>
      <c r="AF223" s="19">
        <f t="shared" si="69"/>
        <v>1.7564854300797514</v>
      </c>
      <c r="AG223" s="19">
        <f t="shared" si="70"/>
        <v>1.3693789748842715</v>
      </c>
      <c r="AH223" s="19">
        <f t="shared" si="71"/>
        <v>0.96949114749079868</v>
      </c>
      <c r="AI223" s="19">
        <f t="shared" si="72"/>
        <v>0.63308489688083414</v>
      </c>
      <c r="AJ223" s="19">
        <f t="shared" si="73"/>
        <v>0.6309630210067817</v>
      </c>
      <c r="AK223" s="19">
        <f t="shared" si="74"/>
        <v>2.3784020501851435</v>
      </c>
      <c r="AL223" s="19">
        <f t="shared" si="75"/>
        <v>-0.40402566857224581</v>
      </c>
      <c r="BV223" s="16">
        <v>0</v>
      </c>
      <c r="BW223" s="18">
        <v>195</v>
      </c>
      <c r="BX223" s="48">
        <v>0.31689832987625144</v>
      </c>
      <c r="BY223" s="48">
        <v>-1.412773986934809</v>
      </c>
      <c r="BZ223" s="18" t="e">
        <f t="shared" si="76"/>
        <v>#N/A</v>
      </c>
    </row>
    <row r="224" spans="1:78" x14ac:dyDescent="0.3">
      <c r="A224" s="19">
        <v>199</v>
      </c>
      <c r="B224" s="19">
        <v>0</v>
      </c>
      <c r="C224" s="19">
        <v>30</v>
      </c>
      <c r="D224" s="19">
        <v>117.823783240159</v>
      </c>
      <c r="E224" s="22">
        <v>28868</v>
      </c>
      <c r="F224" s="22">
        <v>9254</v>
      </c>
      <c r="G224" s="23">
        <v>11444</v>
      </c>
      <c r="H224" s="23">
        <v>8170</v>
      </c>
      <c r="I224" s="24">
        <v>7</v>
      </c>
      <c r="J224" s="24">
        <v>168.4</v>
      </c>
      <c r="K224" s="22">
        <v>16277</v>
      </c>
      <c r="L224" s="22">
        <v>53044</v>
      </c>
      <c r="M224" s="22">
        <v>15045</v>
      </c>
      <c r="N224" s="22">
        <v>6158</v>
      </c>
      <c r="O224" s="25">
        <v>2999.24</v>
      </c>
      <c r="P224" s="24">
        <v>72.3</v>
      </c>
      <c r="Q224" s="22">
        <v>7799</v>
      </c>
      <c r="R224" s="23">
        <v>260</v>
      </c>
      <c r="U224" s="19">
        <v>199</v>
      </c>
      <c r="V224" s="19">
        <v>0</v>
      </c>
      <c r="W224" s="19">
        <v>30</v>
      </c>
      <c r="X224" s="19">
        <f t="shared" si="61"/>
        <v>1.8573473147495974</v>
      </c>
      <c r="Y224" s="19">
        <f t="shared" si="62"/>
        <v>-1.5335378377838655E-2</v>
      </c>
      <c r="Z224" s="19">
        <f t="shared" si="63"/>
        <v>0.55399584581691197</v>
      </c>
      <c r="AA224" s="19">
        <f t="shared" si="64"/>
        <v>0.3664889622429765</v>
      </c>
      <c r="AB224" s="19">
        <f t="shared" si="65"/>
        <v>-0.16034471240157802</v>
      </c>
      <c r="AC224" s="19">
        <f t="shared" si="66"/>
        <v>-1.0001918814513211</v>
      </c>
      <c r="AD224" s="19">
        <f t="shared" si="67"/>
        <v>-0.20698309576675988</v>
      </c>
      <c r="AE224" s="19">
        <f t="shared" si="68"/>
        <v>-9.6676347236696741E-2</v>
      </c>
      <c r="AF224" s="19">
        <f t="shared" si="69"/>
        <v>-0.14171827776919843</v>
      </c>
      <c r="AG224" s="19">
        <f t="shared" si="70"/>
        <v>-0.17549932518619596</v>
      </c>
      <c r="AH224" s="19">
        <f t="shared" si="71"/>
        <v>-0.20105926379180564</v>
      </c>
      <c r="AI224" s="19">
        <f t="shared" si="72"/>
        <v>-1.0805867201156536</v>
      </c>
      <c r="AJ224" s="19">
        <f t="shared" si="73"/>
        <v>-1.0769634103379673</v>
      </c>
      <c r="AK224" s="19">
        <f t="shared" si="74"/>
        <v>-0.26819049507491222</v>
      </c>
      <c r="AL224" s="19">
        <f t="shared" si="75"/>
        <v>-0.26170731639657002</v>
      </c>
      <c r="BV224" s="16">
        <v>0</v>
      </c>
      <c r="BW224" s="18">
        <v>196</v>
      </c>
      <c r="BX224" s="48">
        <v>0.41102126528536054</v>
      </c>
      <c r="BY224" s="48">
        <v>0.49546249467031334</v>
      </c>
      <c r="BZ224" s="18" t="e">
        <f t="shared" si="76"/>
        <v>#N/A</v>
      </c>
    </row>
    <row r="225" spans="1:78" x14ac:dyDescent="0.3">
      <c r="A225" s="19">
        <v>200</v>
      </c>
      <c r="B225" s="19">
        <v>0</v>
      </c>
      <c r="C225" s="19">
        <v>30</v>
      </c>
      <c r="D225" s="19">
        <v>50.486186197685697</v>
      </c>
      <c r="E225" s="22">
        <v>15890</v>
      </c>
      <c r="F225" s="22">
        <v>5071</v>
      </c>
      <c r="G225" s="23">
        <v>4754</v>
      </c>
      <c r="H225" s="23">
        <v>6065</v>
      </c>
      <c r="I225" s="24">
        <v>10.6</v>
      </c>
      <c r="J225" s="24">
        <v>204.5</v>
      </c>
      <c r="K225" s="22">
        <v>14365</v>
      </c>
      <c r="L225" s="22">
        <v>44080</v>
      </c>
      <c r="M225" s="22">
        <v>11455</v>
      </c>
      <c r="N225" s="22">
        <v>6210</v>
      </c>
      <c r="O225" s="25">
        <v>3346.9</v>
      </c>
      <c r="P225" s="24">
        <v>80.599999999999994</v>
      </c>
      <c r="Q225" s="22">
        <v>9310</v>
      </c>
      <c r="R225" s="23">
        <v>1681</v>
      </c>
      <c r="U225" s="19">
        <v>200</v>
      </c>
      <c r="V225" s="19">
        <v>0</v>
      </c>
      <c r="W225" s="19">
        <v>30</v>
      </c>
      <c r="X225" s="19">
        <f t="shared" si="61"/>
        <v>-0.22636757896714266</v>
      </c>
      <c r="Y225" s="19">
        <f t="shared" si="62"/>
        <v>-0.25854141578810774</v>
      </c>
      <c r="Z225" s="19">
        <f t="shared" si="63"/>
        <v>-0.2138867591282167</v>
      </c>
      <c r="AA225" s="19">
        <f t="shared" si="64"/>
        <v>-0.34507324071335838</v>
      </c>
      <c r="AB225" s="19">
        <f t="shared" si="65"/>
        <v>-0.20669624226542591</v>
      </c>
      <c r="AC225" s="19">
        <f t="shared" si="66"/>
        <v>-0.31677821888431235</v>
      </c>
      <c r="AD225" s="19">
        <f t="shared" si="67"/>
        <v>-0.17946035938684554</v>
      </c>
      <c r="AE225" s="19">
        <f t="shared" si="68"/>
        <v>-0.19470528769081893</v>
      </c>
      <c r="AF225" s="19">
        <f t="shared" si="69"/>
        <v>-0.26725314495002522</v>
      </c>
      <c r="AG225" s="19">
        <f t="shared" si="70"/>
        <v>-0.30732365246450405</v>
      </c>
      <c r="AH225" s="19">
        <f t="shared" si="71"/>
        <v>-0.19890454605359562</v>
      </c>
      <c r="AI225" s="19">
        <f t="shared" si="72"/>
        <v>-0.37589440089134502</v>
      </c>
      <c r="AJ225" s="19">
        <f t="shared" si="73"/>
        <v>-0.37864866254676471</v>
      </c>
      <c r="AK225" s="19">
        <f t="shared" si="74"/>
        <v>-0.23431357241077613</v>
      </c>
      <c r="AL225" s="19">
        <f t="shared" si="75"/>
        <v>0.51611721607125782</v>
      </c>
      <c r="BV225" s="16">
        <v>0</v>
      </c>
      <c r="BW225" s="18">
        <v>197</v>
      </c>
      <c r="BX225" s="48">
        <v>1.1218951216657658</v>
      </c>
      <c r="BY225" s="48">
        <v>0.12266909292443383</v>
      </c>
      <c r="BZ225" s="18" t="e">
        <f t="shared" si="76"/>
        <v>#N/A</v>
      </c>
    </row>
    <row r="226" spans="1:78" x14ac:dyDescent="0.3">
      <c r="A226" s="19">
        <v>201</v>
      </c>
      <c r="B226" s="19">
        <v>0</v>
      </c>
      <c r="C226" s="19">
        <v>20</v>
      </c>
      <c r="D226" s="19">
        <v>44.251972036764599</v>
      </c>
      <c r="E226" s="22">
        <v>19054</v>
      </c>
      <c r="F226" s="22">
        <v>8803</v>
      </c>
      <c r="G226" s="23">
        <v>5243</v>
      </c>
      <c r="H226" s="23">
        <v>5008</v>
      </c>
      <c r="I226" s="24">
        <v>7.6</v>
      </c>
      <c r="J226" s="24">
        <v>144.6</v>
      </c>
      <c r="K226" s="22">
        <v>9142</v>
      </c>
      <c r="L226" s="22">
        <v>33911</v>
      </c>
      <c r="M226" s="22">
        <v>13509</v>
      </c>
      <c r="N226" s="22">
        <v>3819</v>
      </c>
      <c r="O226" s="25">
        <v>3924.61</v>
      </c>
      <c r="P226" s="24">
        <v>94.5</v>
      </c>
      <c r="Q226" s="22">
        <v>1311</v>
      </c>
      <c r="R226" s="23">
        <v>60</v>
      </c>
      <c r="U226" s="19">
        <v>201</v>
      </c>
      <c r="V226" s="19">
        <v>0</v>
      </c>
      <c r="W226" s="19">
        <v>20</v>
      </c>
      <c r="X226" s="19">
        <f t="shared" si="61"/>
        <v>-0.41928098051809842</v>
      </c>
      <c r="Y226" s="19">
        <f t="shared" si="62"/>
        <v>-0.19924846599876489</v>
      </c>
      <c r="Z226" s="19">
        <f t="shared" si="63"/>
        <v>0.47120477366050434</v>
      </c>
      <c r="AA226" s="19">
        <f t="shared" si="64"/>
        <v>-0.29306219179771598</v>
      </c>
      <c r="AB226" s="19">
        <f t="shared" si="65"/>
        <v>-0.22997109597853149</v>
      </c>
      <c r="AC226" s="19">
        <f t="shared" si="66"/>
        <v>-0.88628960435681969</v>
      </c>
      <c r="AD226" s="19">
        <f t="shared" si="67"/>
        <v>-0.2251282793080884</v>
      </c>
      <c r="AE226" s="19">
        <f t="shared" si="68"/>
        <v>-0.46249041111753453</v>
      </c>
      <c r="AF226" s="19">
        <f t="shared" si="69"/>
        <v>-0.40966323691363832</v>
      </c>
      <c r="AG226" s="19">
        <f t="shared" si="70"/>
        <v>-0.23190104292978406</v>
      </c>
      <c r="AH226" s="19">
        <f t="shared" si="71"/>
        <v>-0.29798012513167649</v>
      </c>
      <c r="AI226" s="19">
        <f t="shared" si="72"/>
        <v>0.79509967302879225</v>
      </c>
      <c r="AJ226" s="19">
        <f t="shared" si="73"/>
        <v>0.79081820423609372</v>
      </c>
      <c r="AK226" s="19">
        <f t="shared" si="74"/>
        <v>-0.41365275466784068</v>
      </c>
      <c r="AL226" s="19">
        <f t="shared" si="75"/>
        <v>-0.3711829719163206</v>
      </c>
      <c r="BV226" s="16">
        <v>1</v>
      </c>
      <c r="BW226" s="18">
        <v>198</v>
      </c>
      <c r="BX226" s="48">
        <v>-4.1617536434084643</v>
      </c>
      <c r="BY226" s="48">
        <v>0.30431060065866611</v>
      </c>
      <c r="BZ226" s="18">
        <f t="shared" si="76"/>
        <v>0.30431060065866611</v>
      </c>
    </row>
    <row r="227" spans="1:78" x14ac:dyDescent="0.3">
      <c r="A227" s="19">
        <v>202</v>
      </c>
      <c r="B227" s="19">
        <v>0</v>
      </c>
      <c r="C227" s="19">
        <v>20</v>
      </c>
      <c r="D227" s="19">
        <v>77.712752562433593</v>
      </c>
      <c r="E227" s="22">
        <v>15544</v>
      </c>
      <c r="F227" s="22">
        <v>1168</v>
      </c>
      <c r="G227" s="23">
        <v>3235</v>
      </c>
      <c r="H227" s="23">
        <v>11141</v>
      </c>
      <c r="I227" s="24">
        <v>13.4</v>
      </c>
      <c r="J227" s="24">
        <v>147.6</v>
      </c>
      <c r="K227" s="22">
        <v>10918</v>
      </c>
      <c r="L227" s="22">
        <v>40775</v>
      </c>
      <c r="M227" s="22">
        <v>11044</v>
      </c>
      <c r="N227" s="22">
        <v>6306</v>
      </c>
      <c r="O227" s="25">
        <v>3338.23</v>
      </c>
      <c r="P227" s="24">
        <v>80.400000000000006</v>
      </c>
      <c r="Q227" s="22">
        <v>24021</v>
      </c>
      <c r="R227" s="23">
        <v>0</v>
      </c>
      <c r="U227" s="19">
        <v>202</v>
      </c>
      <c r="V227" s="19">
        <v>0</v>
      </c>
      <c r="W227" s="19">
        <v>20</v>
      </c>
      <c r="X227" s="19">
        <f t="shared" si="61"/>
        <v>0.61613949480337471</v>
      </c>
      <c r="Y227" s="19">
        <f t="shared" si="62"/>
        <v>-0.26502541092942022</v>
      </c>
      <c r="Z227" s="19">
        <f t="shared" si="63"/>
        <v>-0.93036914189198361</v>
      </c>
      <c r="AA227" s="19">
        <f t="shared" si="64"/>
        <v>-0.50663721474783863</v>
      </c>
      <c r="AB227" s="19">
        <f t="shared" si="65"/>
        <v>-9.492409709255567E-2</v>
      </c>
      <c r="AC227" s="19">
        <f t="shared" si="66"/>
        <v>0.21476574089002801</v>
      </c>
      <c r="AD227" s="19">
        <f t="shared" si="67"/>
        <v>-0.22284107129867722</v>
      </c>
      <c r="AE227" s="19">
        <f t="shared" si="68"/>
        <v>-0.37143424048650892</v>
      </c>
      <c r="AF227" s="19">
        <f t="shared" si="69"/>
        <v>-0.31353747516339342</v>
      </c>
      <c r="AG227" s="19">
        <f t="shared" si="70"/>
        <v>-0.32241551834511256</v>
      </c>
      <c r="AH227" s="19">
        <f t="shared" si="71"/>
        <v>-0.19492660561382322</v>
      </c>
      <c r="AI227" s="19">
        <f t="shared" si="72"/>
        <v>-0.39346812926871028</v>
      </c>
      <c r="AJ227" s="19">
        <f t="shared" si="73"/>
        <v>-0.39547552393932284</v>
      </c>
      <c r="AK227" s="19">
        <f t="shared" si="74"/>
        <v>9.550999430802333E-2</v>
      </c>
      <c r="AL227" s="19">
        <f t="shared" si="75"/>
        <v>-0.40402566857224581</v>
      </c>
      <c r="BV227" s="16">
        <v>0</v>
      </c>
      <c r="BW227" s="18">
        <v>199</v>
      </c>
      <c r="BX227" s="48">
        <v>0.70088302257340163</v>
      </c>
      <c r="BY227" s="48">
        <v>-1.3527696520981818</v>
      </c>
      <c r="BZ227" s="18" t="e">
        <f t="shared" si="76"/>
        <v>#N/A</v>
      </c>
    </row>
    <row r="228" spans="1:78" x14ac:dyDescent="0.3">
      <c r="A228" s="19">
        <v>203</v>
      </c>
      <c r="B228" s="19">
        <v>0</v>
      </c>
      <c r="C228" s="19">
        <v>20</v>
      </c>
      <c r="D228" s="19">
        <v>68.888235781826594</v>
      </c>
      <c r="E228" s="22">
        <v>12554</v>
      </c>
      <c r="F228" s="22">
        <v>5737</v>
      </c>
      <c r="G228" s="23">
        <v>2641</v>
      </c>
      <c r="H228" s="23">
        <v>4176</v>
      </c>
      <c r="I228" s="24">
        <v>18.100000000000001</v>
      </c>
      <c r="J228" s="24">
        <v>111.7</v>
      </c>
      <c r="K228" s="22">
        <v>8792</v>
      </c>
      <c r="L228" s="22">
        <v>30995</v>
      </c>
      <c r="M228" s="22">
        <v>8570</v>
      </c>
      <c r="N228" s="22">
        <v>3118</v>
      </c>
      <c r="O228" s="25">
        <v>3984.35</v>
      </c>
      <c r="P228" s="24">
        <v>96</v>
      </c>
      <c r="Q228" s="22">
        <v>5481</v>
      </c>
      <c r="R228" s="23">
        <v>160</v>
      </c>
      <c r="U228" s="19">
        <v>203</v>
      </c>
      <c r="V228" s="19">
        <v>0</v>
      </c>
      <c r="W228" s="19">
        <v>20</v>
      </c>
      <c r="X228" s="19">
        <f t="shared" si="61"/>
        <v>0.34307098845311129</v>
      </c>
      <c r="Y228" s="19">
        <f t="shared" si="62"/>
        <v>-0.32105762327775622</v>
      </c>
      <c r="Z228" s="19">
        <f t="shared" si="63"/>
        <v>-9.1627659225406333E-2</v>
      </c>
      <c r="AA228" s="19">
        <f t="shared" si="64"/>
        <v>-0.5698162803018092</v>
      </c>
      <c r="AB228" s="19">
        <f t="shared" si="65"/>
        <v>-0.24829151063255592</v>
      </c>
      <c r="AC228" s="19">
        <f t="shared" si="66"/>
        <v>1.1070002447969565</v>
      </c>
      <c r="AD228" s="19">
        <f t="shared" si="67"/>
        <v>-0.25021132714463085</v>
      </c>
      <c r="AE228" s="19">
        <f t="shared" si="68"/>
        <v>-0.48043503933873893</v>
      </c>
      <c r="AF228" s="19">
        <f t="shared" si="69"/>
        <v>-0.45049988045438921</v>
      </c>
      <c r="AG228" s="19">
        <f t="shared" si="70"/>
        <v>-0.41326047257534498</v>
      </c>
      <c r="AH228" s="19">
        <f t="shared" si="71"/>
        <v>-0.32702737771793106</v>
      </c>
      <c r="AI228" s="19">
        <f t="shared" si="72"/>
        <v>0.91619016129451158</v>
      </c>
      <c r="AJ228" s="19">
        <f t="shared" si="73"/>
        <v>0.91701966468028695</v>
      </c>
      <c r="AK228" s="19">
        <f t="shared" si="74"/>
        <v>-0.32016051938693568</v>
      </c>
      <c r="AL228" s="19">
        <f t="shared" si="75"/>
        <v>-0.31644514415644531</v>
      </c>
      <c r="BV228" s="16">
        <v>0</v>
      </c>
      <c r="BW228" s="18">
        <v>200</v>
      </c>
      <c r="BX228" s="48">
        <v>0.7722854195676313</v>
      </c>
      <c r="BY228" s="48">
        <v>3.0920199981558361E-2</v>
      </c>
      <c r="BZ228" s="18" t="e">
        <f t="shared" si="76"/>
        <v>#N/A</v>
      </c>
    </row>
    <row r="229" spans="1:78" x14ac:dyDescent="0.3">
      <c r="A229" s="19">
        <v>204</v>
      </c>
      <c r="B229" s="19">
        <v>0</v>
      </c>
      <c r="C229" s="19">
        <v>20</v>
      </c>
      <c r="D229" s="19">
        <v>117.53677876467501</v>
      </c>
      <c r="E229" s="22">
        <v>11371</v>
      </c>
      <c r="F229" s="22">
        <v>8039</v>
      </c>
      <c r="G229" s="23">
        <v>1327</v>
      </c>
      <c r="H229" s="23">
        <v>2005</v>
      </c>
      <c r="I229" s="24">
        <v>7.1</v>
      </c>
      <c r="J229" s="24">
        <v>283.39999999999998</v>
      </c>
      <c r="K229" s="22">
        <v>7012</v>
      </c>
      <c r="L229" s="22">
        <v>22502</v>
      </c>
      <c r="M229" s="22">
        <v>6418</v>
      </c>
      <c r="N229" s="22">
        <v>1923</v>
      </c>
      <c r="O229" s="25">
        <v>3120.95</v>
      </c>
      <c r="P229" s="24">
        <v>75.2</v>
      </c>
      <c r="Q229" s="22">
        <v>0</v>
      </c>
      <c r="R229" s="23">
        <v>1060</v>
      </c>
      <c r="U229" s="19">
        <v>204</v>
      </c>
      <c r="V229" s="19">
        <v>0</v>
      </c>
      <c r="W229" s="19">
        <v>20</v>
      </c>
      <c r="X229" s="19">
        <f t="shared" si="61"/>
        <v>1.8484661617771776</v>
      </c>
      <c r="Y229" s="19">
        <f t="shared" si="62"/>
        <v>-0.34322688990253264</v>
      </c>
      <c r="Z229" s="19">
        <f t="shared" si="63"/>
        <v>0.33095559599421742</v>
      </c>
      <c r="AA229" s="19">
        <f t="shared" si="64"/>
        <v>-0.70957603137574399</v>
      </c>
      <c r="AB229" s="19">
        <f t="shared" si="65"/>
        <v>-0.29609634262040091</v>
      </c>
      <c r="AC229" s="19">
        <f t="shared" si="66"/>
        <v>-0.98120816860223758</v>
      </c>
      <c r="AD229" s="19">
        <f t="shared" si="67"/>
        <v>-0.11930678873933202</v>
      </c>
      <c r="AE229" s="19">
        <f t="shared" si="68"/>
        <v>-0.57169629143514977</v>
      </c>
      <c r="AF229" s="19">
        <f t="shared" si="69"/>
        <v>-0.56943870541721409</v>
      </c>
      <c r="AG229" s="19">
        <f t="shared" si="70"/>
        <v>-0.49228162920568452</v>
      </c>
      <c r="AH229" s="19">
        <f t="shared" si="71"/>
        <v>-0.37654444881718102</v>
      </c>
      <c r="AI229" s="19">
        <f t="shared" si="72"/>
        <v>-0.83388562659672549</v>
      </c>
      <c r="AJ229" s="19">
        <f t="shared" si="73"/>
        <v>-0.8329739201458598</v>
      </c>
      <c r="AK229" s="19">
        <f t="shared" si="74"/>
        <v>-0.44304563727054247</v>
      </c>
      <c r="AL229" s="19">
        <f t="shared" si="75"/>
        <v>0.17619530568243225</v>
      </c>
      <c r="BV229" s="16">
        <v>0</v>
      </c>
      <c r="BW229" s="18">
        <v>201</v>
      </c>
      <c r="BX229" s="48">
        <v>0.46703924696236887</v>
      </c>
      <c r="BY229" s="48">
        <v>1.2607910980137738</v>
      </c>
      <c r="BZ229" s="18" t="e">
        <f t="shared" si="76"/>
        <v>#N/A</v>
      </c>
    </row>
    <row r="230" spans="1:78" x14ac:dyDescent="0.3">
      <c r="A230" s="19">
        <v>205</v>
      </c>
      <c r="B230" s="19">
        <v>0</v>
      </c>
      <c r="C230" s="19">
        <v>30</v>
      </c>
      <c r="D230" s="19">
        <v>2.5909354072622599</v>
      </c>
      <c r="E230" s="22">
        <v>120105</v>
      </c>
      <c r="F230" s="22">
        <v>9248</v>
      </c>
      <c r="G230" s="23">
        <v>47643</v>
      </c>
      <c r="H230" s="23">
        <v>63214</v>
      </c>
      <c r="I230" s="24">
        <v>2.7</v>
      </c>
      <c r="J230" s="24">
        <v>2453.8000000000002</v>
      </c>
      <c r="K230" s="22">
        <v>80712</v>
      </c>
      <c r="L230" s="22">
        <v>231694</v>
      </c>
      <c r="M230" s="22">
        <v>53631</v>
      </c>
      <c r="N230" s="22">
        <v>55917</v>
      </c>
      <c r="O230" s="25">
        <v>3697.14</v>
      </c>
      <c r="P230" s="24">
        <v>89.1</v>
      </c>
      <c r="Q230" s="22">
        <v>80591</v>
      </c>
      <c r="R230" s="23">
        <v>6015</v>
      </c>
      <c r="U230" s="19">
        <v>205</v>
      </c>
      <c r="V230" s="19">
        <v>0</v>
      </c>
      <c r="W230" s="19">
        <v>30</v>
      </c>
      <c r="X230" s="19">
        <f t="shared" si="61"/>
        <v>-1.7084526516993153</v>
      </c>
      <c r="Y230" s="19">
        <f t="shared" si="62"/>
        <v>1.694434172801135</v>
      </c>
      <c r="Z230" s="19">
        <f t="shared" si="63"/>
        <v>0.55289441248445426</v>
      </c>
      <c r="AA230" s="19">
        <f t="shared" si="64"/>
        <v>4.216689288822403</v>
      </c>
      <c r="AB230" s="19">
        <f t="shared" si="65"/>
        <v>1.0517092590120292</v>
      </c>
      <c r="AC230" s="19">
        <f t="shared" si="66"/>
        <v>-1.8164915339619148</v>
      </c>
      <c r="AD230" s="19">
        <f t="shared" si="67"/>
        <v>1.535411965802663</v>
      </c>
      <c r="AE230" s="19">
        <f t="shared" si="68"/>
        <v>3.2069297082870292</v>
      </c>
      <c r="AF230" s="19">
        <f t="shared" si="69"/>
        <v>2.3601563342181628</v>
      </c>
      <c r="AG230" s="19">
        <f t="shared" si="70"/>
        <v>1.2413735139115187</v>
      </c>
      <c r="AH230" s="19">
        <f t="shared" si="71"/>
        <v>1.8607984272772979</v>
      </c>
      <c r="AI230" s="19">
        <f t="shared" si="72"/>
        <v>0.3340274707220745</v>
      </c>
      <c r="AJ230" s="19">
        <f t="shared" si="73"/>
        <v>0.3364929466369973</v>
      </c>
      <c r="AK230" s="19">
        <f t="shared" si="74"/>
        <v>1.3638207256847132</v>
      </c>
      <c r="AL230" s="19">
        <f t="shared" si="75"/>
        <v>2.8884546711842525</v>
      </c>
      <c r="BV230" s="16">
        <v>0</v>
      </c>
      <c r="BW230" s="18">
        <v>202</v>
      </c>
      <c r="BX230" s="48">
        <v>0.8816328977254061</v>
      </c>
      <c r="BY230" s="48">
        <v>-0.11993981926192059</v>
      </c>
      <c r="BZ230" s="18" t="e">
        <f t="shared" si="76"/>
        <v>#N/A</v>
      </c>
    </row>
    <row r="231" spans="1:78" x14ac:dyDescent="0.3">
      <c r="A231" s="19">
        <v>206</v>
      </c>
      <c r="B231" s="19">
        <v>0</v>
      </c>
      <c r="C231" s="19">
        <v>30</v>
      </c>
      <c r="D231" s="19">
        <v>47.273584431375099</v>
      </c>
      <c r="E231" s="22">
        <v>17531</v>
      </c>
      <c r="F231" s="22">
        <v>6261</v>
      </c>
      <c r="G231" s="23">
        <v>6107</v>
      </c>
      <c r="H231" s="23">
        <v>5163</v>
      </c>
      <c r="I231" s="24">
        <v>6.3</v>
      </c>
      <c r="J231" s="24">
        <v>124</v>
      </c>
      <c r="K231" s="22">
        <v>10943</v>
      </c>
      <c r="L231" s="22">
        <v>32759</v>
      </c>
      <c r="M231" s="22">
        <v>7724</v>
      </c>
      <c r="N231" s="22">
        <v>4855</v>
      </c>
      <c r="O231" s="25">
        <v>2931.27</v>
      </c>
      <c r="P231" s="24">
        <v>70.599999999999994</v>
      </c>
      <c r="Q231" s="22">
        <v>5357</v>
      </c>
      <c r="R231" s="23">
        <v>1096</v>
      </c>
      <c r="U231" s="19">
        <v>206</v>
      </c>
      <c r="V231" s="19">
        <v>0</v>
      </c>
      <c r="W231" s="19">
        <v>30</v>
      </c>
      <c r="X231" s="19">
        <f t="shared" si="61"/>
        <v>-0.32577929607697292</v>
      </c>
      <c r="Y231" s="19">
        <f t="shared" si="62"/>
        <v>-0.2277892885427501</v>
      </c>
      <c r="Z231" s="19">
        <f t="shared" si="63"/>
        <v>4.5641851425705709E-3</v>
      </c>
      <c r="AA231" s="19">
        <f t="shared" si="64"/>
        <v>-0.20116536917375882</v>
      </c>
      <c r="AB231" s="19">
        <f t="shared" si="65"/>
        <v>-0.22655803796005336</v>
      </c>
      <c r="AC231" s="19">
        <f t="shared" si="66"/>
        <v>-1.1330778713949061</v>
      </c>
      <c r="AD231" s="19">
        <f t="shared" si="67"/>
        <v>-0.24083377430604505</v>
      </c>
      <c r="AE231" s="19">
        <f t="shared" si="68"/>
        <v>-0.37015248132785145</v>
      </c>
      <c r="AF231" s="19">
        <f t="shared" si="69"/>
        <v>-0.42579623189270044</v>
      </c>
      <c r="AG231" s="19">
        <f t="shared" si="70"/>
        <v>-0.4443254811763056</v>
      </c>
      <c r="AH231" s="19">
        <f t="shared" si="71"/>
        <v>-0.25505151788579955</v>
      </c>
      <c r="AI231" s="19">
        <f t="shared" si="72"/>
        <v>-1.2183590751109825</v>
      </c>
      <c r="AJ231" s="19">
        <f t="shared" si="73"/>
        <v>-1.21999173217472</v>
      </c>
      <c r="AK231" s="19">
        <f t="shared" si="74"/>
        <v>-0.32294062422502495</v>
      </c>
      <c r="AL231" s="19">
        <f t="shared" si="75"/>
        <v>0.19590092367598735</v>
      </c>
      <c r="BV231" s="16">
        <v>0</v>
      </c>
      <c r="BW231" s="18">
        <v>203</v>
      </c>
      <c r="BX231" s="48">
        <v>0.90562349287986998</v>
      </c>
      <c r="BY231" s="48">
        <v>0.91841477201272614</v>
      </c>
      <c r="BZ231" s="18" t="e">
        <f t="shared" si="76"/>
        <v>#N/A</v>
      </c>
    </row>
    <row r="232" spans="1:78" x14ac:dyDescent="0.3">
      <c r="A232" s="19">
        <v>207</v>
      </c>
      <c r="B232" s="19">
        <v>0</v>
      </c>
      <c r="C232" s="19">
        <v>30</v>
      </c>
      <c r="D232" s="19">
        <v>66.768954389914796</v>
      </c>
      <c r="E232" s="22">
        <v>20584</v>
      </c>
      <c r="F232" s="22">
        <v>6235</v>
      </c>
      <c r="G232" s="23">
        <v>6279</v>
      </c>
      <c r="H232" s="23">
        <v>8070</v>
      </c>
      <c r="I232" s="24">
        <v>3.9</v>
      </c>
      <c r="J232" s="24">
        <v>174.2</v>
      </c>
      <c r="K232" s="22">
        <v>11908</v>
      </c>
      <c r="L232" s="22">
        <v>35612</v>
      </c>
      <c r="M232" s="22">
        <v>9492</v>
      </c>
      <c r="N232" s="22">
        <v>6547</v>
      </c>
      <c r="O232" s="25">
        <v>3189.94</v>
      </c>
      <c r="P232" s="24">
        <v>76.8</v>
      </c>
      <c r="Q232" s="22">
        <v>7352</v>
      </c>
      <c r="R232" s="23">
        <v>487</v>
      </c>
      <c r="U232" s="19">
        <v>207</v>
      </c>
      <c r="V232" s="19">
        <v>0</v>
      </c>
      <c r="W232" s="19">
        <v>30</v>
      </c>
      <c r="X232" s="19">
        <f t="shared" si="61"/>
        <v>0.27749130645884634</v>
      </c>
      <c r="Y232" s="19">
        <f t="shared" si="62"/>
        <v>-0.1705764643623254</v>
      </c>
      <c r="Z232" s="19">
        <f t="shared" si="63"/>
        <v>-2.0869263141301591E-4</v>
      </c>
      <c r="AA232" s="19">
        <f t="shared" si="64"/>
        <v>-0.18287109429954512</v>
      </c>
      <c r="AB232" s="19">
        <f t="shared" si="65"/>
        <v>-0.1625466853167252</v>
      </c>
      <c r="AC232" s="19">
        <f t="shared" si="66"/>
        <v>-1.588686979772912</v>
      </c>
      <c r="AD232" s="19">
        <f t="shared" si="67"/>
        <v>-0.2025611602818983</v>
      </c>
      <c r="AE232" s="19">
        <f t="shared" si="68"/>
        <v>-0.32067657780367365</v>
      </c>
      <c r="AF232" s="19">
        <f t="shared" si="69"/>
        <v>-0.38584186151486699</v>
      </c>
      <c r="AG232" s="19">
        <f t="shared" si="70"/>
        <v>-0.37940475398186307</v>
      </c>
      <c r="AH232" s="19">
        <f t="shared" si="71"/>
        <v>-0.18494031763481131</v>
      </c>
      <c r="AI232" s="19">
        <f t="shared" si="72"/>
        <v>-0.69404577414523505</v>
      </c>
      <c r="AJ232" s="19">
        <f t="shared" si="73"/>
        <v>-0.69835902900538749</v>
      </c>
      <c r="AK232" s="19">
        <f t="shared" si="74"/>
        <v>-0.27821232461221784</v>
      </c>
      <c r="AL232" s="19">
        <f t="shared" si="75"/>
        <v>-0.13745244738165313</v>
      </c>
      <c r="BV232" s="16">
        <v>0</v>
      </c>
      <c r="BW232" s="18">
        <v>204</v>
      </c>
      <c r="BX232" s="48">
        <v>1.56668060466801</v>
      </c>
      <c r="BY232" s="48">
        <v>-0.76613871339413342</v>
      </c>
      <c r="BZ232" s="18" t="e">
        <f t="shared" si="76"/>
        <v>#N/A</v>
      </c>
    </row>
    <row r="233" spans="1:78" x14ac:dyDescent="0.3">
      <c r="A233" s="19">
        <v>208</v>
      </c>
      <c r="B233" s="19">
        <v>0</v>
      </c>
      <c r="C233" s="19">
        <v>30</v>
      </c>
      <c r="D233" s="19">
        <v>49.3191588658228</v>
      </c>
      <c r="E233" s="22">
        <v>21635</v>
      </c>
      <c r="F233" s="22">
        <v>5082</v>
      </c>
      <c r="G233" s="23">
        <v>9652</v>
      </c>
      <c r="H233" s="23">
        <v>6901</v>
      </c>
      <c r="I233" s="24">
        <v>9.3000000000000007</v>
      </c>
      <c r="J233" s="24">
        <v>1929.5</v>
      </c>
      <c r="K233" s="22">
        <v>15198</v>
      </c>
      <c r="L233" s="22">
        <v>48366</v>
      </c>
      <c r="M233" s="22">
        <v>13392</v>
      </c>
      <c r="N233" s="22">
        <v>8467</v>
      </c>
      <c r="O233" s="25">
        <v>3406.61</v>
      </c>
      <c r="P233" s="24">
        <v>82.1</v>
      </c>
      <c r="Q233" s="22">
        <v>46190</v>
      </c>
      <c r="R233" s="23">
        <v>0</v>
      </c>
      <c r="U233" s="19">
        <v>208</v>
      </c>
      <c r="V233" s="19">
        <v>0</v>
      </c>
      <c r="W233" s="19">
        <v>30</v>
      </c>
      <c r="X233" s="19">
        <f t="shared" si="61"/>
        <v>-0.26248042438459046</v>
      </c>
      <c r="Y233" s="19">
        <f t="shared" si="62"/>
        <v>-0.15088086062383005</v>
      </c>
      <c r="Z233" s="19">
        <f t="shared" si="63"/>
        <v>-0.21186746468537748</v>
      </c>
      <c r="AA233" s="19">
        <f t="shared" si="64"/>
        <v>0.17588814494884317</v>
      </c>
      <c r="AB233" s="19">
        <f t="shared" si="65"/>
        <v>-0.18828774869479559</v>
      </c>
      <c r="AC233" s="19">
        <f t="shared" si="66"/>
        <v>-0.56356648592239866</v>
      </c>
      <c r="AD233" s="19">
        <f t="shared" si="67"/>
        <v>1.1356842460245724</v>
      </c>
      <c r="AE233" s="19">
        <f t="shared" si="68"/>
        <v>-0.15199707252435252</v>
      </c>
      <c r="AF233" s="19">
        <f t="shared" si="69"/>
        <v>-0.20723056119979949</v>
      </c>
      <c r="AG233" s="19">
        <f t="shared" si="70"/>
        <v>-0.23619726752353393</v>
      </c>
      <c r="AH233" s="19">
        <f t="shared" si="71"/>
        <v>-0.10538150883936367</v>
      </c>
      <c r="AI233" s="19">
        <f t="shared" si="72"/>
        <v>-0.25486472137433575</v>
      </c>
      <c r="AJ233" s="19">
        <f t="shared" si="73"/>
        <v>-0.25244720210257138</v>
      </c>
      <c r="AK233" s="19">
        <f t="shared" si="74"/>
        <v>0.59254341491770757</v>
      </c>
      <c r="AL233" s="19">
        <f t="shared" si="75"/>
        <v>-0.40402566857224581</v>
      </c>
      <c r="BV233" s="16">
        <v>0</v>
      </c>
      <c r="BW233" s="18">
        <v>205</v>
      </c>
      <c r="BX233" s="48">
        <v>-6.3246112890114423</v>
      </c>
      <c r="BY233" s="48">
        <v>-0.12276911943461555</v>
      </c>
      <c r="BZ233" s="18" t="e">
        <f t="shared" si="76"/>
        <v>#N/A</v>
      </c>
    </row>
    <row r="234" spans="1:78" x14ac:dyDescent="0.3">
      <c r="A234" s="19">
        <v>209</v>
      </c>
      <c r="B234" s="19">
        <v>0</v>
      </c>
      <c r="C234" s="19">
        <v>30</v>
      </c>
      <c r="D234" s="19">
        <v>86.200618183214303</v>
      </c>
      <c r="E234" s="22">
        <v>19072</v>
      </c>
      <c r="F234" s="22">
        <v>6778</v>
      </c>
      <c r="G234" s="23">
        <v>5344</v>
      </c>
      <c r="H234" s="23">
        <v>6950</v>
      </c>
      <c r="I234" s="24">
        <v>7</v>
      </c>
      <c r="J234" s="24">
        <v>138.9</v>
      </c>
      <c r="K234" s="22">
        <v>12118</v>
      </c>
      <c r="L234" s="22">
        <v>37338</v>
      </c>
      <c r="M234" s="22">
        <v>10838</v>
      </c>
      <c r="N234" s="22">
        <v>5168</v>
      </c>
      <c r="O234" s="25">
        <v>3045.68</v>
      </c>
      <c r="P234" s="24">
        <v>73.400000000000006</v>
      </c>
      <c r="Q234" s="22">
        <v>18575</v>
      </c>
      <c r="R234" s="23">
        <v>3006</v>
      </c>
      <c r="U234" s="19">
        <v>209</v>
      </c>
      <c r="V234" s="19">
        <v>0</v>
      </c>
      <c r="W234" s="19">
        <v>30</v>
      </c>
      <c r="X234" s="19">
        <f t="shared" si="61"/>
        <v>0.8787905662208978</v>
      </c>
      <c r="Y234" s="19">
        <f t="shared" si="62"/>
        <v>-0.19891114833245385</v>
      </c>
      <c r="Z234" s="19">
        <f t="shared" si="63"/>
        <v>9.9471023956013441E-2</v>
      </c>
      <c r="AA234" s="19">
        <f t="shared" si="64"/>
        <v>-0.28231962341227657</v>
      </c>
      <c r="AB234" s="19">
        <f t="shared" si="65"/>
        <v>-0.18720878196637347</v>
      </c>
      <c r="AC234" s="19">
        <f t="shared" si="66"/>
        <v>-1.0001918814513211</v>
      </c>
      <c r="AD234" s="19">
        <f t="shared" si="67"/>
        <v>-0.22947397452596963</v>
      </c>
      <c r="AE234" s="19">
        <f t="shared" si="68"/>
        <v>-0.30990980087095105</v>
      </c>
      <c r="AF234" s="19">
        <f t="shared" si="69"/>
        <v>-0.3616703777181125</v>
      </c>
      <c r="AG234" s="19">
        <f t="shared" si="70"/>
        <v>-0.3299798112195782</v>
      </c>
      <c r="AH234" s="19">
        <f t="shared" si="71"/>
        <v>-0.24208177457695834</v>
      </c>
      <c r="AI234" s="19">
        <f t="shared" si="72"/>
        <v>-0.98645477711163554</v>
      </c>
      <c r="AJ234" s="19">
        <f t="shared" si="73"/>
        <v>-0.98441567267889152</v>
      </c>
      <c r="AK234" s="19">
        <f t="shared" si="74"/>
        <v>-2.6590416564832482E-2</v>
      </c>
      <c r="AL234" s="19">
        <f t="shared" si="75"/>
        <v>1.2413934338896051</v>
      </c>
      <c r="BV234" s="16">
        <v>0</v>
      </c>
      <c r="BW234" s="18">
        <v>206</v>
      </c>
      <c r="BX234" s="48">
        <v>1.1401889644843153</v>
      </c>
      <c r="BY234" s="48">
        <v>-0.68336130605826639</v>
      </c>
      <c r="BZ234" s="18" t="e">
        <f t="shared" si="76"/>
        <v>#N/A</v>
      </c>
    </row>
    <row r="235" spans="1:78" x14ac:dyDescent="0.3">
      <c r="A235" s="19">
        <v>210</v>
      </c>
      <c r="B235" s="19">
        <v>0</v>
      </c>
      <c r="C235" s="19">
        <v>30</v>
      </c>
      <c r="D235" s="19">
        <v>39.836931341155001</v>
      </c>
      <c r="E235" s="22">
        <v>28359</v>
      </c>
      <c r="F235" s="22">
        <v>5321</v>
      </c>
      <c r="G235" s="23">
        <v>12304</v>
      </c>
      <c r="H235" s="23">
        <v>10734</v>
      </c>
      <c r="I235" s="24">
        <v>5.9</v>
      </c>
      <c r="J235" s="24">
        <v>371.1</v>
      </c>
      <c r="K235" s="22">
        <v>17971</v>
      </c>
      <c r="L235" s="22">
        <v>56856</v>
      </c>
      <c r="M235" s="22">
        <v>15306</v>
      </c>
      <c r="N235" s="22">
        <v>8651</v>
      </c>
      <c r="O235" s="25">
        <v>3975.8</v>
      </c>
      <c r="P235" s="24">
        <v>95.8</v>
      </c>
      <c r="Q235" s="22">
        <v>9597</v>
      </c>
      <c r="R235" s="23">
        <v>492</v>
      </c>
      <c r="U235" s="19">
        <v>210</v>
      </c>
      <c r="V235" s="19">
        <v>0</v>
      </c>
      <c r="W235" s="19">
        <v>30</v>
      </c>
      <c r="X235" s="19">
        <f t="shared" si="61"/>
        <v>-0.55590133018701393</v>
      </c>
      <c r="Y235" s="19">
        <f t="shared" si="62"/>
        <v>-2.4873972386301204E-2</v>
      </c>
      <c r="Z235" s="19">
        <f t="shared" si="63"/>
        <v>-0.16799370360914373</v>
      </c>
      <c r="AA235" s="19">
        <f t="shared" si="64"/>
        <v>0.457960336614045</v>
      </c>
      <c r="AB235" s="19">
        <f t="shared" si="65"/>
        <v>-0.10388612685720464</v>
      </c>
      <c r="AC235" s="19">
        <f t="shared" si="66"/>
        <v>-1.2090127227912404</v>
      </c>
      <c r="AD235" s="19">
        <f t="shared" si="67"/>
        <v>-5.2444074597545694E-2</v>
      </c>
      <c r="AE235" s="19">
        <f t="shared" si="68"/>
        <v>-9.8243466460675565E-3</v>
      </c>
      <c r="AF235" s="19">
        <f t="shared" si="69"/>
        <v>-8.8333749244732598E-2</v>
      </c>
      <c r="AG235" s="19">
        <f t="shared" si="70"/>
        <v>-0.16591543955398472</v>
      </c>
      <c r="AH235" s="19">
        <f t="shared" si="71"/>
        <v>-9.7757122996466606E-2</v>
      </c>
      <c r="AI235" s="19">
        <f t="shared" si="72"/>
        <v>0.89885966791198957</v>
      </c>
      <c r="AJ235" s="19">
        <f t="shared" si="73"/>
        <v>0.90019280328772766</v>
      </c>
      <c r="AK235" s="19">
        <f t="shared" si="74"/>
        <v>-0.22787897492261791</v>
      </c>
      <c r="AL235" s="19">
        <f t="shared" si="75"/>
        <v>-0.13471555599365936</v>
      </c>
      <c r="BV235" s="16">
        <v>0</v>
      </c>
      <c r="BW235" s="18">
        <v>207</v>
      </c>
      <c r="BX235" s="48">
        <v>0.79349329470577923</v>
      </c>
      <c r="BY235" s="48">
        <v>-0.1570941116191801</v>
      </c>
      <c r="BZ235" s="18" t="e">
        <f t="shared" si="76"/>
        <v>#N/A</v>
      </c>
    </row>
    <row r="236" spans="1:78" x14ac:dyDescent="0.3">
      <c r="A236" s="19">
        <v>211</v>
      </c>
      <c r="B236" s="19">
        <v>0</v>
      </c>
      <c r="C236" s="19">
        <v>30</v>
      </c>
      <c r="D236" s="19">
        <v>69.382966052042306</v>
      </c>
      <c r="E236" s="22">
        <v>16000</v>
      </c>
      <c r="F236" s="22">
        <v>6495</v>
      </c>
      <c r="G236" s="23">
        <v>3659</v>
      </c>
      <c r="H236" s="23">
        <v>5846</v>
      </c>
      <c r="I236" s="24">
        <v>11.3</v>
      </c>
      <c r="J236" s="24">
        <v>92.7</v>
      </c>
      <c r="K236" s="22">
        <v>11252</v>
      </c>
      <c r="L236" s="22">
        <v>37560</v>
      </c>
      <c r="M236" s="22">
        <v>10779</v>
      </c>
      <c r="N236" s="22">
        <v>5273</v>
      </c>
      <c r="O236" s="25">
        <v>3171.47</v>
      </c>
      <c r="P236" s="24">
        <v>76.400000000000006</v>
      </c>
      <c r="Q236" s="22">
        <v>2053</v>
      </c>
      <c r="R236" s="23">
        <v>1676</v>
      </c>
      <c r="U236" s="19">
        <v>211</v>
      </c>
      <c r="V236" s="19">
        <v>0</v>
      </c>
      <c r="W236" s="19">
        <v>30</v>
      </c>
      <c r="X236" s="19">
        <f t="shared" si="61"/>
        <v>0.35838007101171165</v>
      </c>
      <c r="Y236" s="19">
        <f t="shared" si="62"/>
        <v>-0.25648003004954018</v>
      </c>
      <c r="Z236" s="19">
        <f t="shared" si="63"/>
        <v>4.7520085108422858E-2</v>
      </c>
      <c r="AA236" s="19">
        <f t="shared" si="64"/>
        <v>-0.4615396999416374</v>
      </c>
      <c r="AB236" s="19">
        <f t="shared" si="65"/>
        <v>-0.2115185629495982</v>
      </c>
      <c r="AC236" s="19">
        <f t="shared" si="66"/>
        <v>-0.18389222894072707</v>
      </c>
      <c r="AD236" s="19">
        <f t="shared" si="67"/>
        <v>-0.26469697787090152</v>
      </c>
      <c r="AE236" s="19">
        <f t="shared" si="68"/>
        <v>-0.3543099381268453</v>
      </c>
      <c r="AF236" s="19">
        <f t="shared" si="69"/>
        <v>-0.3585614151440224</v>
      </c>
      <c r="AG236" s="19">
        <f t="shared" si="70"/>
        <v>-0.33214628345061442</v>
      </c>
      <c r="AH236" s="19">
        <f t="shared" si="71"/>
        <v>-0.2377309022209573</v>
      </c>
      <c r="AI236" s="19">
        <f t="shared" si="72"/>
        <v>-0.73148369376806521</v>
      </c>
      <c r="AJ236" s="19">
        <f t="shared" si="73"/>
        <v>-0.73201275179050496</v>
      </c>
      <c r="AK236" s="19">
        <f t="shared" si="74"/>
        <v>-0.39701696603991948</v>
      </c>
      <c r="AL236" s="19">
        <f t="shared" si="75"/>
        <v>0.513380324683264</v>
      </c>
      <c r="BV236" s="16">
        <v>0</v>
      </c>
      <c r="BW236" s="18">
        <v>208</v>
      </c>
      <c r="BX236" s="48">
        <v>-0.26043602421131823</v>
      </c>
      <c r="BY236" s="48">
        <v>1.0023016808274082E-2</v>
      </c>
      <c r="BZ236" s="18" t="e">
        <f t="shared" si="76"/>
        <v>#N/A</v>
      </c>
    </row>
    <row r="237" spans="1:78" x14ac:dyDescent="0.3">
      <c r="A237" s="19">
        <v>212</v>
      </c>
      <c r="B237" s="19">
        <v>1</v>
      </c>
      <c r="C237" s="19">
        <v>30</v>
      </c>
      <c r="D237" s="19">
        <v>0</v>
      </c>
      <c r="E237" s="22">
        <v>239077</v>
      </c>
      <c r="F237" s="22">
        <v>1925</v>
      </c>
      <c r="G237" s="23">
        <v>49401</v>
      </c>
      <c r="H237" s="23">
        <v>187751</v>
      </c>
      <c r="I237" s="24">
        <v>2.4</v>
      </c>
      <c r="J237" s="24">
        <v>3629.8</v>
      </c>
      <c r="K237" s="22">
        <v>86233</v>
      </c>
      <c r="L237" s="22">
        <v>332702</v>
      </c>
      <c r="M237" s="22">
        <v>123413</v>
      </c>
      <c r="N237" s="22">
        <v>108821</v>
      </c>
      <c r="O237" s="25">
        <v>4549.1099999999997</v>
      </c>
      <c r="P237" s="24">
        <v>109.6</v>
      </c>
      <c r="Q237" s="22">
        <v>263656</v>
      </c>
      <c r="R237" s="23">
        <v>0</v>
      </c>
      <c r="U237" s="19">
        <v>212</v>
      </c>
      <c r="V237" s="19">
        <v>1</v>
      </c>
      <c r="W237" s="19">
        <v>30</v>
      </c>
      <c r="X237" s="19">
        <f t="shared" si="61"/>
        <v>-1.7886273376680637</v>
      </c>
      <c r="Y237" s="19">
        <f t="shared" si="62"/>
        <v>3.9239540281543892</v>
      </c>
      <c r="Z237" s="19">
        <f t="shared" si="63"/>
        <v>-0.79140496978023078</v>
      </c>
      <c r="AA237" s="19">
        <f t="shared" si="64"/>
        <v>4.4036737959669825</v>
      </c>
      <c r="AB237" s="19">
        <f t="shared" si="65"/>
        <v>3.7939802683488573</v>
      </c>
      <c r="AC237" s="19">
        <f t="shared" si="66"/>
        <v>-1.8734426725091655</v>
      </c>
      <c r="AD237" s="19">
        <f t="shared" si="67"/>
        <v>2.4319975054918386</v>
      </c>
      <c r="AE237" s="19">
        <f t="shared" si="68"/>
        <v>3.4899934008849418</v>
      </c>
      <c r="AF237" s="19">
        <f t="shared" si="69"/>
        <v>3.7747062967573148</v>
      </c>
      <c r="AG237" s="19">
        <f t="shared" si="70"/>
        <v>3.8037593652025756</v>
      </c>
      <c r="AH237" s="19">
        <f t="shared" si="71"/>
        <v>4.0529751046285281</v>
      </c>
      <c r="AI237" s="19">
        <f t="shared" si="72"/>
        <v>2.06093512535457</v>
      </c>
      <c r="AJ237" s="19">
        <f t="shared" si="73"/>
        <v>2.0612462393743058</v>
      </c>
      <c r="AK237" s="19">
        <f t="shared" si="74"/>
        <v>5.4681746949170575</v>
      </c>
      <c r="AL237" s="19">
        <f t="shared" si="75"/>
        <v>-0.40402566857224581</v>
      </c>
      <c r="BV237" s="16">
        <v>0</v>
      </c>
      <c r="BW237" s="18">
        <v>209</v>
      </c>
      <c r="BX237" s="48">
        <v>0.99084970365804392</v>
      </c>
      <c r="BY237" s="48">
        <v>-0.65689079576416187</v>
      </c>
      <c r="BZ237" s="18" t="e">
        <f t="shared" si="76"/>
        <v>#N/A</v>
      </c>
    </row>
    <row r="238" spans="1:78" x14ac:dyDescent="0.3">
      <c r="A238" s="19">
        <v>213</v>
      </c>
      <c r="B238" s="19">
        <v>0</v>
      </c>
      <c r="C238" s="19">
        <v>30</v>
      </c>
      <c r="D238" s="19">
        <v>48.660513876385998</v>
      </c>
      <c r="E238" s="22">
        <v>32911</v>
      </c>
      <c r="F238" s="22">
        <v>6901</v>
      </c>
      <c r="G238" s="23">
        <v>10016</v>
      </c>
      <c r="H238" s="23">
        <v>15994</v>
      </c>
      <c r="I238" s="24">
        <v>9.5</v>
      </c>
      <c r="J238" s="24">
        <v>344.6</v>
      </c>
      <c r="K238" s="22">
        <v>28576</v>
      </c>
      <c r="L238" s="22">
        <v>90680</v>
      </c>
      <c r="M238" s="22">
        <v>25829</v>
      </c>
      <c r="N238" s="22">
        <v>15549</v>
      </c>
      <c r="O238" s="25">
        <v>3386.42</v>
      </c>
      <c r="P238" s="24">
        <v>81.599999999999994</v>
      </c>
      <c r="Q238" s="22">
        <v>11073</v>
      </c>
      <c r="R238" s="23">
        <v>200</v>
      </c>
      <c r="U238" s="19">
        <v>213</v>
      </c>
      <c r="V238" s="19">
        <v>0</v>
      </c>
      <c r="W238" s="19">
        <v>30</v>
      </c>
      <c r="X238" s="19">
        <f t="shared" si="61"/>
        <v>-0.28286173340718163</v>
      </c>
      <c r="Y238" s="19">
        <f t="shared" si="62"/>
        <v>6.0429917449693935E-2</v>
      </c>
      <c r="Z238" s="19">
        <f t="shared" si="63"/>
        <v>0.12205040727139733</v>
      </c>
      <c r="AA238" s="19">
        <f t="shared" si="64"/>
        <v>0.21460393596171401</v>
      </c>
      <c r="AB238" s="19">
        <f t="shared" si="65"/>
        <v>1.1937648479536397E-2</v>
      </c>
      <c r="AC238" s="19">
        <f t="shared" si="66"/>
        <v>-0.52559906022423164</v>
      </c>
      <c r="AD238" s="19">
        <f t="shared" si="67"/>
        <v>-7.2647745347344292E-2</v>
      </c>
      <c r="AE238" s="19">
        <f t="shared" si="68"/>
        <v>0.53389788845642505</v>
      </c>
      <c r="AF238" s="19">
        <f t="shared" si="69"/>
        <v>0.38534890889050677</v>
      </c>
      <c r="AG238" s="19">
        <f t="shared" si="70"/>
        <v>0.22048773480524539</v>
      </c>
      <c r="AH238" s="19">
        <f t="shared" si="71"/>
        <v>0.18807447235301142</v>
      </c>
      <c r="AI238" s="19">
        <f t="shared" si="72"/>
        <v>-0.29578900925657359</v>
      </c>
      <c r="AJ238" s="19">
        <f t="shared" si="73"/>
        <v>-0.29451435558396916</v>
      </c>
      <c r="AK238" s="19">
        <f t="shared" si="74"/>
        <v>-0.19478675926923283</v>
      </c>
      <c r="AL238" s="19">
        <f t="shared" si="75"/>
        <v>-0.29455001305249523</v>
      </c>
      <c r="BV238" s="16">
        <v>0</v>
      </c>
      <c r="BW238" s="18">
        <v>210</v>
      </c>
      <c r="BX238" s="48">
        <v>-0.41633427361698527</v>
      </c>
      <c r="BY238" s="48">
        <v>1.5978181101690505</v>
      </c>
      <c r="BZ238" s="18" t="e">
        <f t="shared" si="76"/>
        <v>#N/A</v>
      </c>
    </row>
    <row r="239" spans="1:78" x14ac:dyDescent="0.3">
      <c r="A239" s="19">
        <v>214</v>
      </c>
      <c r="B239" s="19">
        <v>0</v>
      </c>
      <c r="C239" s="19">
        <v>30</v>
      </c>
      <c r="D239" s="19">
        <v>62.528675243659798</v>
      </c>
      <c r="E239" s="22">
        <v>19030</v>
      </c>
      <c r="F239" s="22">
        <v>5004</v>
      </c>
      <c r="G239" s="23">
        <v>7246</v>
      </c>
      <c r="H239" s="23">
        <v>6780</v>
      </c>
      <c r="I239" s="24">
        <v>8.9</v>
      </c>
      <c r="J239" s="24">
        <v>210.1</v>
      </c>
      <c r="K239" s="22">
        <v>14009</v>
      </c>
      <c r="L239" s="22">
        <v>44962</v>
      </c>
      <c r="M239" s="22">
        <v>12819</v>
      </c>
      <c r="N239" s="22">
        <v>6212</v>
      </c>
      <c r="O239" s="25">
        <v>2898.12</v>
      </c>
      <c r="P239" s="24">
        <v>69.8</v>
      </c>
      <c r="Q239" s="22">
        <v>1137</v>
      </c>
      <c r="R239" s="23">
        <v>2384</v>
      </c>
      <c r="U239" s="19">
        <v>214</v>
      </c>
      <c r="V239" s="19">
        <v>0</v>
      </c>
      <c r="W239" s="19">
        <v>30</v>
      </c>
      <c r="X239" s="19">
        <f t="shared" si="61"/>
        <v>0.14627883083404766</v>
      </c>
      <c r="Y239" s="19">
        <f t="shared" si="62"/>
        <v>-0.19969822288717964</v>
      </c>
      <c r="Z239" s="19">
        <f t="shared" si="63"/>
        <v>-0.22618609800732825</v>
      </c>
      <c r="AA239" s="19">
        <f t="shared" si="64"/>
        <v>-8.0018979163704193E-2</v>
      </c>
      <c r="AB239" s="19">
        <f t="shared" si="65"/>
        <v>-0.19095213592212365</v>
      </c>
      <c r="AC239" s="19">
        <f t="shared" si="66"/>
        <v>-0.63950133731873304</v>
      </c>
      <c r="AD239" s="19">
        <f t="shared" si="67"/>
        <v>-0.17519090443594471</v>
      </c>
      <c r="AE239" s="19">
        <f t="shared" si="68"/>
        <v>-0.2129575381101011</v>
      </c>
      <c r="AF239" s="19">
        <f t="shared" si="69"/>
        <v>-0.25490132066918081</v>
      </c>
      <c r="AG239" s="19">
        <f t="shared" si="70"/>
        <v>-0.25723775207241151</v>
      </c>
      <c r="AH239" s="19">
        <f t="shared" si="71"/>
        <v>-0.19882167229443368</v>
      </c>
      <c r="AI239" s="19">
        <f t="shared" si="72"/>
        <v>-1.2855527424362021</v>
      </c>
      <c r="AJ239" s="19">
        <f t="shared" si="73"/>
        <v>-1.2872991777449563</v>
      </c>
      <c r="AK239" s="19">
        <f t="shared" si="74"/>
        <v>-0.41755386952128853</v>
      </c>
      <c r="AL239" s="19">
        <f t="shared" si="75"/>
        <v>0.90092414522318109</v>
      </c>
      <c r="BV239" s="16">
        <v>0</v>
      </c>
      <c r="BW239" s="18">
        <v>211</v>
      </c>
      <c r="BX239" s="48">
        <v>1.1809376281095445</v>
      </c>
      <c r="BY239" s="48">
        <v>-0.56450197175241734</v>
      </c>
      <c r="BZ239" s="18" t="e">
        <f t="shared" si="76"/>
        <v>#N/A</v>
      </c>
    </row>
    <row r="240" spans="1:78" x14ac:dyDescent="0.3">
      <c r="A240" s="19">
        <v>215</v>
      </c>
      <c r="B240" s="19">
        <v>0</v>
      </c>
      <c r="C240" s="19">
        <v>30</v>
      </c>
      <c r="D240" s="19">
        <v>112.832870252704</v>
      </c>
      <c r="E240" s="22">
        <v>24460</v>
      </c>
      <c r="F240" s="22">
        <v>15455</v>
      </c>
      <c r="G240" s="23">
        <v>4149</v>
      </c>
      <c r="H240" s="23">
        <v>4856</v>
      </c>
      <c r="I240" s="24">
        <v>5.2</v>
      </c>
      <c r="J240" s="24">
        <v>121</v>
      </c>
      <c r="K240" s="22">
        <v>16118</v>
      </c>
      <c r="L240" s="22">
        <v>52043</v>
      </c>
      <c r="M240" s="22">
        <v>14677</v>
      </c>
      <c r="N240" s="22">
        <v>6482</v>
      </c>
      <c r="O240" s="25">
        <v>3035.7</v>
      </c>
      <c r="P240" s="24">
        <v>73.099999999999994</v>
      </c>
      <c r="Q240" s="22">
        <v>0</v>
      </c>
      <c r="R240" s="23">
        <v>0</v>
      </c>
      <c r="U240" s="19">
        <v>215</v>
      </c>
      <c r="V240" s="19">
        <v>0</v>
      </c>
      <c r="W240" s="19">
        <v>30</v>
      </c>
      <c r="X240" s="19">
        <f t="shared" si="61"/>
        <v>1.7029069993542512</v>
      </c>
      <c r="Y240" s="19">
        <f t="shared" si="62"/>
        <v>-9.7940726883345375E-2</v>
      </c>
      <c r="Z240" s="19">
        <f t="shared" si="63"/>
        <v>1.6923271949119976</v>
      </c>
      <c r="AA240" s="19">
        <f t="shared" si="64"/>
        <v>-0.40942228896277283</v>
      </c>
      <c r="AB240" s="19">
        <f t="shared" si="65"/>
        <v>-0.23331809480955518</v>
      </c>
      <c r="AC240" s="19">
        <f t="shared" si="66"/>
        <v>-1.3418987127348254</v>
      </c>
      <c r="AD240" s="19">
        <f t="shared" si="67"/>
        <v>-0.2431209823154562</v>
      </c>
      <c r="AE240" s="19">
        <f t="shared" si="68"/>
        <v>-0.10482833548575816</v>
      </c>
      <c r="AF240" s="19">
        <f t="shared" si="69"/>
        <v>-0.15573661802444247</v>
      </c>
      <c r="AG240" s="19">
        <f t="shared" si="70"/>
        <v>-0.18901223672893061</v>
      </c>
      <c r="AH240" s="19">
        <f t="shared" si="71"/>
        <v>-0.18763371480757385</v>
      </c>
      <c r="AI240" s="19">
        <f t="shared" si="72"/>
        <v>-1.0066838208493638</v>
      </c>
      <c r="AJ240" s="19">
        <f t="shared" si="73"/>
        <v>-1.0096559647677312</v>
      </c>
      <c r="AK240" s="19">
        <f t="shared" si="74"/>
        <v>-0.44304563727054247</v>
      </c>
      <c r="AL240" s="19">
        <f t="shared" si="75"/>
        <v>-0.40402566857224581</v>
      </c>
      <c r="BV240" s="16">
        <v>1</v>
      </c>
      <c r="BW240" s="18">
        <v>212</v>
      </c>
      <c r="BX240" s="48">
        <v>-12.311851435568256</v>
      </c>
      <c r="BY240" s="48">
        <v>0.49300441649764953</v>
      </c>
      <c r="BZ240" s="18">
        <f t="shared" si="76"/>
        <v>0.49300441649764953</v>
      </c>
    </row>
    <row r="241" spans="1:78" x14ac:dyDescent="0.3">
      <c r="A241" s="19">
        <v>216</v>
      </c>
      <c r="B241" s="19">
        <v>0</v>
      </c>
      <c r="C241" s="19">
        <v>20</v>
      </c>
      <c r="D241" s="19">
        <v>53.189914488623899</v>
      </c>
      <c r="E241" s="22">
        <v>13265</v>
      </c>
      <c r="F241" s="22">
        <v>4535</v>
      </c>
      <c r="G241" s="23">
        <v>3860</v>
      </c>
      <c r="H241" s="23">
        <v>4870</v>
      </c>
      <c r="I241" s="24">
        <v>10.199999999999999</v>
      </c>
      <c r="J241" s="24">
        <v>109.7</v>
      </c>
      <c r="K241" s="22">
        <v>6226</v>
      </c>
      <c r="L241" s="22">
        <v>26550</v>
      </c>
      <c r="M241" s="22">
        <v>11791</v>
      </c>
      <c r="N241" s="22">
        <v>2988</v>
      </c>
      <c r="O241" s="25">
        <v>3715.52</v>
      </c>
      <c r="P241" s="24">
        <v>89.5</v>
      </c>
      <c r="Q241" s="22">
        <v>2190</v>
      </c>
      <c r="R241" s="23">
        <v>160</v>
      </c>
      <c r="U241" s="19">
        <v>216</v>
      </c>
      <c r="V241" s="19">
        <v>0</v>
      </c>
      <c r="W241" s="19">
        <v>20</v>
      </c>
      <c r="X241" s="19">
        <f t="shared" si="61"/>
        <v>-0.14270259601805244</v>
      </c>
      <c r="Y241" s="19">
        <f t="shared" si="62"/>
        <v>-0.30773357545846963</v>
      </c>
      <c r="Z241" s="19">
        <f t="shared" si="63"/>
        <v>-0.31228147016110908</v>
      </c>
      <c r="AA241" s="19">
        <f t="shared" si="64"/>
        <v>-0.4401609252339807</v>
      </c>
      <c r="AB241" s="19">
        <f t="shared" si="65"/>
        <v>-0.23300981860143458</v>
      </c>
      <c r="AC241" s="19">
        <f t="shared" si="66"/>
        <v>-0.39271307028064673</v>
      </c>
      <c r="AD241" s="19">
        <f t="shared" si="67"/>
        <v>-0.25173613248423826</v>
      </c>
      <c r="AE241" s="19">
        <f t="shared" si="68"/>
        <v>-0.61199479938334012</v>
      </c>
      <c r="AF241" s="19">
        <f t="shared" si="69"/>
        <v>-0.51274915361578766</v>
      </c>
      <c r="AG241" s="19">
        <f t="shared" si="70"/>
        <v>-0.29498577670809417</v>
      </c>
      <c r="AH241" s="19">
        <f t="shared" si="71"/>
        <v>-0.33241417206345619</v>
      </c>
      <c r="AI241" s="19">
        <f t="shared" si="72"/>
        <v>0.37128296409877259</v>
      </c>
      <c r="AJ241" s="19">
        <f t="shared" si="73"/>
        <v>0.37014666942211599</v>
      </c>
      <c r="AK241" s="19">
        <f t="shared" si="74"/>
        <v>-0.39394539859783695</v>
      </c>
      <c r="AL241" s="19">
        <f t="shared" si="75"/>
        <v>-0.31644514415644531</v>
      </c>
      <c r="BV241" s="16">
        <v>0</v>
      </c>
      <c r="BW241" s="18">
        <v>213</v>
      </c>
      <c r="BX241" s="48">
        <v>-0.41116807254390952</v>
      </c>
      <c r="BY241" s="48">
        <v>-0.36682389215515826</v>
      </c>
      <c r="BZ241" s="18" t="e">
        <f t="shared" si="76"/>
        <v>#N/A</v>
      </c>
    </row>
    <row r="242" spans="1:78" x14ac:dyDescent="0.3">
      <c r="A242" s="19">
        <v>217</v>
      </c>
      <c r="B242" s="19">
        <v>0</v>
      </c>
      <c r="C242" s="19">
        <v>20</v>
      </c>
      <c r="D242" s="19">
        <v>74.807728519301705</v>
      </c>
      <c r="E242" s="22">
        <v>12707</v>
      </c>
      <c r="F242" s="22">
        <v>7535</v>
      </c>
      <c r="G242" s="23">
        <v>1682</v>
      </c>
      <c r="H242" s="23">
        <v>3490</v>
      </c>
      <c r="I242" s="24">
        <v>10</v>
      </c>
      <c r="J242" s="24">
        <v>95</v>
      </c>
      <c r="K242" s="22">
        <v>7216</v>
      </c>
      <c r="L242" s="22">
        <v>28515</v>
      </c>
      <c r="M242" s="22">
        <v>10341</v>
      </c>
      <c r="N242" s="22">
        <v>2750</v>
      </c>
      <c r="O242" s="25">
        <v>3220.48</v>
      </c>
      <c r="P242" s="24">
        <v>77.599999999999994</v>
      </c>
      <c r="Q242" s="22">
        <v>1165</v>
      </c>
      <c r="R242" s="23">
        <v>380</v>
      </c>
      <c r="U242" s="19">
        <v>217</v>
      </c>
      <c r="V242" s="19">
        <v>0</v>
      </c>
      <c r="W242" s="19">
        <v>20</v>
      </c>
      <c r="X242" s="19">
        <f t="shared" si="61"/>
        <v>0.52624555544196505</v>
      </c>
      <c r="Y242" s="19">
        <f t="shared" si="62"/>
        <v>-0.31819042311411228</v>
      </c>
      <c r="Z242" s="19">
        <f t="shared" si="63"/>
        <v>0.23843519606776634</v>
      </c>
      <c r="AA242" s="19">
        <f t="shared" si="64"/>
        <v>-0.6718174989318727</v>
      </c>
      <c r="AB242" s="19">
        <f t="shared" si="65"/>
        <v>-0.2633970448304655</v>
      </c>
      <c r="AC242" s="19">
        <f t="shared" si="66"/>
        <v>-0.43068049597881375</v>
      </c>
      <c r="AD242" s="19">
        <f t="shared" si="67"/>
        <v>-0.26294345173035294</v>
      </c>
      <c r="AE242" s="19">
        <f t="shared" si="68"/>
        <v>-0.5612371367005049</v>
      </c>
      <c r="AF242" s="19">
        <f t="shared" si="69"/>
        <v>-0.48523063353431456</v>
      </c>
      <c r="AG242" s="19">
        <f t="shared" si="70"/>
        <v>-0.34822958577593449</v>
      </c>
      <c r="AH242" s="19">
        <f t="shared" si="71"/>
        <v>-0.34227614940372519</v>
      </c>
      <c r="AI242" s="19">
        <f t="shared" si="72"/>
        <v>-0.63214246795783835</v>
      </c>
      <c r="AJ242" s="19">
        <f t="shared" si="73"/>
        <v>-0.63105158343515133</v>
      </c>
      <c r="AK242" s="19">
        <f t="shared" si="74"/>
        <v>-0.4169261039126877</v>
      </c>
      <c r="AL242" s="19">
        <f t="shared" si="75"/>
        <v>-0.19602192308471969</v>
      </c>
      <c r="BV242" s="16">
        <v>0</v>
      </c>
      <c r="BW242" s="18">
        <v>214</v>
      </c>
      <c r="BX242" s="48">
        <v>1.0204431125600861</v>
      </c>
      <c r="BY242" s="48">
        <v>-0.91794280331743727</v>
      </c>
      <c r="BZ242" s="18" t="e">
        <f t="shared" si="76"/>
        <v>#N/A</v>
      </c>
    </row>
    <row r="243" spans="1:78" x14ac:dyDescent="0.3">
      <c r="A243" s="19">
        <v>218</v>
      </c>
      <c r="B243" s="19">
        <v>0</v>
      </c>
      <c r="C243" s="19">
        <v>20</v>
      </c>
      <c r="D243" s="19">
        <v>87.5873729932771</v>
      </c>
      <c r="E243" s="22">
        <v>11905</v>
      </c>
      <c r="F243" s="22">
        <v>8507</v>
      </c>
      <c r="G243" s="23">
        <v>892</v>
      </c>
      <c r="H243" s="23">
        <v>2506</v>
      </c>
      <c r="I243" s="24">
        <v>16.8</v>
      </c>
      <c r="J243" s="24">
        <v>40.1</v>
      </c>
      <c r="K243" s="22">
        <v>7391</v>
      </c>
      <c r="L243" s="22">
        <v>25004</v>
      </c>
      <c r="M243" s="22">
        <v>6767</v>
      </c>
      <c r="N243" s="22">
        <v>2451</v>
      </c>
      <c r="O243" s="25">
        <v>3393.65</v>
      </c>
      <c r="P243" s="24">
        <v>81.8</v>
      </c>
      <c r="Q243" s="22">
        <v>1731</v>
      </c>
      <c r="R243" s="23">
        <v>15</v>
      </c>
      <c r="U243" s="19">
        <v>218</v>
      </c>
      <c r="V243" s="19">
        <v>0</v>
      </c>
      <c r="W243" s="19">
        <v>20</v>
      </c>
      <c r="X243" s="19">
        <f t="shared" si="61"/>
        <v>0.92170272493423233</v>
      </c>
      <c r="Y243" s="19">
        <f t="shared" si="62"/>
        <v>-0.3332197991353047</v>
      </c>
      <c r="Z243" s="19">
        <f t="shared" si="63"/>
        <v>0.41686739592592198</v>
      </c>
      <c r="AA243" s="19">
        <f t="shared" si="64"/>
        <v>-0.75584352887738915</v>
      </c>
      <c r="AB243" s="19">
        <f t="shared" si="65"/>
        <v>-0.28506445831551364</v>
      </c>
      <c r="AC243" s="19">
        <f t="shared" si="66"/>
        <v>0.86021197775886971</v>
      </c>
      <c r="AD243" s="19">
        <f t="shared" si="67"/>
        <v>-0.30479935830257721</v>
      </c>
      <c r="AE243" s="19">
        <f t="shared" si="68"/>
        <v>-0.55226482258990273</v>
      </c>
      <c r="AF243" s="19">
        <f t="shared" si="69"/>
        <v>-0.5343998569470636</v>
      </c>
      <c r="AG243" s="19">
        <f t="shared" si="70"/>
        <v>-0.47946639516108019</v>
      </c>
      <c r="AH243" s="19">
        <f t="shared" si="71"/>
        <v>-0.35466577639843294</v>
      </c>
      <c r="AI243" s="19">
        <f t="shared" si="72"/>
        <v>-0.28113410081731754</v>
      </c>
      <c r="AJ243" s="19">
        <f t="shared" si="73"/>
        <v>-0.27768749419140981</v>
      </c>
      <c r="AK243" s="19">
        <f t="shared" si="74"/>
        <v>-0.40423627053882866</v>
      </c>
      <c r="AL243" s="19">
        <f t="shared" si="75"/>
        <v>-0.39581499440826451</v>
      </c>
      <c r="BV243" s="16">
        <v>0</v>
      </c>
      <c r="BW243" s="18">
        <v>215</v>
      </c>
      <c r="BX243" s="48">
        <v>1.0205085339105315</v>
      </c>
      <c r="BY243" s="48">
        <v>-1.5814670982847139</v>
      </c>
      <c r="BZ243" s="18" t="e">
        <f t="shared" si="76"/>
        <v>#N/A</v>
      </c>
    </row>
    <row r="244" spans="1:78" x14ac:dyDescent="0.3">
      <c r="A244" s="19">
        <v>219</v>
      </c>
      <c r="B244" s="19">
        <v>0</v>
      </c>
      <c r="C244" s="19">
        <v>22</v>
      </c>
      <c r="D244" s="19">
        <v>17.380518680253701</v>
      </c>
      <c r="E244" s="22">
        <v>25527</v>
      </c>
      <c r="F244" s="22">
        <v>3043</v>
      </c>
      <c r="G244" s="23">
        <v>8010</v>
      </c>
      <c r="H244" s="23">
        <v>14474</v>
      </c>
      <c r="I244" s="24">
        <v>6.1</v>
      </c>
      <c r="J244" s="24">
        <v>424.4</v>
      </c>
      <c r="K244" s="22">
        <v>24304</v>
      </c>
      <c r="L244" s="22">
        <v>70052</v>
      </c>
      <c r="M244" s="22">
        <v>15038</v>
      </c>
      <c r="N244" s="22">
        <v>13511</v>
      </c>
      <c r="O244" s="25">
        <v>3806.02</v>
      </c>
      <c r="P244" s="24">
        <v>91.7</v>
      </c>
      <c r="Q244" s="22">
        <v>7648</v>
      </c>
      <c r="R244" s="23">
        <v>12187</v>
      </c>
      <c r="U244" s="19">
        <v>219</v>
      </c>
      <c r="V244" s="19">
        <v>0</v>
      </c>
      <c r="W244" s="19">
        <v>22</v>
      </c>
      <c r="X244" s="19">
        <f t="shared" si="61"/>
        <v>-1.2507993303555467</v>
      </c>
      <c r="Y244" s="19">
        <f t="shared" si="62"/>
        <v>-7.7945285219240185E-2</v>
      </c>
      <c r="Z244" s="19">
        <f t="shared" si="63"/>
        <v>-0.58617122549893652</v>
      </c>
      <c r="AA244" s="19">
        <f t="shared" si="64"/>
        <v>1.2416371380356997E-3</v>
      </c>
      <c r="AB244" s="19">
        <f t="shared" si="65"/>
        <v>-2.1532339830700555E-2</v>
      </c>
      <c r="AC244" s="19">
        <f t="shared" si="66"/>
        <v>-1.1710452970930734</v>
      </c>
      <c r="AD244" s="19">
        <f t="shared" si="67"/>
        <v>-1.1808012297007425E-2</v>
      </c>
      <c r="AE244" s="19">
        <f t="shared" si="68"/>
        <v>0.31487088342503905</v>
      </c>
      <c r="AF244" s="19">
        <f t="shared" si="69"/>
        <v>9.6467467546676428E-2</v>
      </c>
      <c r="AG244" s="19">
        <f t="shared" si="70"/>
        <v>-0.17575636426445451</v>
      </c>
      <c r="AH244" s="19">
        <f t="shared" si="71"/>
        <v>0.10362611176701024</v>
      </c>
      <c r="AI244" s="19">
        <f t="shared" si="72"/>
        <v>0.55472268937576696</v>
      </c>
      <c r="AJ244" s="19">
        <f t="shared" si="73"/>
        <v>0.55524214474026645</v>
      </c>
      <c r="AK244" s="19">
        <f t="shared" si="74"/>
        <v>-0.27157594532129509</v>
      </c>
      <c r="AL244" s="19">
        <f t="shared" si="75"/>
        <v>6.266873400523755</v>
      </c>
      <c r="BV244" s="16">
        <v>0</v>
      </c>
      <c r="BW244" s="18">
        <v>216</v>
      </c>
      <c r="BX244" s="48">
        <v>0.87143498533636832</v>
      </c>
      <c r="BY244" s="48">
        <v>0.940742552798573</v>
      </c>
      <c r="BZ244" s="18" t="e">
        <f t="shared" si="76"/>
        <v>#N/A</v>
      </c>
    </row>
    <row r="245" spans="1:78" x14ac:dyDescent="0.3">
      <c r="A245" s="19">
        <v>220</v>
      </c>
      <c r="B245" s="19">
        <v>0</v>
      </c>
      <c r="C245" s="19">
        <v>22</v>
      </c>
      <c r="D245" s="19">
        <v>64.539865592530504</v>
      </c>
      <c r="E245" s="22">
        <v>26273</v>
      </c>
      <c r="F245" s="22">
        <v>258</v>
      </c>
      <c r="G245" s="23">
        <v>8214</v>
      </c>
      <c r="H245" s="23">
        <v>17801</v>
      </c>
      <c r="I245" s="24">
        <v>7.9</v>
      </c>
      <c r="J245" s="24">
        <v>227.6</v>
      </c>
      <c r="K245" s="22">
        <v>14694</v>
      </c>
      <c r="L245" s="22">
        <v>56897</v>
      </c>
      <c r="M245" s="22">
        <v>20905</v>
      </c>
      <c r="N245" s="22">
        <v>13007</v>
      </c>
      <c r="O245" s="25">
        <v>3478.22</v>
      </c>
      <c r="P245" s="24">
        <v>83.8</v>
      </c>
      <c r="Q245" s="22">
        <v>68274</v>
      </c>
      <c r="R245" s="23">
        <v>0</v>
      </c>
      <c r="U245" s="19">
        <v>220</v>
      </c>
      <c r="V245" s="19">
        <v>0</v>
      </c>
      <c r="W245" s="19">
        <v>22</v>
      </c>
      <c r="X245" s="19">
        <f t="shared" si="61"/>
        <v>0.20851371102138097</v>
      </c>
      <c r="Y245" s="19">
        <f t="shared" si="62"/>
        <v>-6.3965341937682108E-2</v>
      </c>
      <c r="Z245" s="19">
        <f t="shared" si="63"/>
        <v>-1.0974198639814092</v>
      </c>
      <c r="AA245" s="19">
        <f t="shared" si="64"/>
        <v>2.2939498035358916E-2</v>
      </c>
      <c r="AB245" s="19">
        <f t="shared" si="65"/>
        <v>5.1727299056245721E-2</v>
      </c>
      <c r="AC245" s="19">
        <f t="shared" si="66"/>
        <v>-0.82933846580956883</v>
      </c>
      <c r="AD245" s="19">
        <f t="shared" si="67"/>
        <v>-0.1618488577143796</v>
      </c>
      <c r="AE245" s="19">
        <f t="shared" si="68"/>
        <v>-0.17783733716288683</v>
      </c>
      <c r="AF245" s="19">
        <f t="shared" si="69"/>
        <v>-8.7759571472040276E-2</v>
      </c>
      <c r="AG245" s="19">
        <f t="shared" si="70"/>
        <v>3.9679103184524202E-2</v>
      </c>
      <c r="AH245" s="19">
        <f t="shared" si="71"/>
        <v>8.2741924458205232E-2</v>
      </c>
      <c r="AI245" s="19">
        <f t="shared" si="72"/>
        <v>-0.1097142382021202</v>
      </c>
      <c r="AJ245" s="19">
        <f t="shared" si="73"/>
        <v>-0.10941888026581875</v>
      </c>
      <c r="AK245" s="19">
        <f t="shared" si="74"/>
        <v>1.0876711185012824</v>
      </c>
      <c r="AL245" s="19">
        <f t="shared" si="75"/>
        <v>-0.40402566857224581</v>
      </c>
      <c r="BV245" s="16">
        <v>0</v>
      </c>
      <c r="BW245" s="18">
        <v>217</v>
      </c>
      <c r="BX245" s="48">
        <v>1.3834436160473538</v>
      </c>
      <c r="BY245" s="48">
        <v>-0.48794613846024676</v>
      </c>
      <c r="BZ245" s="18" t="e">
        <f t="shared" si="76"/>
        <v>#N/A</v>
      </c>
    </row>
    <row r="246" spans="1:78" x14ac:dyDescent="0.3">
      <c r="A246" s="19">
        <v>221</v>
      </c>
      <c r="B246" s="19">
        <v>0</v>
      </c>
      <c r="C246" s="19">
        <v>22</v>
      </c>
      <c r="D246" s="19">
        <v>56.845856625385998</v>
      </c>
      <c r="E246" s="22">
        <v>29647</v>
      </c>
      <c r="F246" s="22">
        <v>5783</v>
      </c>
      <c r="G246" s="23">
        <v>10745</v>
      </c>
      <c r="H246" s="23">
        <v>13119</v>
      </c>
      <c r="I246" s="24">
        <v>11.4</v>
      </c>
      <c r="J246" s="24">
        <v>501.4</v>
      </c>
      <c r="K246" s="22">
        <v>26632</v>
      </c>
      <c r="L246" s="22">
        <v>80336</v>
      </c>
      <c r="M246" s="22">
        <v>20321</v>
      </c>
      <c r="N246" s="22">
        <v>11541</v>
      </c>
      <c r="O246" s="25">
        <v>3560.38</v>
      </c>
      <c r="P246" s="24">
        <v>85.8</v>
      </c>
      <c r="Q246" s="22">
        <v>15144</v>
      </c>
      <c r="R246" s="23">
        <v>3352</v>
      </c>
      <c r="U246" s="19">
        <v>221</v>
      </c>
      <c r="V246" s="19">
        <v>0</v>
      </c>
      <c r="W246" s="19">
        <v>22</v>
      </c>
      <c r="X246" s="19">
        <f t="shared" si="61"/>
        <v>-2.9572020893241249E-2</v>
      </c>
      <c r="Y246" s="19">
        <f t="shared" si="62"/>
        <v>-7.3701937471031247E-4</v>
      </c>
      <c r="Z246" s="19">
        <f t="shared" si="63"/>
        <v>-8.3183337009896913E-2</v>
      </c>
      <c r="AA246" s="19">
        <f t="shared" si="64"/>
        <v>0.29214188005067787</v>
      </c>
      <c r="AB246" s="19">
        <f t="shared" si="65"/>
        <v>-5.1369072830944683E-2</v>
      </c>
      <c r="AC246" s="19">
        <f t="shared" si="66"/>
        <v>-0.16490851609164356</v>
      </c>
      <c r="AD246" s="19">
        <f t="shared" si="67"/>
        <v>4.6896993277879051E-2</v>
      </c>
      <c r="AE246" s="19">
        <f t="shared" si="68"/>
        <v>0.43422829627922133</v>
      </c>
      <c r="AF246" s="19">
        <f t="shared" si="69"/>
        <v>0.24048805814101187</v>
      </c>
      <c r="AG246" s="19">
        <f t="shared" si="70"/>
        <v>1.8234700084097482E-2</v>
      </c>
      <c r="AH246" s="19">
        <f t="shared" si="71"/>
        <v>2.1995458992514479E-2</v>
      </c>
      <c r="AI246" s="19">
        <f t="shared" si="72"/>
        <v>5.6820654933326373E-2</v>
      </c>
      <c r="AJ246" s="19">
        <f t="shared" si="73"/>
        <v>5.8849733659772308E-2</v>
      </c>
      <c r="AK246" s="19">
        <f t="shared" si="74"/>
        <v>-0.10351412381873779</v>
      </c>
      <c r="AL246" s="19">
        <f t="shared" si="75"/>
        <v>1.4307863179387736</v>
      </c>
      <c r="BV246" s="16">
        <v>0</v>
      </c>
      <c r="BW246" s="18">
        <v>218</v>
      </c>
      <c r="BX246" s="48">
        <v>1.5587494731461311</v>
      </c>
      <c r="BY246" s="48">
        <v>-0.61091441992501383</v>
      </c>
      <c r="BZ246" s="18" t="e">
        <f t="shared" si="76"/>
        <v>#N/A</v>
      </c>
    </row>
    <row r="247" spans="1:78" x14ac:dyDescent="0.3">
      <c r="A247" s="19">
        <v>222</v>
      </c>
      <c r="B247" s="19">
        <v>0</v>
      </c>
      <c r="C247" s="19">
        <v>26</v>
      </c>
      <c r="D247" s="19">
        <v>45.250203478790503</v>
      </c>
      <c r="E247" s="22">
        <v>15764</v>
      </c>
      <c r="F247" s="22">
        <v>7616</v>
      </c>
      <c r="G247" s="23">
        <v>4128</v>
      </c>
      <c r="H247" s="23">
        <v>4020</v>
      </c>
      <c r="I247" s="24">
        <v>9</v>
      </c>
      <c r="J247" s="24">
        <v>160.69999999999999</v>
      </c>
      <c r="K247" s="22">
        <v>8153</v>
      </c>
      <c r="L247" s="22">
        <v>28311</v>
      </c>
      <c r="M247" s="22">
        <v>9457</v>
      </c>
      <c r="N247" s="22">
        <v>3597</v>
      </c>
      <c r="O247" s="25">
        <v>3510.22</v>
      </c>
      <c r="P247" s="24">
        <v>84.6</v>
      </c>
      <c r="Q247" s="22">
        <v>3166</v>
      </c>
      <c r="R247" s="23">
        <v>0</v>
      </c>
      <c r="U247" s="19">
        <v>222</v>
      </c>
      <c r="V247" s="19">
        <v>0</v>
      </c>
      <c r="W247" s="19">
        <v>26</v>
      </c>
      <c r="X247" s="19">
        <f t="shared" si="61"/>
        <v>-0.38839140597902283</v>
      </c>
      <c r="Y247" s="19">
        <f t="shared" si="62"/>
        <v>-0.26090263945228509</v>
      </c>
      <c r="Z247" s="19">
        <f t="shared" si="63"/>
        <v>0.25330454605594599</v>
      </c>
      <c r="AA247" s="19">
        <f t="shared" si="64"/>
        <v>-0.41165589229043847</v>
      </c>
      <c r="AB247" s="19">
        <f t="shared" si="65"/>
        <v>-0.25172658838018552</v>
      </c>
      <c r="AC247" s="19">
        <f t="shared" si="66"/>
        <v>-0.62051762446964953</v>
      </c>
      <c r="AD247" s="19">
        <f t="shared" si="67"/>
        <v>-0.21285359632424852</v>
      </c>
      <c r="AE247" s="19">
        <f t="shared" si="68"/>
        <v>-0.51319680343402352</v>
      </c>
      <c r="AF247" s="19">
        <f t="shared" si="69"/>
        <v>-0.4880875180618568</v>
      </c>
      <c r="AG247" s="19">
        <f t="shared" si="70"/>
        <v>-0.38068994937315576</v>
      </c>
      <c r="AH247" s="19">
        <f t="shared" si="71"/>
        <v>-0.30717911239865014</v>
      </c>
      <c r="AI247" s="19">
        <f t="shared" si="72"/>
        <v>-4.4851572910807269E-2</v>
      </c>
      <c r="AJ247" s="19">
        <f t="shared" si="73"/>
        <v>-4.2111434695582567E-2</v>
      </c>
      <c r="AK247" s="19">
        <f t="shared" si="74"/>
        <v>-0.3720632830980376</v>
      </c>
      <c r="AL247" s="19">
        <f t="shared" si="75"/>
        <v>-0.40402566857224581</v>
      </c>
      <c r="BV247" s="16">
        <v>0</v>
      </c>
      <c r="BW247" s="18">
        <v>219</v>
      </c>
      <c r="BX247" s="48">
        <v>-0.42629419060423512</v>
      </c>
      <c r="BY247" s="48">
        <v>2.032378683057193</v>
      </c>
      <c r="BZ247" s="18" t="e">
        <f t="shared" si="76"/>
        <v>#N/A</v>
      </c>
    </row>
    <row r="248" spans="1:78" x14ac:dyDescent="0.3">
      <c r="A248" s="19">
        <v>223</v>
      </c>
      <c r="B248" s="19">
        <v>0</v>
      </c>
      <c r="C248" s="19">
        <v>22</v>
      </c>
      <c r="D248" s="19">
        <v>47.549757461707799</v>
      </c>
      <c r="E248" s="22">
        <v>15027</v>
      </c>
      <c r="F248" s="22">
        <v>2013</v>
      </c>
      <c r="G248" s="23">
        <v>4997</v>
      </c>
      <c r="H248" s="23">
        <v>8017</v>
      </c>
      <c r="I248" s="24">
        <v>12</v>
      </c>
      <c r="J248" s="24">
        <v>269.10000000000002</v>
      </c>
      <c r="K248" s="22">
        <v>18155</v>
      </c>
      <c r="L248" s="22">
        <v>52424</v>
      </c>
      <c r="M248" s="22">
        <v>12501</v>
      </c>
      <c r="N248" s="22">
        <v>11944</v>
      </c>
      <c r="O248" s="25">
        <v>3584.09</v>
      </c>
      <c r="P248" s="24">
        <v>86.3</v>
      </c>
      <c r="Q248" s="22">
        <v>10739</v>
      </c>
      <c r="R248" s="23">
        <v>4918</v>
      </c>
      <c r="U248" s="19">
        <v>223</v>
      </c>
      <c r="V248" s="19">
        <v>0</v>
      </c>
      <c r="W248" s="19">
        <v>22</v>
      </c>
      <c r="X248" s="19">
        <f t="shared" si="61"/>
        <v>-0.3172333146071537</v>
      </c>
      <c r="Y248" s="19">
        <f t="shared" si="62"/>
        <v>-0.27471392390068766</v>
      </c>
      <c r="Z248" s="19">
        <f t="shared" si="63"/>
        <v>-0.77525061423751707</v>
      </c>
      <c r="AA248" s="19">
        <f t="shared" si="64"/>
        <v>-0.31922725935037044</v>
      </c>
      <c r="AB248" s="19">
        <f t="shared" si="65"/>
        <v>-0.16371373096175321</v>
      </c>
      <c r="AC248" s="19">
        <f t="shared" si="66"/>
        <v>-5.1006238997142156E-2</v>
      </c>
      <c r="AD248" s="19">
        <f t="shared" si="67"/>
        <v>-0.13020914691752519</v>
      </c>
      <c r="AE248" s="19">
        <f t="shared" si="68"/>
        <v>-3.9059923834868361E-4</v>
      </c>
      <c r="AF248" s="19">
        <f t="shared" si="69"/>
        <v>-0.15040096603917977</v>
      </c>
      <c r="AG248" s="19">
        <f t="shared" si="70"/>
        <v>-0.26891467019901372</v>
      </c>
      <c r="AH248" s="19">
        <f t="shared" si="71"/>
        <v>3.8694521463642294E-2</v>
      </c>
      <c r="AI248" s="19">
        <f t="shared" si="72"/>
        <v>0.10487983599760861</v>
      </c>
      <c r="AJ248" s="19">
        <f t="shared" si="73"/>
        <v>0.10091688714117007</v>
      </c>
      <c r="AK248" s="19">
        <f t="shared" si="74"/>
        <v>-0.20227510617182809</v>
      </c>
      <c r="AL248" s="19">
        <f t="shared" si="75"/>
        <v>2.2879807006584207</v>
      </c>
      <c r="BV248" s="16">
        <v>0</v>
      </c>
      <c r="BW248" s="18">
        <v>220</v>
      </c>
      <c r="BX248" s="48">
        <v>-0.32918151990736161</v>
      </c>
      <c r="BY248" s="48">
        <v>0.48609248652715181</v>
      </c>
      <c r="BZ248" s="18" t="e">
        <f t="shared" si="76"/>
        <v>#N/A</v>
      </c>
    </row>
    <row r="249" spans="1:78" x14ac:dyDescent="0.3">
      <c r="A249" s="19">
        <v>224</v>
      </c>
      <c r="B249" s="19">
        <v>0</v>
      </c>
      <c r="C249" s="19">
        <v>22</v>
      </c>
      <c r="D249" s="19">
        <v>92.857839530625796</v>
      </c>
      <c r="E249" s="22">
        <v>23892</v>
      </c>
      <c r="F249" s="22">
        <v>3913</v>
      </c>
      <c r="G249" s="23">
        <v>9865</v>
      </c>
      <c r="H249" s="23">
        <v>10114</v>
      </c>
      <c r="I249" s="24">
        <v>9.1</v>
      </c>
      <c r="J249" s="24">
        <v>276.5</v>
      </c>
      <c r="K249" s="22">
        <v>17155</v>
      </c>
      <c r="L249" s="22">
        <v>53192</v>
      </c>
      <c r="M249" s="22">
        <v>13117</v>
      </c>
      <c r="N249" s="22">
        <v>7889</v>
      </c>
      <c r="O249" s="25">
        <v>3771.88</v>
      </c>
      <c r="P249" s="24">
        <v>90.9</v>
      </c>
      <c r="Q249" s="22">
        <v>19363</v>
      </c>
      <c r="R249" s="23">
        <v>138</v>
      </c>
      <c r="U249" s="19">
        <v>224</v>
      </c>
      <c r="V249" s="19">
        <v>0</v>
      </c>
      <c r="W249" s="19">
        <v>22</v>
      </c>
      <c r="X249" s="19">
        <f t="shared" si="61"/>
        <v>1.0847936296153449</v>
      </c>
      <c r="Y249" s="19">
        <f t="shared" si="62"/>
        <v>-0.10858497324249415</v>
      </c>
      <c r="Z249" s="19">
        <f t="shared" si="63"/>
        <v>-0.42646339229256258</v>
      </c>
      <c r="AA249" s="19">
        <f t="shared" si="64"/>
        <v>0.19854326441516593</v>
      </c>
      <c r="AB249" s="19">
        <f t="shared" si="65"/>
        <v>-0.11753835893111708</v>
      </c>
      <c r="AC249" s="19">
        <f t="shared" si="66"/>
        <v>-0.60153391162056602</v>
      </c>
      <c r="AD249" s="19">
        <f t="shared" si="67"/>
        <v>-0.12456736716097767</v>
      </c>
      <c r="AE249" s="19">
        <f t="shared" si="68"/>
        <v>-5.1660965584646903E-2</v>
      </c>
      <c r="AF249" s="19">
        <f t="shared" si="69"/>
        <v>-0.13964563605313837</v>
      </c>
      <c r="AG249" s="19">
        <f t="shared" si="70"/>
        <v>-0.24629523131226227</v>
      </c>
      <c r="AH249" s="19">
        <f t="shared" si="71"/>
        <v>-0.12933202523715989</v>
      </c>
      <c r="AI249" s="19">
        <f t="shared" si="72"/>
        <v>0.48552233334309775</v>
      </c>
      <c r="AJ249" s="19">
        <f t="shared" si="73"/>
        <v>0.48793469917003024</v>
      </c>
      <c r="AK249" s="19">
        <f t="shared" si="74"/>
        <v>-8.9232987227813674E-3</v>
      </c>
      <c r="AL249" s="19">
        <f t="shared" si="75"/>
        <v>-0.32848746626361791</v>
      </c>
      <c r="BV249" s="16">
        <v>0</v>
      </c>
      <c r="BW249" s="18">
        <v>221</v>
      </c>
      <c r="BX249" s="48">
        <v>-0.32777489731046539</v>
      </c>
      <c r="BY249" s="48">
        <v>0.21449621084626336</v>
      </c>
      <c r="BZ249" s="18" t="e">
        <f t="shared" si="76"/>
        <v>#N/A</v>
      </c>
    </row>
    <row r="250" spans="1:78" x14ac:dyDescent="0.3">
      <c r="A250" s="19">
        <v>225</v>
      </c>
      <c r="B250" s="19">
        <v>1</v>
      </c>
      <c r="C250" s="19">
        <v>26</v>
      </c>
      <c r="D250" s="19">
        <v>0</v>
      </c>
      <c r="E250" s="22">
        <v>75421</v>
      </c>
      <c r="F250" s="22">
        <v>1389</v>
      </c>
      <c r="G250" s="23">
        <v>20108</v>
      </c>
      <c r="H250" s="23">
        <v>53924</v>
      </c>
      <c r="I250" s="24">
        <v>8.8000000000000007</v>
      </c>
      <c r="J250" s="24">
        <v>892.9</v>
      </c>
      <c r="K250" s="22">
        <v>30773</v>
      </c>
      <c r="L250" s="22">
        <v>121015</v>
      </c>
      <c r="M250" s="22">
        <v>46258</v>
      </c>
      <c r="N250" s="22">
        <v>28860</v>
      </c>
      <c r="O250" s="25">
        <v>3845.52</v>
      </c>
      <c r="P250" s="24">
        <v>92.6</v>
      </c>
      <c r="Q250" s="22">
        <v>58602</v>
      </c>
      <c r="R250" s="23">
        <v>0</v>
      </c>
      <c r="U250" s="19">
        <v>225</v>
      </c>
      <c r="V250" s="19">
        <v>1</v>
      </c>
      <c r="W250" s="19">
        <v>26</v>
      </c>
      <c r="X250" s="19">
        <f t="shared" si="61"/>
        <v>-1.7886273376680637</v>
      </c>
      <c r="Y250" s="19">
        <f t="shared" si="62"/>
        <v>0.85706180605429705</v>
      </c>
      <c r="Z250" s="19">
        <f t="shared" si="63"/>
        <v>-0.88979968081312311</v>
      </c>
      <c r="AA250" s="19">
        <f t="shared" si="64"/>
        <v>1.2880098779998803</v>
      </c>
      <c r="AB250" s="19">
        <f t="shared" si="65"/>
        <v>0.84714597519485724</v>
      </c>
      <c r="AC250" s="19">
        <f t="shared" si="66"/>
        <v>-0.65848505016781655</v>
      </c>
      <c r="AD250" s="19">
        <f t="shared" si="67"/>
        <v>0.34537763850603564</v>
      </c>
      <c r="AE250" s="19">
        <f t="shared" si="68"/>
        <v>0.64653888331924225</v>
      </c>
      <c r="AF250" s="19">
        <f t="shared" si="69"/>
        <v>0.81017043900322228</v>
      </c>
      <c r="AG250" s="19">
        <f t="shared" si="70"/>
        <v>0.97063792476863142</v>
      </c>
      <c r="AH250" s="19">
        <f t="shared" si="71"/>
        <v>0.73964077645520065</v>
      </c>
      <c r="AI250" s="19">
        <f t="shared" si="72"/>
        <v>0.63478754184473141</v>
      </c>
      <c r="AJ250" s="19">
        <f t="shared" si="73"/>
        <v>0.6309630210067817</v>
      </c>
      <c r="AK250" s="19">
        <f t="shared" si="74"/>
        <v>0.87082294113031988</v>
      </c>
      <c r="AL250" s="19">
        <f t="shared" si="75"/>
        <v>-0.40402566857224581</v>
      </c>
      <c r="BV250" s="16">
        <v>0</v>
      </c>
      <c r="BW250" s="18">
        <v>222</v>
      </c>
      <c r="BX250" s="48">
        <v>0.93602041713573825</v>
      </c>
      <c r="BY250" s="48">
        <v>0.35936429345789855</v>
      </c>
      <c r="BZ250" s="18" t="e">
        <f t="shared" si="76"/>
        <v>#N/A</v>
      </c>
    </row>
    <row r="251" spans="1:78" x14ac:dyDescent="0.3">
      <c r="A251" s="19">
        <v>226</v>
      </c>
      <c r="B251" s="19">
        <v>0</v>
      </c>
      <c r="C251" s="19">
        <v>26</v>
      </c>
      <c r="D251" s="19">
        <v>41.020905223207798</v>
      </c>
      <c r="E251" s="22">
        <v>27469</v>
      </c>
      <c r="F251" s="22">
        <v>7746</v>
      </c>
      <c r="G251" s="23">
        <v>11569</v>
      </c>
      <c r="H251" s="23">
        <v>8154</v>
      </c>
      <c r="I251" s="24">
        <v>12.7</v>
      </c>
      <c r="J251" s="24">
        <v>283.3</v>
      </c>
      <c r="K251" s="22">
        <v>14977</v>
      </c>
      <c r="L251" s="22">
        <v>56394</v>
      </c>
      <c r="M251" s="22">
        <v>20661</v>
      </c>
      <c r="N251" s="22">
        <v>7192</v>
      </c>
      <c r="O251" s="25">
        <v>3387.74</v>
      </c>
      <c r="P251" s="24">
        <v>81.599999999999994</v>
      </c>
      <c r="Q251" s="22">
        <v>27751</v>
      </c>
      <c r="R251" s="23">
        <v>100</v>
      </c>
      <c r="U251" s="19">
        <v>226</v>
      </c>
      <c r="V251" s="19">
        <v>0</v>
      </c>
      <c r="W251" s="19">
        <v>26</v>
      </c>
      <c r="X251" s="19">
        <f t="shared" si="61"/>
        <v>-0.51926408561398685</v>
      </c>
      <c r="Y251" s="19">
        <f t="shared" si="62"/>
        <v>-4.1552456998347705E-2</v>
      </c>
      <c r="Z251" s="19">
        <f t="shared" si="63"/>
        <v>0.27716893492586392</v>
      </c>
      <c r="AA251" s="19">
        <f t="shared" si="64"/>
        <v>0.37978422014574809</v>
      </c>
      <c r="AB251" s="19">
        <f t="shared" si="65"/>
        <v>-0.16069702806800157</v>
      </c>
      <c r="AC251" s="19">
        <f t="shared" si="66"/>
        <v>8.1879750946442759E-2</v>
      </c>
      <c r="AD251" s="19">
        <f t="shared" si="67"/>
        <v>-0.11938302900631237</v>
      </c>
      <c r="AE251" s="19">
        <f t="shared" si="68"/>
        <v>-0.16332782348688443</v>
      </c>
      <c r="AF251" s="19">
        <f t="shared" si="69"/>
        <v>-9.4803752439460612E-2</v>
      </c>
      <c r="AG251" s="19">
        <f t="shared" si="70"/>
        <v>3.071945531379797E-2</v>
      </c>
      <c r="AH251" s="19">
        <f t="shared" si="71"/>
        <v>-0.15821353030509061</v>
      </c>
      <c r="AI251" s="19">
        <f t="shared" si="72"/>
        <v>-0.29311342431330756</v>
      </c>
      <c r="AJ251" s="19">
        <f t="shared" si="73"/>
        <v>-0.29451435558396916</v>
      </c>
      <c r="AK251" s="19">
        <f t="shared" si="74"/>
        <v>0.17913734145377289</v>
      </c>
      <c r="AL251" s="19">
        <f t="shared" si="75"/>
        <v>-0.34928784081237052</v>
      </c>
      <c r="BV251" s="16">
        <v>0</v>
      </c>
      <c r="BW251" s="18">
        <v>223</v>
      </c>
      <c r="BX251" s="48">
        <v>0.38195609317238222</v>
      </c>
      <c r="BY251" s="48">
        <v>0.81142963029959447</v>
      </c>
      <c r="BZ251" s="18" t="e">
        <f t="shared" si="76"/>
        <v>#N/A</v>
      </c>
    </row>
    <row r="252" spans="1:78" x14ac:dyDescent="0.3">
      <c r="A252" s="19">
        <v>227</v>
      </c>
      <c r="B252" s="19">
        <v>0</v>
      </c>
      <c r="C252" s="19">
        <v>26</v>
      </c>
      <c r="D252" s="19">
        <v>56.698162011620497</v>
      </c>
      <c r="E252" s="22">
        <v>24936</v>
      </c>
      <c r="F252" s="22">
        <v>11221</v>
      </c>
      <c r="G252" s="23">
        <v>6117</v>
      </c>
      <c r="H252" s="23">
        <v>7598</v>
      </c>
      <c r="I252" s="24">
        <v>9.6</v>
      </c>
      <c r="J252" s="24">
        <v>212.7</v>
      </c>
      <c r="K252" s="22">
        <v>13091</v>
      </c>
      <c r="L252" s="22">
        <v>45818</v>
      </c>
      <c r="M252" s="22">
        <v>14127</v>
      </c>
      <c r="N252" s="22">
        <v>5097</v>
      </c>
      <c r="O252" s="25">
        <v>3760.61</v>
      </c>
      <c r="P252" s="24">
        <v>90.6</v>
      </c>
      <c r="Q252" s="22">
        <v>1207</v>
      </c>
      <c r="R252" s="23">
        <v>27</v>
      </c>
      <c r="U252" s="19">
        <v>227</v>
      </c>
      <c r="V252" s="19">
        <v>0</v>
      </c>
      <c r="W252" s="19">
        <v>26</v>
      </c>
      <c r="X252" s="19">
        <f t="shared" si="61"/>
        <v>-3.4142327526410859E-2</v>
      </c>
      <c r="Y252" s="19">
        <f t="shared" si="62"/>
        <v>-8.9020548596453086E-2</v>
      </c>
      <c r="Z252" s="19">
        <f t="shared" si="63"/>
        <v>0.91508240664097795</v>
      </c>
      <c r="AA252" s="19">
        <f t="shared" si="64"/>
        <v>-0.20010174854153709</v>
      </c>
      <c r="AB252" s="19">
        <f t="shared" si="65"/>
        <v>-0.17293999747621983</v>
      </c>
      <c r="AC252" s="19">
        <f t="shared" si="66"/>
        <v>-0.50661534737514813</v>
      </c>
      <c r="AD252" s="19">
        <f t="shared" si="67"/>
        <v>-0.17320865749445505</v>
      </c>
      <c r="AE252" s="19">
        <f t="shared" si="68"/>
        <v>-0.26002373441600285</v>
      </c>
      <c r="AF252" s="19">
        <f t="shared" si="69"/>
        <v>-0.24291360912223886</v>
      </c>
      <c r="AG252" s="19">
        <f t="shared" si="70"/>
        <v>-0.20920816430638728</v>
      </c>
      <c r="AH252" s="19">
        <f t="shared" si="71"/>
        <v>-0.24502379302720667</v>
      </c>
      <c r="AI252" s="19">
        <f t="shared" si="72"/>
        <v>0.46267851341081351</v>
      </c>
      <c r="AJ252" s="19">
        <f t="shared" si="73"/>
        <v>0.46269440708119064</v>
      </c>
      <c r="AK252" s="19">
        <f t="shared" si="74"/>
        <v>-0.41598445549978652</v>
      </c>
      <c r="AL252" s="19">
        <f t="shared" si="75"/>
        <v>-0.38924645507707945</v>
      </c>
      <c r="BV252" s="16">
        <v>0</v>
      </c>
      <c r="BW252" s="18">
        <v>224</v>
      </c>
      <c r="BX252" s="48">
        <v>4.8469522183928554E-2</v>
      </c>
      <c r="BY252" s="48">
        <v>0.7587920298329105</v>
      </c>
      <c r="BZ252" s="18" t="e">
        <f t="shared" si="76"/>
        <v>#N/A</v>
      </c>
    </row>
    <row r="253" spans="1:78" x14ac:dyDescent="0.3">
      <c r="A253" s="19">
        <v>228</v>
      </c>
      <c r="B253" s="19">
        <v>0</v>
      </c>
      <c r="C253" s="19">
        <v>26</v>
      </c>
      <c r="D253" s="19">
        <v>36.301602835383797</v>
      </c>
      <c r="E253" s="22">
        <v>19743</v>
      </c>
      <c r="F253" s="22">
        <v>6511</v>
      </c>
      <c r="G253" s="23">
        <v>5917</v>
      </c>
      <c r="H253" s="23">
        <v>7315</v>
      </c>
      <c r="I253" s="24">
        <v>17.2</v>
      </c>
      <c r="J253" s="24">
        <v>198.1</v>
      </c>
      <c r="K253" s="22">
        <v>13535</v>
      </c>
      <c r="L253" s="22">
        <v>50775</v>
      </c>
      <c r="M253" s="22">
        <v>18026</v>
      </c>
      <c r="N253" s="22">
        <v>6417</v>
      </c>
      <c r="O253" s="25">
        <v>3355.31</v>
      </c>
      <c r="P253" s="24">
        <v>80.8</v>
      </c>
      <c r="Q253" s="22">
        <v>3989</v>
      </c>
      <c r="R253" s="23">
        <v>150</v>
      </c>
      <c r="U253" s="19">
        <v>228</v>
      </c>
      <c r="V253" s="19">
        <v>0</v>
      </c>
      <c r="W253" s="19">
        <v>26</v>
      </c>
      <c r="X253" s="19">
        <f t="shared" si="61"/>
        <v>-0.66529960076994399</v>
      </c>
      <c r="Y253" s="19">
        <f t="shared" si="62"/>
        <v>-0.18633669532719183</v>
      </c>
      <c r="Z253" s="19">
        <f t="shared" si="63"/>
        <v>5.0457240661643525E-2</v>
      </c>
      <c r="AA253" s="19">
        <f t="shared" si="64"/>
        <v>-0.22137416118597161</v>
      </c>
      <c r="AB253" s="19">
        <f t="shared" si="65"/>
        <v>-0.17917158082608631</v>
      </c>
      <c r="AC253" s="19">
        <f t="shared" si="66"/>
        <v>0.93614682915520375</v>
      </c>
      <c r="AD253" s="19">
        <f t="shared" si="67"/>
        <v>-0.18433973647358937</v>
      </c>
      <c r="AE253" s="19">
        <f t="shared" si="68"/>
        <v>-0.23725969175824646</v>
      </c>
      <c r="AF253" s="19">
        <f t="shared" si="69"/>
        <v>-0.17349411597014622</v>
      </c>
      <c r="AG253" s="19">
        <f t="shared" si="70"/>
        <v>-6.6037397716380813E-2</v>
      </c>
      <c r="AH253" s="19">
        <f t="shared" si="71"/>
        <v>-0.19032711198033642</v>
      </c>
      <c r="AI253" s="19">
        <f t="shared" si="72"/>
        <v>-0.35884768166947212</v>
      </c>
      <c r="AJ253" s="19">
        <f t="shared" si="73"/>
        <v>-0.36182180115420537</v>
      </c>
      <c r="AK253" s="19">
        <f t="shared" si="74"/>
        <v>-0.35361145824523549</v>
      </c>
      <c r="AL253" s="19">
        <f t="shared" si="75"/>
        <v>-0.32191892693243285</v>
      </c>
      <c r="BV253" s="16">
        <v>1</v>
      </c>
      <c r="BW253" s="18">
        <v>225</v>
      </c>
      <c r="BX253" s="48">
        <v>-2.8151608731835376</v>
      </c>
      <c r="BY253" s="48">
        <v>0.92366926784443426</v>
      </c>
      <c r="BZ253" s="18">
        <f t="shared" si="76"/>
        <v>0.92366926784443426</v>
      </c>
    </row>
    <row r="254" spans="1:78" x14ac:dyDescent="0.3">
      <c r="A254" s="19">
        <v>229</v>
      </c>
      <c r="B254" s="19">
        <v>0</v>
      </c>
      <c r="C254" s="19">
        <v>22</v>
      </c>
      <c r="D254" s="19">
        <v>11.218695145157399</v>
      </c>
      <c r="E254" s="22">
        <v>18280</v>
      </c>
      <c r="F254" s="22">
        <v>5565</v>
      </c>
      <c r="G254" s="23">
        <v>5428</v>
      </c>
      <c r="H254" s="23">
        <v>7287</v>
      </c>
      <c r="I254" s="24">
        <v>10.5</v>
      </c>
      <c r="J254" s="24">
        <v>174.3</v>
      </c>
      <c r="K254" s="22">
        <v>16106</v>
      </c>
      <c r="L254" s="22">
        <v>44408</v>
      </c>
      <c r="M254" s="22">
        <v>11110</v>
      </c>
      <c r="N254" s="22">
        <v>6051</v>
      </c>
      <c r="O254" s="25">
        <v>3117.95</v>
      </c>
      <c r="P254" s="24">
        <v>75.099999999999994</v>
      </c>
      <c r="Q254" s="22">
        <v>3013</v>
      </c>
      <c r="R254" s="23">
        <v>871</v>
      </c>
      <c r="U254" s="19">
        <v>229</v>
      </c>
      <c r="V254" s="19">
        <v>0</v>
      </c>
      <c r="W254" s="19">
        <v>22</v>
      </c>
      <c r="X254" s="19">
        <f t="shared" si="61"/>
        <v>-1.4414726545675167</v>
      </c>
      <c r="Y254" s="19">
        <f t="shared" si="62"/>
        <v>-0.21375312565014018</v>
      </c>
      <c r="Z254" s="19">
        <f t="shared" si="63"/>
        <v>-0.12320208142252853</v>
      </c>
      <c r="AA254" s="19">
        <f t="shared" si="64"/>
        <v>-0.27338521010161404</v>
      </c>
      <c r="AB254" s="19">
        <f t="shared" si="65"/>
        <v>-0.17978813324232751</v>
      </c>
      <c r="AC254" s="19">
        <f t="shared" si="66"/>
        <v>-0.3357619317333958</v>
      </c>
      <c r="AD254" s="19">
        <f t="shared" si="67"/>
        <v>-0.20248492001491791</v>
      </c>
      <c r="AE254" s="19">
        <f t="shared" si="68"/>
        <v>-0.10544357988191373</v>
      </c>
      <c r="AF254" s="19">
        <f t="shared" si="69"/>
        <v>-0.26265972276848676</v>
      </c>
      <c r="AG254" s="19">
        <f t="shared" si="70"/>
        <v>-0.31999200703581782</v>
      </c>
      <c r="AH254" s="19">
        <f t="shared" si="71"/>
        <v>-0.20549300990696862</v>
      </c>
      <c r="AI254" s="19">
        <f t="shared" si="72"/>
        <v>-0.83996650146778606</v>
      </c>
      <c r="AJ254" s="19">
        <f t="shared" si="73"/>
        <v>-0.84138735084214011</v>
      </c>
      <c r="AK254" s="19">
        <f t="shared" si="74"/>
        <v>-0.37549357374503484</v>
      </c>
      <c r="AL254" s="19">
        <f t="shared" si="75"/>
        <v>7.2740811216267964E-2</v>
      </c>
      <c r="BV254" s="16">
        <v>0</v>
      </c>
      <c r="BW254" s="18">
        <v>226</v>
      </c>
      <c r="BX254" s="48">
        <v>0.14154062689514429</v>
      </c>
      <c r="BY254" s="48">
        <v>-0.28826023710304077</v>
      </c>
      <c r="BZ254" s="18" t="e">
        <f t="shared" si="76"/>
        <v>#N/A</v>
      </c>
    </row>
    <row r="255" spans="1:78" x14ac:dyDescent="0.3">
      <c r="A255" s="19">
        <v>230</v>
      </c>
      <c r="B255" s="19">
        <v>0</v>
      </c>
      <c r="C255" s="19">
        <v>22</v>
      </c>
      <c r="D255" s="19">
        <v>90.010798683011402</v>
      </c>
      <c r="E255" s="22">
        <v>12473</v>
      </c>
      <c r="F255" s="22">
        <v>1402</v>
      </c>
      <c r="G255" s="23">
        <v>4425</v>
      </c>
      <c r="H255" s="23">
        <v>6646</v>
      </c>
      <c r="I255" s="24">
        <v>14.7</v>
      </c>
      <c r="J255" s="24">
        <v>457.9</v>
      </c>
      <c r="K255" s="22">
        <v>13121</v>
      </c>
      <c r="L255" s="22">
        <v>41779</v>
      </c>
      <c r="M255" s="22">
        <v>11287</v>
      </c>
      <c r="N255" s="22">
        <v>8291</v>
      </c>
      <c r="O255" s="25">
        <v>3554.76</v>
      </c>
      <c r="P255" s="24">
        <v>85.6</v>
      </c>
      <c r="Q255" s="22">
        <v>13324</v>
      </c>
      <c r="R255" s="23">
        <v>626</v>
      </c>
      <c r="U255" s="19">
        <v>230</v>
      </c>
      <c r="V255" s="19">
        <v>0</v>
      </c>
      <c r="W255" s="19">
        <v>22</v>
      </c>
      <c r="X255" s="19">
        <f t="shared" si="61"/>
        <v>0.9966939397281015</v>
      </c>
      <c r="Y255" s="19">
        <f t="shared" si="62"/>
        <v>-0.32257555277615596</v>
      </c>
      <c r="Z255" s="19">
        <f t="shared" si="63"/>
        <v>-0.88741324192613136</v>
      </c>
      <c r="AA255" s="19">
        <f t="shared" si="64"/>
        <v>-0.38006635951345319</v>
      </c>
      <c r="AB255" s="19">
        <f t="shared" si="65"/>
        <v>-0.19390277962842087</v>
      </c>
      <c r="AC255" s="19">
        <f t="shared" si="66"/>
        <v>0.46155400792811435</v>
      </c>
      <c r="AD255" s="19">
        <f t="shared" si="67"/>
        <v>1.3732477141417211E-2</v>
      </c>
      <c r="AE255" s="19">
        <f t="shared" si="68"/>
        <v>-0.25848562342561393</v>
      </c>
      <c r="AF255" s="19">
        <f t="shared" si="69"/>
        <v>-0.29947712190039144</v>
      </c>
      <c r="AG255" s="19">
        <f t="shared" si="70"/>
        <v>-0.31349259034270899</v>
      </c>
      <c r="AH255" s="19">
        <f t="shared" si="71"/>
        <v>-0.11267439964561304</v>
      </c>
      <c r="AI255" s="19">
        <f t="shared" si="72"/>
        <v>4.5429149341539757E-2</v>
      </c>
      <c r="AJ255" s="19">
        <f t="shared" si="73"/>
        <v>4.2022872267212963E-2</v>
      </c>
      <c r="AK255" s="19">
        <f t="shared" si="74"/>
        <v>-0.14431888837778986</v>
      </c>
      <c r="AL255" s="19">
        <f t="shared" si="75"/>
        <v>-6.1366866795426488E-2</v>
      </c>
      <c r="BV255" s="16">
        <v>0</v>
      </c>
      <c r="BW255" s="18">
        <v>227</v>
      </c>
      <c r="BX255" s="48">
        <v>0.43383219841031101</v>
      </c>
      <c r="BY255" s="48">
        <v>0.46101951326066665</v>
      </c>
      <c r="BZ255" s="18" t="e">
        <f t="shared" si="76"/>
        <v>#N/A</v>
      </c>
    </row>
    <row r="256" spans="1:78" x14ac:dyDescent="0.3">
      <c r="A256" s="19">
        <v>231</v>
      </c>
      <c r="B256" s="19">
        <v>0</v>
      </c>
      <c r="C256" s="19">
        <v>22</v>
      </c>
      <c r="D256" s="19">
        <v>119.84268387407801</v>
      </c>
      <c r="E256" s="22">
        <v>21733</v>
      </c>
      <c r="F256" s="22">
        <v>4732</v>
      </c>
      <c r="G256" s="23">
        <v>9723</v>
      </c>
      <c r="H256" s="23">
        <v>7278</v>
      </c>
      <c r="I256" s="24">
        <v>15.4</v>
      </c>
      <c r="J256" s="24">
        <v>345.5</v>
      </c>
      <c r="K256" s="22">
        <v>19226</v>
      </c>
      <c r="L256" s="22">
        <v>63258</v>
      </c>
      <c r="M256" s="22">
        <v>15656</v>
      </c>
      <c r="N256" s="22">
        <v>9125</v>
      </c>
      <c r="O256" s="25">
        <v>3497.25</v>
      </c>
      <c r="P256" s="24">
        <v>84.3</v>
      </c>
      <c r="Q256" s="22">
        <v>6916</v>
      </c>
      <c r="R256" s="23">
        <v>674</v>
      </c>
      <c r="U256" s="19">
        <v>231</v>
      </c>
      <c r="V256" s="19">
        <v>0</v>
      </c>
      <c r="W256" s="19">
        <v>22</v>
      </c>
      <c r="X256" s="19">
        <f t="shared" si="61"/>
        <v>1.9198207843208048</v>
      </c>
      <c r="Y256" s="19">
        <f t="shared" si="62"/>
        <v>-0.14904435332946986</v>
      </c>
      <c r="Z256" s="19">
        <f t="shared" si="63"/>
        <v>-0.27611774241207959</v>
      </c>
      <c r="AA256" s="19">
        <f t="shared" si="64"/>
        <v>0.18343985143761743</v>
      </c>
      <c r="AB256" s="19">
        <f t="shared" si="65"/>
        <v>-0.17998631080469077</v>
      </c>
      <c r="AC256" s="19">
        <f t="shared" si="66"/>
        <v>0.59443999787169954</v>
      </c>
      <c r="AD256" s="19">
        <f t="shared" si="67"/>
        <v>-7.1961582944520958E-2</v>
      </c>
      <c r="AE256" s="19">
        <f t="shared" si="68"/>
        <v>5.4519963118536713E-2</v>
      </c>
      <c r="AF256" s="19">
        <f t="shared" si="69"/>
        <v>1.322009310784274E-3</v>
      </c>
      <c r="AG256" s="19">
        <f t="shared" si="70"/>
        <v>-0.15306348564105773</v>
      </c>
      <c r="AH256" s="19">
        <f t="shared" si="71"/>
        <v>-7.8116042075090472E-2</v>
      </c>
      <c r="AI256" s="19">
        <f t="shared" si="72"/>
        <v>-7.1141221936692131E-2</v>
      </c>
      <c r="AJ256" s="19">
        <f t="shared" si="73"/>
        <v>-6.7351726784420987E-2</v>
      </c>
      <c r="AK256" s="19">
        <f t="shared" si="74"/>
        <v>-0.28798753194614463</v>
      </c>
      <c r="AL256" s="19">
        <f t="shared" si="75"/>
        <v>-3.5092709470686351E-2</v>
      </c>
      <c r="BV256" s="16">
        <v>0</v>
      </c>
      <c r="BW256" s="18">
        <v>228</v>
      </c>
      <c r="BX256" s="48">
        <v>0.76865874000361856</v>
      </c>
      <c r="BY256" s="48">
        <v>-0.46640468362521825</v>
      </c>
      <c r="BZ256" s="18" t="e">
        <f t="shared" si="76"/>
        <v>#N/A</v>
      </c>
    </row>
    <row r="257" spans="1:78" x14ac:dyDescent="0.3">
      <c r="A257" s="19">
        <v>232</v>
      </c>
      <c r="B257" s="19">
        <v>0</v>
      </c>
      <c r="C257" s="19">
        <v>26</v>
      </c>
      <c r="D257" s="19">
        <v>66.654196711141097</v>
      </c>
      <c r="E257" s="22">
        <v>17140</v>
      </c>
      <c r="F257" s="22">
        <v>10950</v>
      </c>
      <c r="G257" s="23">
        <v>1929</v>
      </c>
      <c r="H257" s="23">
        <v>4261</v>
      </c>
      <c r="I257" s="24">
        <v>19.5</v>
      </c>
      <c r="J257" s="24">
        <v>74.5</v>
      </c>
      <c r="K257" s="22">
        <v>9098</v>
      </c>
      <c r="L257" s="22">
        <v>33501</v>
      </c>
      <c r="M257" s="22">
        <v>11222</v>
      </c>
      <c r="N257" s="22">
        <v>3273</v>
      </c>
      <c r="O257" s="25">
        <v>3255.65</v>
      </c>
      <c r="P257" s="24">
        <v>78.400000000000006</v>
      </c>
      <c r="Q257" s="22">
        <v>1130</v>
      </c>
      <c r="R257" s="23">
        <v>0</v>
      </c>
      <c r="U257" s="19">
        <v>232</v>
      </c>
      <c r="V257" s="19">
        <v>0</v>
      </c>
      <c r="W257" s="19">
        <v>26</v>
      </c>
      <c r="X257" s="19">
        <f t="shared" si="61"/>
        <v>0.27394021026694787</v>
      </c>
      <c r="Y257" s="19">
        <f t="shared" si="62"/>
        <v>-0.23511657784984019</v>
      </c>
      <c r="Z257" s="19">
        <f t="shared" si="63"/>
        <v>0.86533433445830288</v>
      </c>
      <c r="AA257" s="19">
        <f t="shared" si="64"/>
        <v>-0.64554606931599612</v>
      </c>
      <c r="AB257" s="19">
        <f t="shared" si="65"/>
        <v>-0.24641983365468081</v>
      </c>
      <c r="AC257" s="19">
        <f t="shared" si="66"/>
        <v>1.3727722246841263</v>
      </c>
      <c r="AD257" s="19">
        <f t="shared" si="67"/>
        <v>-0.2785727064613292</v>
      </c>
      <c r="AE257" s="19">
        <f t="shared" si="68"/>
        <v>-0.46474630723677168</v>
      </c>
      <c r="AF257" s="19">
        <f t="shared" si="69"/>
        <v>-0.41540501464056145</v>
      </c>
      <c r="AG257" s="19">
        <f t="shared" si="70"/>
        <v>-0.31587938178368113</v>
      </c>
      <c r="AH257" s="19">
        <f t="shared" si="71"/>
        <v>-0.32060466138288191</v>
      </c>
      <c r="AI257" s="19">
        <f t="shared" si="72"/>
        <v>-0.56085434488610453</v>
      </c>
      <c r="AJ257" s="19">
        <f t="shared" si="73"/>
        <v>-0.56374413786491395</v>
      </c>
      <c r="AK257" s="19">
        <f t="shared" si="74"/>
        <v>-0.4177108109234387</v>
      </c>
      <c r="AL257" s="19">
        <f t="shared" si="75"/>
        <v>-0.40402566857224581</v>
      </c>
      <c r="BV257" s="16">
        <v>0</v>
      </c>
      <c r="BW257" s="18">
        <v>229</v>
      </c>
      <c r="BX257" s="48">
        <v>0.83391957612450018</v>
      </c>
      <c r="BY257" s="48">
        <v>-0.34873757874562511</v>
      </c>
      <c r="BZ257" s="18" t="e">
        <f t="shared" si="76"/>
        <v>#N/A</v>
      </c>
    </row>
    <row r="258" spans="1:78" x14ac:dyDescent="0.3">
      <c r="A258" s="19">
        <v>233</v>
      </c>
      <c r="B258" s="19">
        <v>0</v>
      </c>
      <c r="C258" s="19">
        <v>26</v>
      </c>
      <c r="D258" s="19">
        <v>58.124524095376302</v>
      </c>
      <c r="E258" s="22">
        <v>25487</v>
      </c>
      <c r="F258" s="22">
        <v>6754</v>
      </c>
      <c r="G258" s="23">
        <v>7204</v>
      </c>
      <c r="H258" s="23">
        <v>11529</v>
      </c>
      <c r="I258" s="24">
        <v>17.600000000000001</v>
      </c>
      <c r="J258" s="24">
        <v>147</v>
      </c>
      <c r="K258" s="22">
        <v>17436</v>
      </c>
      <c r="L258" s="22">
        <v>69681</v>
      </c>
      <c r="M258" s="22">
        <v>25300</v>
      </c>
      <c r="N258" s="22">
        <v>10135</v>
      </c>
      <c r="O258" s="25">
        <v>3342.45</v>
      </c>
      <c r="P258" s="24">
        <v>80.5</v>
      </c>
      <c r="Q258" s="22">
        <v>37665</v>
      </c>
      <c r="R258" s="23">
        <v>0</v>
      </c>
      <c r="U258" s="19">
        <v>233</v>
      </c>
      <c r="V258" s="19">
        <v>0</v>
      </c>
      <c r="W258" s="19">
        <v>26</v>
      </c>
      <c r="X258" s="19">
        <f t="shared" si="61"/>
        <v>9.9954505989377166E-3</v>
      </c>
      <c r="Y258" s="19">
        <f t="shared" si="62"/>
        <v>-7.8694880033264747E-2</v>
      </c>
      <c r="Z258" s="19">
        <f t="shared" si="63"/>
        <v>9.5065290626182436E-2</v>
      </c>
      <c r="AA258" s="19">
        <f t="shared" si="64"/>
        <v>-8.4486185819035442E-2</v>
      </c>
      <c r="AB258" s="19">
        <f t="shared" si="65"/>
        <v>-8.6380442181784658E-2</v>
      </c>
      <c r="AC258" s="19">
        <f t="shared" si="66"/>
        <v>1.0120816805515385</v>
      </c>
      <c r="AD258" s="19">
        <f t="shared" si="67"/>
        <v>-0.22329851290055946</v>
      </c>
      <c r="AE258" s="19">
        <f t="shared" si="68"/>
        <v>-3.7253992641337101E-2</v>
      </c>
      <c r="AF258" s="19">
        <f t="shared" si="69"/>
        <v>9.1271858920606963E-2</v>
      </c>
      <c r="AG258" s="19">
        <f t="shared" si="70"/>
        <v>0.20106292446256432</v>
      </c>
      <c r="AH258" s="19">
        <f t="shared" si="71"/>
        <v>-3.6264793698318532E-2</v>
      </c>
      <c r="AI258" s="19">
        <f t="shared" si="72"/>
        <v>-0.38491436528341877</v>
      </c>
      <c r="AJ258" s="19">
        <f t="shared" si="73"/>
        <v>-0.38706209324304375</v>
      </c>
      <c r="AK258" s="19">
        <f t="shared" si="74"/>
        <v>0.40141120729907082</v>
      </c>
      <c r="AL258" s="19">
        <f t="shared" si="75"/>
        <v>-0.40402566857224581</v>
      </c>
      <c r="BV258" s="16">
        <v>0</v>
      </c>
      <c r="BW258" s="18">
        <v>230</v>
      </c>
      <c r="BX258" s="48">
        <v>0.72602213278340877</v>
      </c>
      <c r="BY258" s="48">
        <v>0.21879027082901903</v>
      </c>
      <c r="BZ258" s="18" t="e">
        <f t="shared" si="76"/>
        <v>#N/A</v>
      </c>
    </row>
    <row r="259" spans="1:78" x14ac:dyDescent="0.3">
      <c r="A259" s="19">
        <v>234</v>
      </c>
      <c r="B259" s="19">
        <v>0</v>
      </c>
      <c r="C259" s="19">
        <v>22</v>
      </c>
      <c r="D259" s="19">
        <v>101.70612333868399</v>
      </c>
      <c r="E259" s="22">
        <v>10308</v>
      </c>
      <c r="F259" s="22">
        <v>1386</v>
      </c>
      <c r="G259" s="23">
        <v>2641</v>
      </c>
      <c r="H259" s="23">
        <v>6281</v>
      </c>
      <c r="I259" s="24">
        <v>19.5</v>
      </c>
      <c r="J259" s="24">
        <v>125.4</v>
      </c>
      <c r="K259" s="22">
        <v>12053</v>
      </c>
      <c r="L259" s="22">
        <v>40745</v>
      </c>
      <c r="M259" s="22">
        <v>11513</v>
      </c>
      <c r="N259" s="22">
        <v>6501</v>
      </c>
      <c r="O259" s="25">
        <v>3408.03</v>
      </c>
      <c r="P259" s="24">
        <v>82.1</v>
      </c>
      <c r="Q259" s="22">
        <v>8265</v>
      </c>
      <c r="R259" s="23">
        <v>67</v>
      </c>
      <c r="U259" s="19">
        <v>234</v>
      </c>
      <c r="V259" s="19">
        <v>0</v>
      </c>
      <c r="W259" s="19">
        <v>22</v>
      </c>
      <c r="X259" s="19">
        <f t="shared" si="61"/>
        <v>1.3585975900247751</v>
      </c>
      <c r="Y259" s="19">
        <f t="shared" si="62"/>
        <v>-0.36314737208523534</v>
      </c>
      <c r="Z259" s="19">
        <f t="shared" si="63"/>
        <v>-0.89035039747935196</v>
      </c>
      <c r="AA259" s="19">
        <f t="shared" si="64"/>
        <v>-0.5698162803018092</v>
      </c>
      <c r="AB259" s="19">
        <f t="shared" si="65"/>
        <v>-0.20193998076870803</v>
      </c>
      <c r="AC259" s="19">
        <f t="shared" si="66"/>
        <v>1.3727722246841263</v>
      </c>
      <c r="AD259" s="19">
        <f t="shared" si="67"/>
        <v>-0.23976641056831985</v>
      </c>
      <c r="AE259" s="19">
        <f t="shared" si="68"/>
        <v>-0.31324237468346044</v>
      </c>
      <c r="AF259" s="19">
        <f t="shared" si="69"/>
        <v>-0.31395760524097321</v>
      </c>
      <c r="AG259" s="19">
        <f t="shared" si="70"/>
        <v>-0.30519390010179043</v>
      </c>
      <c r="AH259" s="19">
        <f t="shared" si="71"/>
        <v>-0.18684641409553557</v>
      </c>
      <c r="AI259" s="19">
        <f t="shared" si="72"/>
        <v>-0.25198644060203357</v>
      </c>
      <c r="AJ259" s="19">
        <f t="shared" si="73"/>
        <v>-0.25244720210257138</v>
      </c>
      <c r="AK259" s="19">
        <f t="shared" si="74"/>
        <v>-0.25774268173177028</v>
      </c>
      <c r="AL259" s="19">
        <f t="shared" si="75"/>
        <v>-0.36735132397312936</v>
      </c>
      <c r="BV259" s="16">
        <v>0</v>
      </c>
      <c r="BW259" s="18">
        <v>231</v>
      </c>
      <c r="BX259" s="48">
        <v>0.44458420340571791</v>
      </c>
      <c r="BY259" s="48">
        <v>-0.44098161950161219</v>
      </c>
      <c r="BZ259" s="18" t="e">
        <f t="shared" si="76"/>
        <v>#N/A</v>
      </c>
    </row>
    <row r="260" spans="1:78" x14ac:dyDescent="0.3">
      <c r="A260" s="19">
        <v>235</v>
      </c>
      <c r="B260" s="19">
        <v>0</v>
      </c>
      <c r="C260" s="19">
        <v>22</v>
      </c>
      <c r="D260" s="19">
        <v>59.995721946003201</v>
      </c>
      <c r="E260" s="22">
        <v>159469</v>
      </c>
      <c r="F260" s="22">
        <v>1276</v>
      </c>
      <c r="G260" s="23">
        <v>33677</v>
      </c>
      <c r="H260" s="23">
        <v>124516</v>
      </c>
      <c r="I260" s="24">
        <v>4</v>
      </c>
      <c r="J260" s="24">
        <v>4405.5</v>
      </c>
      <c r="K260" s="22">
        <v>75649</v>
      </c>
      <c r="L260" s="22">
        <v>281839</v>
      </c>
      <c r="M260" s="22">
        <v>104761</v>
      </c>
      <c r="N260" s="22">
        <v>73305</v>
      </c>
      <c r="O260" s="25">
        <v>4992.1400000000003</v>
      </c>
      <c r="P260" s="24">
        <v>120.3</v>
      </c>
      <c r="Q260" s="22">
        <v>159091</v>
      </c>
      <c r="R260" s="23">
        <v>0</v>
      </c>
      <c r="U260" s="19">
        <v>235</v>
      </c>
      <c r="V260" s="19">
        <v>0</v>
      </c>
      <c r="W260" s="19">
        <v>22</v>
      </c>
      <c r="X260" s="19">
        <f t="shared" si="61"/>
        <v>6.7898360736682803E-2</v>
      </c>
      <c r="Y260" s="19">
        <f t="shared" si="62"/>
        <v>2.432110429282706</v>
      </c>
      <c r="Z260" s="19">
        <f t="shared" si="63"/>
        <v>-0.91054334190774411</v>
      </c>
      <c r="AA260" s="19">
        <f t="shared" si="64"/>
        <v>2.731236713861541</v>
      </c>
      <c r="AB260" s="19">
        <f t="shared" si="65"/>
        <v>2.4015626954555462</v>
      </c>
      <c r="AC260" s="19">
        <f t="shared" si="66"/>
        <v>-1.5697032669238284</v>
      </c>
      <c r="AD260" s="19">
        <f t="shared" si="67"/>
        <v>3.0233932564585841</v>
      </c>
      <c r="AE260" s="19">
        <f t="shared" si="68"/>
        <v>2.9473478434757214</v>
      </c>
      <c r="AF260" s="19">
        <f t="shared" si="69"/>
        <v>3.0624037588927013</v>
      </c>
      <c r="AG260" s="19">
        <f t="shared" si="70"/>
        <v>3.118860381248536</v>
      </c>
      <c r="AH260" s="19">
        <f t="shared" si="71"/>
        <v>2.5813028894310706</v>
      </c>
      <c r="AI260" s="19">
        <f t="shared" si="72"/>
        <v>2.9589384567298955</v>
      </c>
      <c r="AJ260" s="19">
        <f t="shared" si="73"/>
        <v>2.9614833238762182</v>
      </c>
      <c r="AK260" s="19">
        <f t="shared" si="74"/>
        <v>3.1238064497976734</v>
      </c>
      <c r="AL260" s="19">
        <f t="shared" si="75"/>
        <v>-0.40402566857224581</v>
      </c>
      <c r="BV260" s="16">
        <v>0</v>
      </c>
      <c r="BW260" s="18">
        <v>232</v>
      </c>
      <c r="BX260" s="48">
        <v>1.4806635078354342</v>
      </c>
      <c r="BY260" s="48">
        <v>-1.1889661008366086</v>
      </c>
      <c r="BZ260" s="18" t="e">
        <f t="shared" si="76"/>
        <v>#N/A</v>
      </c>
    </row>
    <row r="261" spans="1:78" x14ac:dyDescent="0.3">
      <c r="A261" s="19">
        <v>236</v>
      </c>
      <c r="B261" s="19">
        <v>0</v>
      </c>
      <c r="C261" s="19">
        <v>26</v>
      </c>
      <c r="D261" s="19">
        <v>25.9484778007741</v>
      </c>
      <c r="E261" s="22">
        <v>14460</v>
      </c>
      <c r="F261" s="22">
        <v>2027</v>
      </c>
      <c r="G261" s="23">
        <v>4406</v>
      </c>
      <c r="H261" s="23">
        <v>8027</v>
      </c>
      <c r="I261" s="24">
        <v>22.5</v>
      </c>
      <c r="J261" s="24">
        <v>108</v>
      </c>
      <c r="K261" s="22">
        <v>11452</v>
      </c>
      <c r="L261" s="22">
        <v>47575</v>
      </c>
      <c r="M261" s="22">
        <v>18012</v>
      </c>
      <c r="N261" s="22">
        <v>7866</v>
      </c>
      <c r="O261" s="25">
        <v>3448.29</v>
      </c>
      <c r="P261" s="24">
        <v>83.1</v>
      </c>
      <c r="Q261" s="22">
        <v>5532</v>
      </c>
      <c r="R261" s="23">
        <v>50</v>
      </c>
      <c r="U261" s="19">
        <v>236</v>
      </c>
      <c r="V261" s="19">
        <v>0</v>
      </c>
      <c r="W261" s="19">
        <v>26</v>
      </c>
      <c r="X261" s="19">
        <f t="shared" si="61"/>
        <v>-0.98566982154750871</v>
      </c>
      <c r="Y261" s="19">
        <f t="shared" si="62"/>
        <v>-0.28533943038948584</v>
      </c>
      <c r="Z261" s="19">
        <f t="shared" si="63"/>
        <v>-0.772680603128449</v>
      </c>
      <c r="AA261" s="19">
        <f t="shared" si="64"/>
        <v>-0.38208723871467448</v>
      </c>
      <c r="AB261" s="19">
        <f t="shared" si="65"/>
        <v>-0.16349353367023847</v>
      </c>
      <c r="AC261" s="19">
        <f t="shared" si="66"/>
        <v>1.9422836101566336</v>
      </c>
      <c r="AD261" s="19">
        <f t="shared" si="67"/>
        <v>-0.25303221702290457</v>
      </c>
      <c r="AE261" s="19">
        <f t="shared" si="68"/>
        <v>-0.34405586485758566</v>
      </c>
      <c r="AF261" s="19">
        <f t="shared" si="69"/>
        <v>-0.21830799091198533</v>
      </c>
      <c r="AG261" s="19">
        <f t="shared" si="70"/>
        <v>-6.6551475872897892E-2</v>
      </c>
      <c r="AH261" s="19">
        <f t="shared" si="71"/>
        <v>-0.13028507346752202</v>
      </c>
      <c r="AI261" s="19">
        <f t="shared" si="72"/>
        <v>-0.17038109983240099</v>
      </c>
      <c r="AJ261" s="19">
        <f t="shared" si="73"/>
        <v>-0.16831289513977588</v>
      </c>
      <c r="AK261" s="19">
        <f t="shared" si="74"/>
        <v>-0.31901708917126992</v>
      </c>
      <c r="AL261" s="19">
        <f t="shared" si="75"/>
        <v>-0.37665675469230814</v>
      </c>
      <c r="BV261" s="16">
        <v>0</v>
      </c>
      <c r="BW261" s="18">
        <v>233</v>
      </c>
      <c r="BX261" s="48">
        <v>0.22276173482117378</v>
      </c>
      <c r="BY261" s="48">
        <v>-0.7963256660076613</v>
      </c>
      <c r="BZ261" s="18" t="e">
        <f t="shared" si="76"/>
        <v>#N/A</v>
      </c>
    </row>
    <row r="262" spans="1:78" x14ac:dyDescent="0.3">
      <c r="A262" s="19">
        <v>237</v>
      </c>
      <c r="B262" s="19">
        <v>0</v>
      </c>
      <c r="C262" s="19">
        <v>22</v>
      </c>
      <c r="D262" s="19">
        <v>35.964997705857002</v>
      </c>
      <c r="E262" s="22">
        <v>31471</v>
      </c>
      <c r="F262" s="22">
        <v>9622</v>
      </c>
      <c r="G262" s="23">
        <v>10140</v>
      </c>
      <c r="H262" s="23">
        <v>11709</v>
      </c>
      <c r="I262" s="24">
        <v>5.4</v>
      </c>
      <c r="J262" s="24">
        <v>296.60000000000002</v>
      </c>
      <c r="K262" s="22">
        <v>32918</v>
      </c>
      <c r="L262" s="22">
        <v>79354</v>
      </c>
      <c r="M262" s="22">
        <v>16653</v>
      </c>
      <c r="N262" s="22">
        <v>12958</v>
      </c>
      <c r="O262" s="25">
        <v>3275.79</v>
      </c>
      <c r="P262" s="24">
        <v>78.900000000000006</v>
      </c>
      <c r="Q262" s="22">
        <v>3258</v>
      </c>
      <c r="R262" s="23">
        <v>223</v>
      </c>
      <c r="U262" s="19">
        <v>237</v>
      </c>
      <c r="V262" s="19">
        <v>0</v>
      </c>
      <c r="W262" s="19">
        <v>22</v>
      </c>
      <c r="X262" s="19">
        <f t="shared" si="61"/>
        <v>-0.67571561132722646</v>
      </c>
      <c r="Y262" s="19">
        <f t="shared" si="62"/>
        <v>3.3444504144809706E-2</v>
      </c>
      <c r="Z262" s="19">
        <f t="shared" si="63"/>
        <v>0.62155042354098733</v>
      </c>
      <c r="AA262" s="19">
        <f t="shared" si="64"/>
        <v>0.22779283180126342</v>
      </c>
      <c r="AB262" s="19">
        <f t="shared" si="65"/>
        <v>-8.2416890934519746E-2</v>
      </c>
      <c r="AC262" s="19">
        <f t="shared" si="66"/>
        <v>-1.3039312870366582</v>
      </c>
      <c r="AD262" s="19">
        <f t="shared" si="67"/>
        <v>-0.10924307349792287</v>
      </c>
      <c r="AE262" s="19">
        <f t="shared" si="68"/>
        <v>0.75651381913205196</v>
      </c>
      <c r="AF262" s="19">
        <f t="shared" si="69"/>
        <v>0.226735800268235</v>
      </c>
      <c r="AG262" s="19">
        <f t="shared" si="70"/>
        <v>-0.11645377692337719</v>
      </c>
      <c r="AH262" s="19">
        <f t="shared" si="71"/>
        <v>8.0711517358738077E-2</v>
      </c>
      <c r="AI262" s="19">
        <f t="shared" si="72"/>
        <v>-0.52003140491838473</v>
      </c>
      <c r="AJ262" s="19">
        <f t="shared" si="73"/>
        <v>-0.52167698438351617</v>
      </c>
      <c r="AK262" s="19">
        <f t="shared" si="74"/>
        <v>-0.37000062466977784</v>
      </c>
      <c r="AL262" s="19">
        <f t="shared" si="75"/>
        <v>-0.28196031266772387</v>
      </c>
      <c r="BV262" s="16">
        <v>0</v>
      </c>
      <c r="BW262" s="18">
        <v>234</v>
      </c>
      <c r="BX262" s="48">
        <v>1.2032065703301553</v>
      </c>
      <c r="BY262" s="48">
        <v>-0.44185015319148235</v>
      </c>
      <c r="BZ262" s="18" t="e">
        <f t="shared" si="76"/>
        <v>#N/A</v>
      </c>
    </row>
    <row r="263" spans="1:78" x14ac:dyDescent="0.3">
      <c r="A263" s="19">
        <v>238</v>
      </c>
      <c r="B263" s="19">
        <v>0</v>
      </c>
      <c r="C263" s="19">
        <v>22</v>
      </c>
      <c r="D263" s="19">
        <v>43.767710923248003</v>
      </c>
      <c r="E263" s="22">
        <v>7274</v>
      </c>
      <c r="F263" s="22">
        <v>2025</v>
      </c>
      <c r="G263" s="23">
        <v>2003</v>
      </c>
      <c r="H263" s="23">
        <v>3246</v>
      </c>
      <c r="I263" s="24">
        <v>16.3</v>
      </c>
      <c r="J263" s="24">
        <v>127.2</v>
      </c>
      <c r="K263" s="22">
        <v>8500</v>
      </c>
      <c r="L263" s="22">
        <v>27264</v>
      </c>
      <c r="M263" s="22">
        <v>6613</v>
      </c>
      <c r="N263" s="22">
        <v>3294</v>
      </c>
      <c r="O263" s="25">
        <v>3455.74</v>
      </c>
      <c r="P263" s="24">
        <v>83.3</v>
      </c>
      <c r="Q263" s="22">
        <v>6580</v>
      </c>
      <c r="R263" s="23">
        <v>0</v>
      </c>
      <c r="U263" s="19">
        <v>238</v>
      </c>
      <c r="V263" s="19">
        <v>0</v>
      </c>
      <c r="W263" s="19">
        <v>22</v>
      </c>
      <c r="X263" s="19">
        <f t="shared" si="61"/>
        <v>-0.43426610233713087</v>
      </c>
      <c r="Y263" s="19">
        <f t="shared" si="62"/>
        <v>-0.42000413872899839</v>
      </c>
      <c r="Z263" s="19">
        <f t="shared" si="63"/>
        <v>-0.77304774757260153</v>
      </c>
      <c r="AA263" s="19">
        <f t="shared" si="64"/>
        <v>-0.6376752766375553</v>
      </c>
      <c r="AB263" s="19">
        <f t="shared" si="65"/>
        <v>-0.26876985874342457</v>
      </c>
      <c r="AC263" s="19">
        <f t="shared" si="66"/>
        <v>0.76529341351345181</v>
      </c>
      <c r="AD263" s="19">
        <f t="shared" si="67"/>
        <v>-0.23839408576267315</v>
      </c>
      <c r="AE263" s="19">
        <f t="shared" si="68"/>
        <v>-0.495405986311858</v>
      </c>
      <c r="AF263" s="19">
        <f t="shared" si="69"/>
        <v>-0.50275005776938975</v>
      </c>
      <c r="AG263" s="19">
        <f t="shared" si="70"/>
        <v>-0.48512125488276808</v>
      </c>
      <c r="AH263" s="19">
        <f t="shared" si="71"/>
        <v>-0.31973448691168171</v>
      </c>
      <c r="AI263" s="19">
        <f t="shared" si="72"/>
        <v>-0.15528026056926755</v>
      </c>
      <c r="AJ263" s="19">
        <f t="shared" si="73"/>
        <v>-0.15148603374721653</v>
      </c>
      <c r="AK263" s="19">
        <f t="shared" si="74"/>
        <v>-0.29552071924935425</v>
      </c>
      <c r="AL263" s="19">
        <f t="shared" si="75"/>
        <v>-0.40402566857224581</v>
      </c>
      <c r="BV263" s="16">
        <v>0</v>
      </c>
      <c r="BW263" s="18">
        <v>235</v>
      </c>
      <c r="BX263" s="48">
        <v>-9.37890999093608</v>
      </c>
      <c r="BY263" s="48">
        <v>1.7783680934691981</v>
      </c>
      <c r="BZ263" s="18" t="e">
        <f t="shared" si="76"/>
        <v>#N/A</v>
      </c>
    </row>
    <row r="264" spans="1:78" x14ac:dyDescent="0.3">
      <c r="A264" s="19">
        <v>239</v>
      </c>
      <c r="B264" s="19">
        <v>0</v>
      </c>
      <c r="C264" s="19">
        <v>22</v>
      </c>
      <c r="D264" s="19">
        <v>34.495297071801303</v>
      </c>
      <c r="E264" s="22">
        <v>6183</v>
      </c>
      <c r="F264" s="22">
        <v>1794</v>
      </c>
      <c r="G264" s="23">
        <v>1506</v>
      </c>
      <c r="H264" s="23">
        <v>2883</v>
      </c>
      <c r="I264" s="24">
        <v>23.4</v>
      </c>
      <c r="J264" s="24">
        <v>54.4</v>
      </c>
      <c r="K264" s="22">
        <v>6849</v>
      </c>
      <c r="L264" s="22">
        <v>23260</v>
      </c>
      <c r="M264" s="22">
        <v>6045</v>
      </c>
      <c r="N264" s="22">
        <v>3917</v>
      </c>
      <c r="O264" s="25">
        <v>3422.12</v>
      </c>
      <c r="P264" s="24">
        <v>82.4</v>
      </c>
      <c r="Q264" s="22">
        <v>6864</v>
      </c>
      <c r="R264" s="23">
        <v>640</v>
      </c>
      <c r="U264" s="19">
        <v>239</v>
      </c>
      <c r="V264" s="19">
        <v>0</v>
      </c>
      <c r="W264" s="19">
        <v>22</v>
      </c>
      <c r="X264" s="19">
        <f t="shared" si="61"/>
        <v>-0.72119447061225794</v>
      </c>
      <c r="Y264" s="19">
        <f t="shared" si="62"/>
        <v>-0.4404493372815183</v>
      </c>
      <c r="Z264" s="19">
        <f t="shared" si="63"/>
        <v>-0.81545293087222492</v>
      </c>
      <c r="AA264" s="19">
        <f t="shared" si="64"/>
        <v>-0.69053722205897505</v>
      </c>
      <c r="AB264" s="19">
        <f t="shared" si="65"/>
        <v>-0.27676302042540879</v>
      </c>
      <c r="AC264" s="19">
        <f t="shared" si="66"/>
        <v>2.1131370257983857</v>
      </c>
      <c r="AD264" s="19">
        <f t="shared" si="67"/>
        <v>-0.29389700012438402</v>
      </c>
      <c r="AE264" s="19">
        <f t="shared" si="68"/>
        <v>-0.58005336114959638</v>
      </c>
      <c r="AF264" s="19">
        <f t="shared" si="69"/>
        <v>-0.5588234187903659</v>
      </c>
      <c r="AG264" s="19">
        <f t="shared" si="70"/>
        <v>-0.50597814009003239</v>
      </c>
      <c r="AH264" s="19">
        <f t="shared" si="71"/>
        <v>-0.29391931093274221</v>
      </c>
      <c r="AI264" s="19">
        <f t="shared" si="72"/>
        <v>-0.22342659829095299</v>
      </c>
      <c r="AJ264" s="19">
        <f t="shared" si="73"/>
        <v>-0.22720691001373178</v>
      </c>
      <c r="AK264" s="19">
        <f t="shared" si="74"/>
        <v>-0.28915338236211752</v>
      </c>
      <c r="AL264" s="19">
        <f t="shared" si="75"/>
        <v>-5.370357090904395E-2</v>
      </c>
      <c r="BV264" s="16">
        <v>0</v>
      </c>
      <c r="BW264" s="18">
        <v>236</v>
      </c>
      <c r="BX264" s="48">
        <v>0.89321014073705463</v>
      </c>
      <c r="BY264" s="48">
        <v>-0.17219826899481699</v>
      </c>
      <c r="BZ264" s="18" t="e">
        <f t="shared" si="76"/>
        <v>#N/A</v>
      </c>
    </row>
    <row r="265" spans="1:78" x14ac:dyDescent="0.3">
      <c r="A265" s="19">
        <v>240</v>
      </c>
      <c r="B265" s="19">
        <v>0</v>
      </c>
      <c r="C265" s="19">
        <v>26</v>
      </c>
      <c r="D265" s="19">
        <v>42.967523095674999</v>
      </c>
      <c r="E265" s="22">
        <v>13989</v>
      </c>
      <c r="F265" s="22">
        <v>8435</v>
      </c>
      <c r="G265" s="23">
        <v>1722</v>
      </c>
      <c r="H265" s="23">
        <v>3832</v>
      </c>
      <c r="I265" s="24">
        <v>8.6999999999999993</v>
      </c>
      <c r="J265" s="24">
        <v>30.2</v>
      </c>
      <c r="K265" s="22">
        <v>6466</v>
      </c>
      <c r="L265" s="22">
        <v>24646</v>
      </c>
      <c r="M265" s="22">
        <v>8969</v>
      </c>
      <c r="N265" s="22">
        <v>2589</v>
      </c>
      <c r="O265" s="25">
        <v>3349.3</v>
      </c>
      <c r="P265" s="24">
        <v>80.7</v>
      </c>
      <c r="Q265" s="22">
        <v>1962</v>
      </c>
      <c r="R265" s="23">
        <v>302</v>
      </c>
      <c r="U265" s="19">
        <v>240</v>
      </c>
      <c r="V265" s="19">
        <v>0</v>
      </c>
      <c r="W265" s="19">
        <v>26</v>
      </c>
      <c r="X265" s="19">
        <f t="shared" si="61"/>
        <v>-0.4590273555941044</v>
      </c>
      <c r="Y265" s="19">
        <f t="shared" si="62"/>
        <v>-0.29416590932462505</v>
      </c>
      <c r="Z265" s="19">
        <f t="shared" si="63"/>
        <v>0.40365019593642898</v>
      </c>
      <c r="AA265" s="19">
        <f t="shared" si="64"/>
        <v>-0.66756301640298576</v>
      </c>
      <c r="AB265" s="19">
        <f t="shared" si="65"/>
        <v>-0.2558662974606622</v>
      </c>
      <c r="AC265" s="19">
        <f t="shared" si="66"/>
        <v>-0.6774687630169004</v>
      </c>
      <c r="AD265" s="19">
        <f t="shared" si="67"/>
        <v>-0.31234714473363406</v>
      </c>
      <c r="AE265" s="19">
        <f t="shared" si="68"/>
        <v>-0.59968991146022854</v>
      </c>
      <c r="AF265" s="19">
        <f t="shared" si="69"/>
        <v>-0.53941340920618186</v>
      </c>
      <c r="AG265" s="19">
        <f t="shared" si="70"/>
        <v>-0.39860924511460821</v>
      </c>
      <c r="AH265" s="19">
        <f t="shared" si="71"/>
        <v>-0.34894748701626016</v>
      </c>
      <c r="AI265" s="19">
        <f t="shared" si="72"/>
        <v>-0.37102970099449639</v>
      </c>
      <c r="AJ265" s="19">
        <f t="shared" si="73"/>
        <v>-0.3702352318504844</v>
      </c>
      <c r="AK265" s="19">
        <f t="shared" si="74"/>
        <v>-0.39905720426787206</v>
      </c>
      <c r="AL265" s="19">
        <f t="shared" si="75"/>
        <v>-0.23871742873742241</v>
      </c>
      <c r="BV265" s="16">
        <v>0</v>
      </c>
      <c r="BW265" s="18">
        <v>237</v>
      </c>
      <c r="BX265" s="48">
        <v>-0.21405020609150213</v>
      </c>
      <c r="BY265" s="48">
        <v>-0.43655749348484885</v>
      </c>
      <c r="BZ265" s="18" t="e">
        <f t="shared" si="76"/>
        <v>#N/A</v>
      </c>
    </row>
    <row r="266" spans="1:78" x14ac:dyDescent="0.3">
      <c r="A266" s="19">
        <v>241</v>
      </c>
      <c r="B266" s="19">
        <v>0</v>
      </c>
      <c r="C266" s="19">
        <v>26</v>
      </c>
      <c r="D266" s="19">
        <v>76.384965327828795</v>
      </c>
      <c r="E266" s="22">
        <v>28924</v>
      </c>
      <c r="F266" s="22">
        <v>15770</v>
      </c>
      <c r="G266" s="23">
        <v>3960</v>
      </c>
      <c r="H266" s="23">
        <v>9194</v>
      </c>
      <c r="I266" s="24">
        <v>8.9</v>
      </c>
      <c r="J266" s="24">
        <v>178.5</v>
      </c>
      <c r="K266" s="22">
        <v>13225</v>
      </c>
      <c r="L266" s="22">
        <v>49033</v>
      </c>
      <c r="M266" s="22">
        <v>17008</v>
      </c>
      <c r="N266" s="22">
        <v>6319</v>
      </c>
      <c r="O266" s="25">
        <v>3665.14</v>
      </c>
      <c r="P266" s="24">
        <v>88.3</v>
      </c>
      <c r="Q266" s="22">
        <v>6120</v>
      </c>
      <c r="R266" s="23">
        <v>0</v>
      </c>
      <c r="U266" s="19">
        <v>241</v>
      </c>
      <c r="V266" s="19">
        <v>0</v>
      </c>
      <c r="W266" s="19">
        <v>26</v>
      </c>
      <c r="X266" s="19">
        <f t="shared" si="61"/>
        <v>0.57505204651370878</v>
      </c>
      <c r="Y266" s="19">
        <f t="shared" si="62"/>
        <v>-1.4285945638204268E-2</v>
      </c>
      <c r="Z266" s="19">
        <f t="shared" si="63"/>
        <v>1.7501524448660295</v>
      </c>
      <c r="AA266" s="19">
        <f t="shared" si="64"/>
        <v>-0.42952471891176347</v>
      </c>
      <c r="AB266" s="19">
        <f t="shared" si="65"/>
        <v>-0.13779650975047103</v>
      </c>
      <c r="AC266" s="19">
        <f t="shared" si="66"/>
        <v>-0.63950133731873304</v>
      </c>
      <c r="AD266" s="19">
        <f t="shared" si="67"/>
        <v>-0.19928282880174228</v>
      </c>
      <c r="AE266" s="19">
        <f t="shared" si="68"/>
        <v>-0.25315350532559888</v>
      </c>
      <c r="AF266" s="19">
        <f t="shared" si="69"/>
        <v>-0.19788966914160988</v>
      </c>
      <c r="AG266" s="19">
        <f t="shared" si="70"/>
        <v>-0.10341822366883698</v>
      </c>
      <c r="AH266" s="19">
        <f t="shared" si="71"/>
        <v>-0.19438792617927073</v>
      </c>
      <c r="AI266" s="19">
        <f t="shared" si="72"/>
        <v>0.2691648054307616</v>
      </c>
      <c r="AJ266" s="19">
        <f t="shared" si="73"/>
        <v>0.26918550106676115</v>
      </c>
      <c r="AK266" s="19">
        <f t="shared" si="74"/>
        <v>-0.30583401139065308</v>
      </c>
      <c r="AL266" s="19">
        <f t="shared" si="75"/>
        <v>-0.40402566857224581</v>
      </c>
      <c r="BV266" s="16">
        <v>0</v>
      </c>
      <c r="BW266" s="18">
        <v>238</v>
      </c>
      <c r="BX266" s="48">
        <v>1.2610324552154373</v>
      </c>
      <c r="BY266" s="48">
        <v>0.23863081911186851</v>
      </c>
      <c r="BZ266" s="18" t="e">
        <f t="shared" si="76"/>
        <v>#N/A</v>
      </c>
    </row>
    <row r="267" spans="1:78" x14ac:dyDescent="0.3">
      <c r="A267" s="19">
        <v>242</v>
      </c>
      <c r="B267" s="19">
        <v>0</v>
      </c>
      <c r="C267" s="19">
        <v>22</v>
      </c>
      <c r="D267" s="19">
        <v>92</v>
      </c>
      <c r="E267" s="22">
        <v>19465</v>
      </c>
      <c r="F267" s="22">
        <v>5333</v>
      </c>
      <c r="G267" s="23">
        <v>7327</v>
      </c>
      <c r="H267" s="23">
        <v>6805</v>
      </c>
      <c r="I267" s="24">
        <v>17.600000000000001</v>
      </c>
      <c r="J267" s="24">
        <v>134.5</v>
      </c>
      <c r="K267" s="22">
        <v>16481</v>
      </c>
      <c r="L267" s="22">
        <v>49889</v>
      </c>
      <c r="M267" s="22">
        <v>12410</v>
      </c>
      <c r="N267" s="22">
        <v>6502</v>
      </c>
      <c r="O267" s="25">
        <v>3447.3</v>
      </c>
      <c r="P267" s="24">
        <v>83</v>
      </c>
      <c r="Q267" s="22">
        <v>6002</v>
      </c>
      <c r="R267" s="23">
        <v>1793</v>
      </c>
      <c r="U267" s="19">
        <v>242</v>
      </c>
      <c r="V267" s="19">
        <v>0</v>
      </c>
      <c r="W267" s="19">
        <v>22</v>
      </c>
      <c r="X267" s="19">
        <f t="shared" si="61"/>
        <v>1.0582483846869211</v>
      </c>
      <c r="Y267" s="19">
        <f t="shared" si="62"/>
        <v>-0.19154637928466253</v>
      </c>
      <c r="Z267" s="19">
        <f t="shared" si="63"/>
        <v>-0.16579083694422822</v>
      </c>
      <c r="AA267" s="19">
        <f t="shared" si="64"/>
        <v>-7.140365204270821E-2</v>
      </c>
      <c r="AB267" s="19">
        <f t="shared" si="65"/>
        <v>-0.19040164269333687</v>
      </c>
      <c r="AC267" s="19">
        <f t="shared" si="66"/>
        <v>1.0120816805515385</v>
      </c>
      <c r="AD267" s="19">
        <f t="shared" si="67"/>
        <v>-0.23282854627310598</v>
      </c>
      <c r="AE267" s="19">
        <f t="shared" si="68"/>
        <v>-8.6217192502051898E-2</v>
      </c>
      <c r="AF267" s="19">
        <f t="shared" si="69"/>
        <v>-0.18590195759466793</v>
      </c>
      <c r="AG267" s="19">
        <f t="shared" si="70"/>
        <v>-0.27225617821637477</v>
      </c>
      <c r="AH267" s="19">
        <f t="shared" si="71"/>
        <v>-0.18680497721595463</v>
      </c>
      <c r="AI267" s="19">
        <f t="shared" si="72"/>
        <v>-0.17238778853985054</v>
      </c>
      <c r="AJ267" s="19">
        <f t="shared" si="73"/>
        <v>-0.17672632583605494</v>
      </c>
      <c r="AK267" s="19">
        <f t="shared" si="74"/>
        <v>-0.30847959502689931</v>
      </c>
      <c r="AL267" s="19">
        <f t="shared" si="75"/>
        <v>0.57742358316231812</v>
      </c>
      <c r="BV267" s="16">
        <v>0</v>
      </c>
      <c r="BW267" s="18">
        <v>239</v>
      </c>
      <c r="BX267" s="48">
        <v>1.5197509839341798</v>
      </c>
      <c r="BY267" s="48">
        <v>-0.11058637138719185</v>
      </c>
      <c r="BZ267" s="18" t="e">
        <f t="shared" si="76"/>
        <v>#N/A</v>
      </c>
    </row>
    <row r="268" spans="1:78" x14ac:dyDescent="0.3">
      <c r="A268" s="19">
        <v>243</v>
      </c>
      <c r="B268" s="19">
        <v>0</v>
      </c>
      <c r="C268" s="19">
        <v>32</v>
      </c>
      <c r="D268" s="19">
        <v>138.604633892561</v>
      </c>
      <c r="E268" s="22">
        <v>8208</v>
      </c>
      <c r="F268" s="22">
        <v>2803</v>
      </c>
      <c r="G268" s="23">
        <v>1825</v>
      </c>
      <c r="H268" s="23">
        <v>3580</v>
      </c>
      <c r="I268" s="24">
        <v>23.4</v>
      </c>
      <c r="J268" s="24">
        <v>48.5</v>
      </c>
      <c r="K268" s="22">
        <v>8936</v>
      </c>
      <c r="L268" s="22">
        <v>31637</v>
      </c>
      <c r="M268" s="22">
        <v>8901</v>
      </c>
      <c r="N268" s="22">
        <v>4089</v>
      </c>
      <c r="O268" s="25">
        <v>3397.02</v>
      </c>
      <c r="P268" s="24">
        <v>81.8</v>
      </c>
      <c r="Q268" s="22">
        <v>2804</v>
      </c>
      <c r="R268" s="23">
        <v>0</v>
      </c>
      <c r="U268" s="19">
        <v>243</v>
      </c>
      <c r="V268" s="19">
        <v>0</v>
      </c>
      <c r="W268" s="19">
        <v>32</v>
      </c>
      <c r="X268" s="19">
        <f t="shared" si="61"/>
        <v>2.5003962192301188</v>
      </c>
      <c r="Y268" s="19">
        <f t="shared" si="62"/>
        <v>-0.40250109982152482</v>
      </c>
      <c r="Z268" s="19">
        <f t="shared" si="63"/>
        <v>-0.63022855879724649</v>
      </c>
      <c r="AA268" s="19">
        <f t="shared" si="64"/>
        <v>-0.656607723891102</v>
      </c>
      <c r="AB268" s="19">
        <f t="shared" si="65"/>
        <v>-0.26141526920683306</v>
      </c>
      <c r="AC268" s="19">
        <f t="shared" si="66"/>
        <v>2.1131370257983857</v>
      </c>
      <c r="AD268" s="19">
        <f t="shared" si="67"/>
        <v>-0.29839517587622594</v>
      </c>
      <c r="AE268" s="19">
        <f t="shared" si="68"/>
        <v>-0.47305210658487196</v>
      </c>
      <c r="AF268" s="19">
        <f t="shared" si="69"/>
        <v>-0.44150909679418276</v>
      </c>
      <c r="AG268" s="19">
        <f t="shared" si="70"/>
        <v>-0.40110619616054832</v>
      </c>
      <c r="AH268" s="19">
        <f t="shared" si="71"/>
        <v>-0.28679216764481669</v>
      </c>
      <c r="AI268" s="19">
        <f t="shared" si="72"/>
        <v>-0.27430325137882638</v>
      </c>
      <c r="AJ268" s="19">
        <f t="shared" si="73"/>
        <v>-0.27768749419140981</v>
      </c>
      <c r="AK268" s="19">
        <f t="shared" si="74"/>
        <v>-0.38017939560923369</v>
      </c>
      <c r="AL268" s="19">
        <f t="shared" si="75"/>
        <v>-0.40402566857224581</v>
      </c>
      <c r="BV268" s="16">
        <v>0</v>
      </c>
      <c r="BW268" s="18">
        <v>240</v>
      </c>
      <c r="BX268" s="48">
        <v>1.2407914555656021</v>
      </c>
      <c r="BY268" s="48">
        <v>1.5920246103340582E-2</v>
      </c>
      <c r="BZ268" s="18" t="e">
        <f t="shared" si="76"/>
        <v>#N/A</v>
      </c>
    </row>
    <row r="269" spans="1:78" x14ac:dyDescent="0.3">
      <c r="A269" s="19">
        <v>244</v>
      </c>
      <c r="B269" s="19">
        <v>0</v>
      </c>
      <c r="C269" s="19">
        <v>32</v>
      </c>
      <c r="D269" s="19">
        <v>94.905264802319607</v>
      </c>
      <c r="E269" s="22">
        <v>12340</v>
      </c>
      <c r="F269" s="22">
        <v>3172</v>
      </c>
      <c r="G269" s="23">
        <v>4516</v>
      </c>
      <c r="H269" s="23">
        <v>4652</v>
      </c>
      <c r="I269" s="24">
        <v>21.7</v>
      </c>
      <c r="J269" s="24">
        <v>69.599999999999994</v>
      </c>
      <c r="K269" s="22">
        <v>10720</v>
      </c>
      <c r="L269" s="22">
        <v>36733</v>
      </c>
      <c r="M269" s="22">
        <v>10609</v>
      </c>
      <c r="N269" s="22">
        <v>5850</v>
      </c>
      <c r="O269" s="25">
        <v>3068.19</v>
      </c>
      <c r="P269" s="24">
        <v>73.900000000000006</v>
      </c>
      <c r="Q269" s="22">
        <v>5275</v>
      </c>
      <c r="R269" s="23">
        <v>851</v>
      </c>
      <c r="U269" s="19">
        <v>244</v>
      </c>
      <c r="V269" s="19">
        <v>0</v>
      </c>
      <c r="W269" s="19">
        <v>32</v>
      </c>
      <c r="X269" s="19">
        <f t="shared" si="61"/>
        <v>1.1481497741731836</v>
      </c>
      <c r="Y269" s="19">
        <f t="shared" si="62"/>
        <v>-0.32506795553278761</v>
      </c>
      <c r="Z269" s="19">
        <f t="shared" si="63"/>
        <v>-0.5624904088510948</v>
      </c>
      <c r="AA269" s="19">
        <f t="shared" si="64"/>
        <v>-0.37038741176023549</v>
      </c>
      <c r="AB269" s="19">
        <f t="shared" si="65"/>
        <v>-0.2378101195564554</v>
      </c>
      <c r="AC269" s="19">
        <f t="shared" si="66"/>
        <v>1.7904139073639649</v>
      </c>
      <c r="AD269" s="19">
        <f t="shared" si="67"/>
        <v>-0.28230847954336741</v>
      </c>
      <c r="AE269" s="19">
        <f t="shared" si="68"/>
        <v>-0.38158577302307595</v>
      </c>
      <c r="AF269" s="19">
        <f t="shared" si="69"/>
        <v>-0.37014300094930397</v>
      </c>
      <c r="AG269" s="19">
        <f t="shared" si="70"/>
        <v>-0.33838866106546467</v>
      </c>
      <c r="AH269" s="19">
        <f t="shared" si="71"/>
        <v>-0.21382182270274205</v>
      </c>
      <c r="AI269" s="19">
        <f t="shared" si="72"/>
        <v>-0.94082794599577713</v>
      </c>
      <c r="AJ269" s="19">
        <f t="shared" si="73"/>
        <v>-0.94234851919749385</v>
      </c>
      <c r="AK269" s="19">
        <f t="shared" si="74"/>
        <v>-0.32477908065021299</v>
      </c>
      <c r="AL269" s="19">
        <f t="shared" si="75"/>
        <v>6.1793245664292902E-2</v>
      </c>
      <c r="BV269" s="16">
        <v>0</v>
      </c>
      <c r="BW269" s="18">
        <v>241</v>
      </c>
      <c r="BX269" s="48">
        <v>0.49895472984951572</v>
      </c>
      <c r="BY269" s="48">
        <v>-0.18302298402029854</v>
      </c>
      <c r="BZ269" s="18" t="e">
        <f t="shared" si="76"/>
        <v>#N/A</v>
      </c>
    </row>
    <row r="270" spans="1:78" x14ac:dyDescent="0.3">
      <c r="A270" s="19">
        <v>245</v>
      </c>
      <c r="B270" s="19">
        <v>0</v>
      </c>
      <c r="C270" s="19">
        <v>2</v>
      </c>
      <c r="D270" s="19">
        <v>53.5350355147866</v>
      </c>
      <c r="E270" s="22">
        <v>10189</v>
      </c>
      <c r="F270" s="22">
        <v>2916</v>
      </c>
      <c r="G270" s="23">
        <v>3061</v>
      </c>
      <c r="H270" s="23">
        <v>4212</v>
      </c>
      <c r="I270" s="24">
        <v>17.3</v>
      </c>
      <c r="J270" s="24">
        <v>59.1</v>
      </c>
      <c r="K270" s="22">
        <v>8657</v>
      </c>
      <c r="L270" s="22">
        <v>32791</v>
      </c>
      <c r="M270" s="22">
        <v>10003</v>
      </c>
      <c r="N270" s="22">
        <v>5128</v>
      </c>
      <c r="O270" s="25">
        <v>3323.37</v>
      </c>
      <c r="P270" s="24">
        <v>80.099999999999994</v>
      </c>
      <c r="Q270" s="22">
        <v>14266</v>
      </c>
      <c r="R270" s="23">
        <v>20</v>
      </c>
      <c r="U270" s="19">
        <v>245</v>
      </c>
      <c r="V270" s="19">
        <v>0</v>
      </c>
      <c r="W270" s="19">
        <v>2</v>
      </c>
      <c r="X270" s="19">
        <f t="shared" si="61"/>
        <v>-0.13202306698917382</v>
      </c>
      <c r="Y270" s="19">
        <f t="shared" si="62"/>
        <v>-0.36537741665695844</v>
      </c>
      <c r="Z270" s="19">
        <f t="shared" si="63"/>
        <v>-0.60948489770262559</v>
      </c>
      <c r="AA270" s="19">
        <f t="shared" si="64"/>
        <v>-0.52514421374849662</v>
      </c>
      <c r="AB270" s="19">
        <f t="shared" si="65"/>
        <v>-0.24749880038310293</v>
      </c>
      <c r="AC270" s="19">
        <f t="shared" si="66"/>
        <v>0.9551305420042876</v>
      </c>
      <c r="AD270" s="19">
        <f t="shared" si="67"/>
        <v>-0.29031370757630648</v>
      </c>
      <c r="AE270" s="19">
        <f t="shared" si="68"/>
        <v>-0.48735653879548918</v>
      </c>
      <c r="AF270" s="19">
        <f t="shared" si="69"/>
        <v>-0.42534809314328204</v>
      </c>
      <c r="AG270" s="19">
        <f t="shared" si="70"/>
        <v>-0.36064090126898968</v>
      </c>
      <c r="AH270" s="19">
        <f t="shared" si="71"/>
        <v>-0.24373924976019684</v>
      </c>
      <c r="AI270" s="19">
        <f t="shared" si="72"/>
        <v>-0.42358872946336396</v>
      </c>
      <c r="AJ270" s="19">
        <f t="shared" si="73"/>
        <v>-0.42071581602816244</v>
      </c>
      <c r="AK270" s="19">
        <f t="shared" si="74"/>
        <v>-0.12319905968843434</v>
      </c>
      <c r="AL270" s="19">
        <f t="shared" si="75"/>
        <v>-0.39307810302027074</v>
      </c>
      <c r="BV270" s="16">
        <v>0</v>
      </c>
      <c r="BW270" s="18">
        <v>242</v>
      </c>
      <c r="BX270" s="48">
        <v>0.81071504467593891</v>
      </c>
      <c r="BY270" s="48">
        <v>-0.41522890292305575</v>
      </c>
      <c r="BZ270" s="18" t="e">
        <f t="shared" si="76"/>
        <v>#N/A</v>
      </c>
    </row>
    <row r="271" spans="1:78" x14ac:dyDescent="0.3">
      <c r="A271" s="19">
        <v>246</v>
      </c>
      <c r="B271" s="19">
        <v>0</v>
      </c>
      <c r="C271" s="19">
        <v>2</v>
      </c>
      <c r="D271" s="19">
        <v>72.729327157849895</v>
      </c>
      <c r="E271" s="22">
        <v>9741</v>
      </c>
      <c r="F271" s="22">
        <v>1798</v>
      </c>
      <c r="G271" s="23">
        <v>3637</v>
      </c>
      <c r="H271" s="23">
        <v>4306</v>
      </c>
      <c r="I271" s="24">
        <v>11.6</v>
      </c>
      <c r="J271" s="24">
        <v>75.599999999999994</v>
      </c>
      <c r="K271" s="22">
        <v>7427</v>
      </c>
      <c r="L271" s="22">
        <v>28016</v>
      </c>
      <c r="M271" s="22">
        <v>8959</v>
      </c>
      <c r="N271" s="22">
        <v>4326</v>
      </c>
      <c r="O271" s="25">
        <v>3269.22</v>
      </c>
      <c r="P271" s="24">
        <v>78.8</v>
      </c>
      <c r="Q271" s="22">
        <v>100</v>
      </c>
      <c r="R271" s="23">
        <v>130</v>
      </c>
      <c r="U271" s="19">
        <v>246</v>
      </c>
      <c r="V271" s="19">
        <v>0</v>
      </c>
      <c r="W271" s="19">
        <v>2</v>
      </c>
      <c r="X271" s="19">
        <f t="shared" si="61"/>
        <v>0.46193087742863126</v>
      </c>
      <c r="Y271" s="19">
        <f t="shared" si="62"/>
        <v>-0.37377287857403352</v>
      </c>
      <c r="Z271" s="19">
        <f t="shared" si="63"/>
        <v>-0.81471864198391974</v>
      </c>
      <c r="AA271" s="19">
        <f t="shared" si="64"/>
        <v>-0.46387966533252523</v>
      </c>
      <c r="AB271" s="19">
        <f t="shared" si="65"/>
        <v>-0.24542894584286459</v>
      </c>
      <c r="AC271" s="19">
        <f t="shared" si="66"/>
        <v>-0.12694109039347654</v>
      </c>
      <c r="AD271" s="19">
        <f t="shared" si="67"/>
        <v>-0.27773406352454511</v>
      </c>
      <c r="AE271" s="19">
        <f t="shared" si="68"/>
        <v>-0.55041908940143602</v>
      </c>
      <c r="AF271" s="19">
        <f t="shared" si="69"/>
        <v>-0.49221879715805755</v>
      </c>
      <c r="AG271" s="19">
        <f t="shared" si="70"/>
        <v>-0.3989764437978347</v>
      </c>
      <c r="AH271" s="19">
        <f t="shared" si="71"/>
        <v>-0.2769716271841286</v>
      </c>
      <c r="AI271" s="19">
        <f t="shared" si="72"/>
        <v>-0.5333485208860077</v>
      </c>
      <c r="AJ271" s="19">
        <f t="shared" si="73"/>
        <v>-0.53009041507979637</v>
      </c>
      <c r="AK271" s="19">
        <f t="shared" si="74"/>
        <v>-0.44080361723982531</v>
      </c>
      <c r="AL271" s="19">
        <f t="shared" si="75"/>
        <v>-0.33286649248440792</v>
      </c>
      <c r="BV271" s="16">
        <v>0</v>
      </c>
      <c r="BW271" s="18">
        <v>243</v>
      </c>
      <c r="BX271" s="48">
        <v>1.6644329727202687</v>
      </c>
      <c r="BY271" s="48">
        <v>-0.92363374381689012</v>
      </c>
      <c r="BZ271" s="18" t="e">
        <f t="shared" si="76"/>
        <v>#N/A</v>
      </c>
    </row>
    <row r="272" spans="1:78" x14ac:dyDescent="0.3">
      <c r="A272" s="19">
        <v>247</v>
      </c>
      <c r="B272" s="19">
        <v>0</v>
      </c>
      <c r="C272" s="19">
        <v>32</v>
      </c>
      <c r="D272" s="19">
        <v>42.472935429527602</v>
      </c>
      <c r="E272" s="22">
        <v>111379</v>
      </c>
      <c r="F272" s="22">
        <v>1492</v>
      </c>
      <c r="G272" s="23">
        <v>22166</v>
      </c>
      <c r="H272" s="23">
        <v>87721</v>
      </c>
      <c r="I272" s="24">
        <v>6.8</v>
      </c>
      <c r="J272" s="24">
        <v>1866.5</v>
      </c>
      <c r="K272" s="22">
        <v>63114</v>
      </c>
      <c r="L272" s="22">
        <v>250253</v>
      </c>
      <c r="M272" s="22">
        <v>92290</v>
      </c>
      <c r="N272" s="22">
        <v>67989</v>
      </c>
      <c r="O272" s="25">
        <v>4381.58</v>
      </c>
      <c r="P272" s="24">
        <v>105.6</v>
      </c>
      <c r="Q272" s="22">
        <v>78839</v>
      </c>
      <c r="R272" s="23">
        <v>0</v>
      </c>
      <c r="U272" s="19">
        <v>247</v>
      </c>
      <c r="V272" s="19">
        <v>0</v>
      </c>
      <c r="W272" s="19">
        <v>32</v>
      </c>
      <c r="X272" s="19">
        <f t="shared" si="61"/>
        <v>-0.47433202536944391</v>
      </c>
      <c r="Y272" s="19">
        <f t="shared" si="62"/>
        <v>1.5309100641216769</v>
      </c>
      <c r="Z272" s="19">
        <f t="shared" si="63"/>
        <v>-0.87089174193926511</v>
      </c>
      <c r="AA272" s="19">
        <f t="shared" si="64"/>
        <v>1.5069030041111116</v>
      </c>
      <c r="AB272" s="19">
        <f t="shared" si="65"/>
        <v>1.5913467613271457</v>
      </c>
      <c r="AC272" s="19">
        <f t="shared" si="66"/>
        <v>-1.0381593071494883</v>
      </c>
      <c r="AD272" s="19">
        <f t="shared" si="67"/>
        <v>1.0876528778269379</v>
      </c>
      <c r="AE272" s="19">
        <f t="shared" si="68"/>
        <v>2.3046738013248733</v>
      </c>
      <c r="AF272" s="19">
        <f t="shared" si="69"/>
        <v>2.6200628045449106</v>
      </c>
      <c r="AG272" s="19">
        <f t="shared" si="70"/>
        <v>2.6609269033967866</v>
      </c>
      <c r="AH272" s="19">
        <f t="shared" si="71"/>
        <v>2.3610244375786751</v>
      </c>
      <c r="AI272" s="19">
        <f t="shared" si="72"/>
        <v>1.721358802971644</v>
      </c>
      <c r="AJ272" s="19">
        <f t="shared" si="73"/>
        <v>1.7247090115231236</v>
      </c>
      <c r="AK272" s="19">
        <f t="shared" si="74"/>
        <v>1.3245405347465489</v>
      </c>
      <c r="AL272" s="19">
        <f t="shared" si="75"/>
        <v>-0.40402566857224581</v>
      </c>
      <c r="BV272" s="16">
        <v>0</v>
      </c>
      <c r="BW272" s="18">
        <v>244</v>
      </c>
      <c r="BX272" s="48">
        <v>1.5316186095693824</v>
      </c>
      <c r="BY272" s="48">
        <v>-1.3353213858846</v>
      </c>
      <c r="BZ272" s="18" t="e">
        <f t="shared" si="76"/>
        <v>#N/A</v>
      </c>
    </row>
    <row r="273" spans="1:78" x14ac:dyDescent="0.3">
      <c r="A273" s="19">
        <v>248</v>
      </c>
      <c r="B273" s="19">
        <v>1</v>
      </c>
      <c r="C273" s="19">
        <v>2</v>
      </c>
      <c r="D273" s="19">
        <v>0</v>
      </c>
      <c r="E273" s="22">
        <v>263070</v>
      </c>
      <c r="F273" s="22">
        <v>1963</v>
      </c>
      <c r="G273" s="23">
        <v>49138</v>
      </c>
      <c r="H273" s="23">
        <v>211969</v>
      </c>
      <c r="I273" s="24">
        <v>3.3</v>
      </c>
      <c r="J273" s="24">
        <v>4655.8999999999996</v>
      </c>
      <c r="K273" s="22">
        <v>98253</v>
      </c>
      <c r="L273" s="22">
        <v>393121</v>
      </c>
      <c r="M273" s="22">
        <v>144385</v>
      </c>
      <c r="N273" s="22">
        <v>113237</v>
      </c>
      <c r="O273" s="25">
        <v>4569.88</v>
      </c>
      <c r="P273" s="24">
        <v>110.1</v>
      </c>
      <c r="Q273" s="22">
        <v>159294</v>
      </c>
      <c r="R273" s="23">
        <v>0</v>
      </c>
      <c r="U273" s="19">
        <v>248</v>
      </c>
      <c r="V273" s="19">
        <v>1</v>
      </c>
      <c r="W273" s="19">
        <v>2</v>
      </c>
      <c r="X273" s="19">
        <f t="shared" si="61"/>
        <v>-1.7886273376680637</v>
      </c>
      <c r="Y273" s="19">
        <f t="shared" si="62"/>
        <v>4.3735797374766721</v>
      </c>
      <c r="Z273" s="19">
        <f t="shared" si="63"/>
        <v>-0.78442922534133164</v>
      </c>
      <c r="AA273" s="19">
        <f t="shared" si="64"/>
        <v>4.3757005733395511</v>
      </c>
      <c r="AB273" s="19">
        <f t="shared" si="65"/>
        <v>4.3272540689391983</v>
      </c>
      <c r="AC273" s="19">
        <f t="shared" si="66"/>
        <v>-1.7025892568674137</v>
      </c>
      <c r="AD273" s="19">
        <f t="shared" si="67"/>
        <v>3.2142988849774357</v>
      </c>
      <c r="AE273" s="19">
        <f t="shared" si="68"/>
        <v>4.1062632043674467</v>
      </c>
      <c r="AF273" s="19">
        <f t="shared" si="69"/>
        <v>4.6208342686669956</v>
      </c>
      <c r="AG273" s="19">
        <f t="shared" si="70"/>
        <v>4.5738484436651596</v>
      </c>
      <c r="AH273" s="19">
        <f t="shared" si="71"/>
        <v>4.2359603648580579</v>
      </c>
      <c r="AI273" s="19">
        <f t="shared" si="72"/>
        <v>2.1030350490452139</v>
      </c>
      <c r="AJ273" s="19">
        <f t="shared" si="73"/>
        <v>2.1033133928557035</v>
      </c>
      <c r="AK273" s="19">
        <f t="shared" si="74"/>
        <v>3.1283577504600291</v>
      </c>
      <c r="AL273" s="19">
        <f t="shared" si="75"/>
        <v>-0.40402566857224581</v>
      </c>
      <c r="BV273" s="16">
        <v>0</v>
      </c>
      <c r="BW273" s="18">
        <v>245</v>
      </c>
      <c r="BX273" s="48">
        <v>1.2193999275408967</v>
      </c>
      <c r="BY273" s="48">
        <v>-0.26810267524660292</v>
      </c>
      <c r="BZ273" s="18" t="e">
        <f t="shared" si="76"/>
        <v>#N/A</v>
      </c>
    </row>
    <row r="274" spans="1:78" x14ac:dyDescent="0.3">
      <c r="A274" s="19">
        <v>249</v>
      </c>
      <c r="B274" s="19">
        <v>0</v>
      </c>
      <c r="C274" s="19">
        <v>32</v>
      </c>
      <c r="D274" s="19">
        <v>139.72476155418099</v>
      </c>
      <c r="E274" s="22">
        <v>10769</v>
      </c>
      <c r="F274" s="22">
        <v>3099</v>
      </c>
      <c r="G274" s="23">
        <v>3089</v>
      </c>
      <c r="H274" s="23">
        <v>4581</v>
      </c>
      <c r="I274" s="24">
        <v>20</v>
      </c>
      <c r="J274" s="24">
        <v>186.4</v>
      </c>
      <c r="K274" s="22">
        <v>10704</v>
      </c>
      <c r="L274" s="22">
        <v>36241</v>
      </c>
      <c r="M274" s="22">
        <v>10243</v>
      </c>
      <c r="N274" s="22">
        <v>5873</v>
      </c>
      <c r="O274" s="25">
        <v>3120.7</v>
      </c>
      <c r="P274" s="24">
        <v>75.2</v>
      </c>
      <c r="Q274" s="22">
        <v>1512</v>
      </c>
      <c r="R274" s="23">
        <v>0</v>
      </c>
      <c r="U274" s="19">
        <v>249</v>
      </c>
      <c r="V274" s="19">
        <v>0</v>
      </c>
      <c r="W274" s="19">
        <v>32</v>
      </c>
      <c r="X274" s="19">
        <f t="shared" si="61"/>
        <v>2.5350577871192947</v>
      </c>
      <c r="Y274" s="19">
        <f t="shared" si="62"/>
        <v>-0.35450829185360228</v>
      </c>
      <c r="Z274" s="19">
        <f t="shared" si="63"/>
        <v>-0.57589118106266413</v>
      </c>
      <c r="AA274" s="19">
        <f t="shared" si="64"/>
        <v>-0.5221660759782758</v>
      </c>
      <c r="AB274" s="19">
        <f t="shared" si="65"/>
        <v>-0.2393735203262099</v>
      </c>
      <c r="AC274" s="19">
        <f t="shared" si="66"/>
        <v>1.4676907889295441</v>
      </c>
      <c r="AD274" s="19">
        <f t="shared" si="67"/>
        <v>-0.19325984771029289</v>
      </c>
      <c r="AE274" s="19">
        <f t="shared" si="68"/>
        <v>-0.38240609888461674</v>
      </c>
      <c r="AF274" s="19">
        <f t="shared" si="69"/>
        <v>-0.37703313422161172</v>
      </c>
      <c r="AG274" s="19">
        <f t="shared" si="70"/>
        <v>-0.35182813287155401</v>
      </c>
      <c r="AH274" s="19">
        <f t="shared" si="71"/>
        <v>-0.2128687744723799</v>
      </c>
      <c r="AI274" s="19">
        <f t="shared" si="72"/>
        <v>-0.83439236616931378</v>
      </c>
      <c r="AJ274" s="19">
        <f t="shared" si="73"/>
        <v>-0.8329739201458598</v>
      </c>
      <c r="AK274" s="19">
        <f t="shared" si="74"/>
        <v>-0.40914629440609923</v>
      </c>
      <c r="AL274" s="19">
        <f t="shared" si="75"/>
        <v>-0.40402566857224581</v>
      </c>
      <c r="BV274" s="16">
        <v>0</v>
      </c>
      <c r="BW274" s="18">
        <v>246</v>
      </c>
      <c r="BX274" s="48">
        <v>1.3005120604842286</v>
      </c>
      <c r="BY274" s="48">
        <v>-7.1896364235139676E-2</v>
      </c>
      <c r="BZ274" s="18" t="e">
        <f t="shared" si="76"/>
        <v>#N/A</v>
      </c>
    </row>
    <row r="275" spans="1:78" x14ac:dyDescent="0.3">
      <c r="A275" s="19">
        <v>250</v>
      </c>
      <c r="B275" s="19">
        <v>0</v>
      </c>
      <c r="C275" s="19">
        <v>24</v>
      </c>
      <c r="D275" s="19">
        <v>69.113335443228806</v>
      </c>
      <c r="E275" s="22">
        <v>28072</v>
      </c>
      <c r="F275" s="22">
        <v>11641</v>
      </c>
      <c r="G275" s="23">
        <v>7906</v>
      </c>
      <c r="H275" s="23">
        <v>8525</v>
      </c>
      <c r="I275" s="24">
        <v>14.7</v>
      </c>
      <c r="J275" s="24">
        <v>201.8</v>
      </c>
      <c r="K275" s="22">
        <v>23014</v>
      </c>
      <c r="L275" s="22">
        <v>85987</v>
      </c>
      <c r="M275" s="22">
        <v>26632</v>
      </c>
      <c r="N275" s="22">
        <v>10571</v>
      </c>
      <c r="O275" s="25">
        <v>3209.23</v>
      </c>
      <c r="P275" s="24">
        <v>77.3</v>
      </c>
      <c r="Q275" s="22">
        <v>386</v>
      </c>
      <c r="R275" s="23">
        <v>1044</v>
      </c>
      <c r="U275" s="19">
        <v>250</v>
      </c>
      <c r="V275" s="19">
        <v>0</v>
      </c>
      <c r="W275" s="19">
        <v>24</v>
      </c>
      <c r="X275" s="19">
        <f t="shared" si="61"/>
        <v>0.35003654020481001</v>
      </c>
      <c r="Y275" s="19">
        <f t="shared" si="62"/>
        <v>-3.0252315176927436E-2</v>
      </c>
      <c r="Z275" s="19">
        <f t="shared" si="63"/>
        <v>0.99218273991302053</v>
      </c>
      <c r="AA275" s="19">
        <f t="shared" si="64"/>
        <v>-9.8200174370702536E-3</v>
      </c>
      <c r="AB275" s="19">
        <f t="shared" si="65"/>
        <v>-0.15252770855280559</v>
      </c>
      <c r="AC275" s="19">
        <f t="shared" si="66"/>
        <v>0.46155400792811435</v>
      </c>
      <c r="AD275" s="19">
        <f t="shared" si="67"/>
        <v>-0.18151884659531559</v>
      </c>
      <c r="AE275" s="19">
        <f t="shared" si="68"/>
        <v>0.24873211083831437</v>
      </c>
      <c r="AF275" s="19">
        <f t="shared" si="69"/>
        <v>0.31962656042111587</v>
      </c>
      <c r="AG275" s="19">
        <f t="shared" si="70"/>
        <v>0.24997378906833212</v>
      </c>
      <c r="AH275" s="19">
        <f t="shared" si="71"/>
        <v>-1.8198314201018966E-2</v>
      </c>
      <c r="AI275" s="19">
        <f t="shared" si="72"/>
        <v>-0.65494574872431555</v>
      </c>
      <c r="AJ275" s="19">
        <f t="shared" si="73"/>
        <v>-0.65629187552398971</v>
      </c>
      <c r="AK275" s="19">
        <f t="shared" si="74"/>
        <v>-0.43439143995197427</v>
      </c>
      <c r="AL275" s="19">
        <f t="shared" si="75"/>
        <v>0.16743725324085221</v>
      </c>
      <c r="BV275" s="16">
        <v>0</v>
      </c>
      <c r="BW275" s="18">
        <v>247</v>
      </c>
      <c r="BX275" s="48">
        <v>-6.247269173050646</v>
      </c>
      <c r="BY275" s="48">
        <v>0.89105879998060522</v>
      </c>
      <c r="BZ275" s="18" t="e">
        <f t="shared" si="76"/>
        <v>#N/A</v>
      </c>
    </row>
    <row r="276" spans="1:78" x14ac:dyDescent="0.3">
      <c r="A276" s="19">
        <v>251</v>
      </c>
      <c r="B276" s="19">
        <v>0</v>
      </c>
      <c r="C276" s="19">
        <v>28</v>
      </c>
      <c r="D276" s="19">
        <v>71.003508784013903</v>
      </c>
      <c r="E276" s="22">
        <v>12255</v>
      </c>
      <c r="F276" s="22">
        <v>4027</v>
      </c>
      <c r="G276" s="23">
        <v>4196</v>
      </c>
      <c r="H276" s="23">
        <v>4032</v>
      </c>
      <c r="I276" s="24">
        <v>22.9</v>
      </c>
      <c r="J276" s="24">
        <v>257.2</v>
      </c>
      <c r="K276" s="22">
        <v>11580</v>
      </c>
      <c r="L276" s="22">
        <v>37356</v>
      </c>
      <c r="M276" s="22">
        <v>9284</v>
      </c>
      <c r="N276" s="22">
        <v>3995</v>
      </c>
      <c r="O276" s="25">
        <v>3199.49</v>
      </c>
      <c r="P276" s="24">
        <v>77.099999999999994</v>
      </c>
      <c r="Q276" s="22">
        <v>6947</v>
      </c>
      <c r="R276" s="23">
        <v>786</v>
      </c>
      <c r="U276" s="19">
        <v>251</v>
      </c>
      <c r="V276" s="19">
        <v>0</v>
      </c>
      <c r="W276" s="19">
        <v>28</v>
      </c>
      <c r="X276" s="19">
        <f t="shared" si="61"/>
        <v>0.40852663362789382</v>
      </c>
      <c r="Y276" s="19">
        <f t="shared" si="62"/>
        <v>-0.32666084451258981</v>
      </c>
      <c r="Z276" s="19">
        <f t="shared" si="63"/>
        <v>-0.40553615897586531</v>
      </c>
      <c r="AA276" s="19">
        <f t="shared" si="64"/>
        <v>-0.40442327199133071</v>
      </c>
      <c r="AB276" s="19">
        <f t="shared" si="65"/>
        <v>-0.25146235163036784</v>
      </c>
      <c r="AC276" s="19">
        <f t="shared" si="66"/>
        <v>2.0182184615529675</v>
      </c>
      <c r="AD276" s="19">
        <f t="shared" si="67"/>
        <v>-0.13928173868818949</v>
      </c>
      <c r="AE276" s="19">
        <f t="shared" si="68"/>
        <v>-0.33749325796525947</v>
      </c>
      <c r="AF276" s="19">
        <f t="shared" si="69"/>
        <v>-0.36141829967156469</v>
      </c>
      <c r="AG276" s="19">
        <f t="shared" si="70"/>
        <v>-0.38704248659297391</v>
      </c>
      <c r="AH276" s="19">
        <f t="shared" si="71"/>
        <v>-0.29068723432542715</v>
      </c>
      <c r="AI276" s="19">
        <f t="shared" si="72"/>
        <v>-0.67468832247235933</v>
      </c>
      <c r="AJ276" s="19">
        <f t="shared" si="73"/>
        <v>-0.673118736916549</v>
      </c>
      <c r="AK276" s="19">
        <f t="shared" si="74"/>
        <v>-0.28729250573662229</v>
      </c>
      <c r="AL276" s="19">
        <f t="shared" si="75"/>
        <v>2.6213657620373969E-2</v>
      </c>
      <c r="BV276" s="16">
        <v>1</v>
      </c>
      <c r="BW276" s="18">
        <v>248</v>
      </c>
      <c r="BX276" s="48">
        <v>-12.917361113489784</v>
      </c>
      <c r="BY276" s="48">
        <v>-2.6673492430349152E-2</v>
      </c>
      <c r="BZ276" s="18">
        <f t="shared" si="76"/>
        <v>-2.6673492430349152E-2</v>
      </c>
    </row>
    <row r="277" spans="1:78" x14ac:dyDescent="0.3">
      <c r="A277" s="19">
        <v>252</v>
      </c>
      <c r="B277" s="19">
        <v>0</v>
      </c>
      <c r="C277" s="19">
        <v>28</v>
      </c>
      <c r="D277" s="19">
        <v>119.53381356697901</v>
      </c>
      <c r="E277" s="22">
        <v>19652</v>
      </c>
      <c r="F277" s="22">
        <v>3377</v>
      </c>
      <c r="G277" s="23">
        <v>6686</v>
      </c>
      <c r="H277" s="23">
        <v>9589</v>
      </c>
      <c r="I277" s="24">
        <v>19.100000000000001</v>
      </c>
      <c r="J277" s="24">
        <v>403.8</v>
      </c>
      <c r="K277" s="22">
        <v>17833</v>
      </c>
      <c r="L277" s="22">
        <v>57860</v>
      </c>
      <c r="M277" s="22">
        <v>14387</v>
      </c>
      <c r="N277" s="22">
        <v>6784</v>
      </c>
      <c r="O277" s="25">
        <v>3184.73</v>
      </c>
      <c r="P277" s="24">
        <v>76.7</v>
      </c>
      <c r="Q277" s="22">
        <v>8336</v>
      </c>
      <c r="R277" s="23">
        <v>770</v>
      </c>
      <c r="U277" s="19">
        <v>252</v>
      </c>
      <c r="V277" s="19">
        <v>0</v>
      </c>
      <c r="W277" s="19">
        <v>28</v>
      </c>
      <c r="X277" s="19">
        <f t="shared" si="61"/>
        <v>1.9102630084660608</v>
      </c>
      <c r="Y277" s="19">
        <f t="shared" si="62"/>
        <v>-0.18804202352909771</v>
      </c>
      <c r="Z277" s="19">
        <f t="shared" si="63"/>
        <v>-0.52485810332545502</v>
      </c>
      <c r="AA277" s="19">
        <f t="shared" si="64"/>
        <v>-0.13958173456812087</v>
      </c>
      <c r="AB277" s="19">
        <f t="shared" si="65"/>
        <v>-0.12909871673563972</v>
      </c>
      <c r="AC277" s="19">
        <f t="shared" si="66"/>
        <v>1.2968373732877922</v>
      </c>
      <c r="AD277" s="19">
        <f t="shared" si="67"/>
        <v>-2.7513507294964042E-2</v>
      </c>
      <c r="AE277" s="19">
        <f t="shared" si="68"/>
        <v>-1.689965720185671E-2</v>
      </c>
      <c r="AF277" s="19">
        <f t="shared" si="69"/>
        <v>-7.4273395981730578E-2</v>
      </c>
      <c r="AG277" s="19">
        <f t="shared" si="70"/>
        <v>-0.19966099854249866</v>
      </c>
      <c r="AH277" s="19">
        <f t="shared" si="71"/>
        <v>-0.17511977717412325</v>
      </c>
      <c r="AI277" s="19">
        <f t="shared" si="72"/>
        <v>-0.70460622683797691</v>
      </c>
      <c r="AJ277" s="19">
        <f t="shared" si="73"/>
        <v>-0.70677245970166658</v>
      </c>
      <c r="AK277" s="19">
        <f t="shared" si="74"/>
        <v>-0.25615084750996114</v>
      </c>
      <c r="AL277" s="19">
        <f t="shared" si="75"/>
        <v>1.7455605178793923E-2</v>
      </c>
      <c r="BV277" s="16">
        <v>0</v>
      </c>
      <c r="BW277" s="18">
        <v>249</v>
      </c>
      <c r="BX277" s="48">
        <v>1.6104897202549602</v>
      </c>
      <c r="BY277" s="48">
        <v>-1.4305181533159981</v>
      </c>
      <c r="BZ277" s="18" t="e">
        <f t="shared" si="76"/>
        <v>#N/A</v>
      </c>
    </row>
    <row r="278" spans="1:78" x14ac:dyDescent="0.3">
      <c r="A278" s="19">
        <v>253</v>
      </c>
      <c r="B278" s="19">
        <v>0</v>
      </c>
      <c r="C278" s="19">
        <v>28</v>
      </c>
      <c r="D278" s="19">
        <v>89.3825604110217</v>
      </c>
      <c r="E278" s="22">
        <v>11203</v>
      </c>
      <c r="F278" s="22">
        <v>3267</v>
      </c>
      <c r="G278" s="23">
        <v>2584</v>
      </c>
      <c r="H278" s="23">
        <v>5352</v>
      </c>
      <c r="I278" s="24">
        <v>16</v>
      </c>
      <c r="J278" s="24">
        <v>69.8</v>
      </c>
      <c r="K278" s="22">
        <v>10187</v>
      </c>
      <c r="L278" s="22">
        <v>36381</v>
      </c>
      <c r="M278" s="22">
        <v>10718</v>
      </c>
      <c r="N278" s="22">
        <v>5520</v>
      </c>
      <c r="O278" s="25">
        <v>3369.69</v>
      </c>
      <c r="P278" s="24">
        <v>81.2</v>
      </c>
      <c r="Q278" s="22">
        <v>10629</v>
      </c>
      <c r="R278" s="23">
        <v>425</v>
      </c>
      <c r="U278" s="19">
        <v>253</v>
      </c>
      <c r="V278" s="19">
        <v>0</v>
      </c>
      <c r="W278" s="19">
        <v>28</v>
      </c>
      <c r="X278" s="19">
        <f t="shared" si="61"/>
        <v>0.97725354533264797</v>
      </c>
      <c r="Y278" s="19">
        <f t="shared" si="62"/>
        <v>-0.34637518812143575</v>
      </c>
      <c r="Z278" s="19">
        <f t="shared" si="63"/>
        <v>-0.54505104775384716</v>
      </c>
      <c r="AA278" s="19">
        <f t="shared" si="64"/>
        <v>-0.57587891790547296</v>
      </c>
      <c r="AB278" s="19">
        <f t="shared" si="65"/>
        <v>-0.22239630915042521</v>
      </c>
      <c r="AC278" s="19">
        <f t="shared" si="66"/>
        <v>0.70834227496620095</v>
      </c>
      <c r="AD278" s="19">
        <f t="shared" si="67"/>
        <v>-0.28215599900940669</v>
      </c>
      <c r="AE278" s="19">
        <f t="shared" si="68"/>
        <v>-0.40891287828565293</v>
      </c>
      <c r="AF278" s="19">
        <f t="shared" si="69"/>
        <v>-0.37507252719290629</v>
      </c>
      <c r="AG278" s="19">
        <f t="shared" si="70"/>
        <v>-0.33438619541829601</v>
      </c>
      <c r="AH278" s="19">
        <f t="shared" si="71"/>
        <v>-0.2274959929644596</v>
      </c>
      <c r="AI278" s="19">
        <f t="shared" si="72"/>
        <v>-0.3297000214541882</v>
      </c>
      <c r="AJ278" s="19">
        <f t="shared" si="73"/>
        <v>-0.32816807836908668</v>
      </c>
      <c r="AK278" s="19">
        <f t="shared" si="74"/>
        <v>-0.20474132820561697</v>
      </c>
      <c r="AL278" s="19">
        <f t="shared" si="75"/>
        <v>-0.17138990059277581</v>
      </c>
      <c r="BV278" s="16">
        <v>0</v>
      </c>
      <c r="BW278" s="18">
        <v>250</v>
      </c>
      <c r="BX278" s="48">
        <v>0.34579744959722691</v>
      </c>
      <c r="BY278" s="48">
        <v>-1.3458818494176494</v>
      </c>
      <c r="BZ278" s="18" t="e">
        <f t="shared" si="76"/>
        <v>#N/A</v>
      </c>
    </row>
    <row r="279" spans="1:78" x14ac:dyDescent="0.3">
      <c r="A279" s="19">
        <v>254</v>
      </c>
      <c r="B279" s="19">
        <v>0</v>
      </c>
      <c r="C279" s="19">
        <v>28</v>
      </c>
      <c r="D279" s="19">
        <v>63.895548011584097</v>
      </c>
      <c r="E279" s="22">
        <v>25937</v>
      </c>
      <c r="F279" s="22">
        <v>5552</v>
      </c>
      <c r="G279" s="23">
        <v>11700</v>
      </c>
      <c r="H279" s="23">
        <v>8685</v>
      </c>
      <c r="I279" s="24">
        <v>7.3</v>
      </c>
      <c r="J279" s="24">
        <v>369.1</v>
      </c>
      <c r="K279" s="22">
        <v>18638</v>
      </c>
      <c r="L279" s="22">
        <v>58612</v>
      </c>
      <c r="M279" s="22">
        <v>15545</v>
      </c>
      <c r="N279" s="22">
        <v>7096</v>
      </c>
      <c r="O279" s="25">
        <v>3172.7</v>
      </c>
      <c r="P279" s="24">
        <v>76.400000000000006</v>
      </c>
      <c r="Q279" s="22">
        <v>21751</v>
      </c>
      <c r="R279" s="23">
        <v>130</v>
      </c>
      <c r="U279" s="19">
        <v>254</v>
      </c>
      <c r="V279" s="19">
        <v>0</v>
      </c>
      <c r="W279" s="19">
        <v>28</v>
      </c>
      <c r="X279" s="19">
        <f t="shared" si="61"/>
        <v>0.1885757536443938</v>
      </c>
      <c r="Y279" s="19">
        <f t="shared" si="62"/>
        <v>-7.0261938375488428E-2</v>
      </c>
      <c r="Z279" s="19">
        <f t="shared" si="63"/>
        <v>-0.12558852030952034</v>
      </c>
      <c r="AA279" s="19">
        <f t="shared" si="64"/>
        <v>0.39371765042785273</v>
      </c>
      <c r="AB279" s="19">
        <f t="shared" si="65"/>
        <v>-0.14900455188857012</v>
      </c>
      <c r="AC279" s="19">
        <f t="shared" si="66"/>
        <v>-0.94324074290407034</v>
      </c>
      <c r="AD279" s="19">
        <f t="shared" si="67"/>
        <v>-5.3968879937153137E-2</v>
      </c>
      <c r="AE279" s="19">
        <f t="shared" si="68"/>
        <v>2.4372987706913356E-2</v>
      </c>
      <c r="AF279" s="19">
        <f t="shared" si="69"/>
        <v>-6.3742135370398384E-2</v>
      </c>
      <c r="AG279" s="19">
        <f t="shared" si="70"/>
        <v>-0.15713939102487173</v>
      </c>
      <c r="AH279" s="19">
        <f t="shared" si="71"/>
        <v>-0.16219147074486301</v>
      </c>
      <c r="AI279" s="19">
        <f t="shared" si="72"/>
        <v>-0.72899053507093037</v>
      </c>
      <c r="AJ279" s="19">
        <f t="shared" si="73"/>
        <v>-0.73201275179050496</v>
      </c>
      <c r="AK279" s="19">
        <f t="shared" si="74"/>
        <v>4.4616139610744093E-2</v>
      </c>
      <c r="AL279" s="19">
        <f t="shared" si="75"/>
        <v>-0.33286649248440792</v>
      </c>
      <c r="BV279" s="16">
        <v>0</v>
      </c>
      <c r="BW279" s="18">
        <v>251</v>
      </c>
      <c r="BX279" s="48">
        <v>1.3997722993794481</v>
      </c>
      <c r="BY279" s="48">
        <v>-1.0307124392700524</v>
      </c>
      <c r="BZ279" s="18" t="e">
        <f t="shared" si="76"/>
        <v>#N/A</v>
      </c>
    </row>
    <row r="280" spans="1:78" x14ac:dyDescent="0.3">
      <c r="A280" s="19">
        <v>255</v>
      </c>
      <c r="B280" s="19">
        <v>0</v>
      </c>
      <c r="C280" s="19">
        <v>28</v>
      </c>
      <c r="D280" s="19">
        <v>69.490786260149207</v>
      </c>
      <c r="E280" s="22">
        <v>11508</v>
      </c>
      <c r="F280" s="22">
        <v>3197</v>
      </c>
      <c r="G280" s="23">
        <v>3258</v>
      </c>
      <c r="H280" s="23">
        <v>5053</v>
      </c>
      <c r="I280" s="24">
        <v>27.4</v>
      </c>
      <c r="J280" s="24">
        <v>69.599999999999994</v>
      </c>
      <c r="K280" s="22">
        <v>11101</v>
      </c>
      <c r="L280" s="22">
        <v>41150</v>
      </c>
      <c r="M280" s="22">
        <v>12199</v>
      </c>
      <c r="N280" s="22">
        <v>4531</v>
      </c>
      <c r="O280" s="25">
        <v>3165.43</v>
      </c>
      <c r="P280" s="24">
        <v>76.3</v>
      </c>
      <c r="Q280" s="22">
        <v>6267</v>
      </c>
      <c r="R280" s="23">
        <v>417</v>
      </c>
      <c r="U280" s="19">
        <v>255</v>
      </c>
      <c r="V280" s="19">
        <v>0</v>
      </c>
      <c r="W280" s="19">
        <v>28</v>
      </c>
      <c r="X280" s="19">
        <f t="shared" si="61"/>
        <v>0.36171649202082901</v>
      </c>
      <c r="Y280" s="19">
        <f t="shared" si="62"/>
        <v>-0.34065952766449847</v>
      </c>
      <c r="Z280" s="19">
        <f t="shared" si="63"/>
        <v>-0.55790110329918752</v>
      </c>
      <c r="AA280" s="19">
        <f t="shared" si="64"/>
        <v>-0.50419088729372863</v>
      </c>
      <c r="AB280" s="19">
        <f t="shared" si="65"/>
        <v>-0.22898020816671524</v>
      </c>
      <c r="AC280" s="19">
        <f t="shared" si="66"/>
        <v>2.8724855397617288</v>
      </c>
      <c r="AD280" s="19">
        <f t="shared" si="67"/>
        <v>-0.28230847954336741</v>
      </c>
      <c r="AE280" s="19">
        <f t="shared" si="68"/>
        <v>-0.36205176344513634</v>
      </c>
      <c r="AF280" s="19">
        <f t="shared" si="69"/>
        <v>-0.30828584919364665</v>
      </c>
      <c r="AG280" s="19">
        <f t="shared" si="70"/>
        <v>-0.28000407043245357</v>
      </c>
      <c r="AH280" s="19">
        <f t="shared" si="71"/>
        <v>-0.26847706687003131</v>
      </c>
      <c r="AI280" s="19">
        <f t="shared" si="72"/>
        <v>-0.74372652184180044</v>
      </c>
      <c r="AJ280" s="19">
        <f t="shared" si="73"/>
        <v>-0.74042618248678527</v>
      </c>
      <c r="AK280" s="19">
        <f t="shared" si="74"/>
        <v>-0.30253824194549889</v>
      </c>
      <c r="AL280" s="19">
        <f t="shared" si="75"/>
        <v>-0.17576892681356585</v>
      </c>
      <c r="BV280" s="16">
        <v>0</v>
      </c>
      <c r="BW280" s="18">
        <v>252</v>
      </c>
      <c r="BX280" s="48">
        <v>0.91899709291414466</v>
      </c>
      <c r="BY280" s="48">
        <v>-1.2424998546322688</v>
      </c>
      <c r="BZ280" s="18" t="e">
        <f t="shared" si="76"/>
        <v>#N/A</v>
      </c>
    </row>
    <row r="281" spans="1:78" x14ac:dyDescent="0.3">
      <c r="A281" s="19">
        <v>256</v>
      </c>
      <c r="B281" s="19">
        <v>0</v>
      </c>
      <c r="C281" s="19">
        <v>28</v>
      </c>
      <c r="D281" s="19">
        <v>39.580769602380201</v>
      </c>
      <c r="E281" s="22">
        <v>8860</v>
      </c>
      <c r="F281" s="22">
        <v>2865</v>
      </c>
      <c r="G281" s="23">
        <v>2671</v>
      </c>
      <c r="H281" s="23">
        <v>3324</v>
      </c>
      <c r="I281" s="24">
        <v>22.2</v>
      </c>
      <c r="J281" s="24">
        <v>161.80000000000001</v>
      </c>
      <c r="K281" s="22">
        <v>7598</v>
      </c>
      <c r="L281" s="22">
        <v>26880</v>
      </c>
      <c r="M281" s="22">
        <v>7788</v>
      </c>
      <c r="N281" s="22">
        <v>3513</v>
      </c>
      <c r="O281" s="25">
        <v>3248.95</v>
      </c>
      <c r="P281" s="24">
        <v>78.3</v>
      </c>
      <c r="Q281" s="22">
        <v>11475</v>
      </c>
      <c r="R281" s="23">
        <v>353</v>
      </c>
      <c r="U281" s="19">
        <v>256</v>
      </c>
      <c r="V281" s="19">
        <v>0</v>
      </c>
      <c r="W281" s="19">
        <v>28</v>
      </c>
      <c r="X281" s="19">
        <f t="shared" si="61"/>
        <v>-0.56382807622086417</v>
      </c>
      <c r="Y281" s="19">
        <f t="shared" si="62"/>
        <v>-0.3902827043529245</v>
      </c>
      <c r="Z281" s="19">
        <f t="shared" si="63"/>
        <v>-0.61884708102851638</v>
      </c>
      <c r="AA281" s="19">
        <f t="shared" si="64"/>
        <v>-0.56662541840514402</v>
      </c>
      <c r="AB281" s="19">
        <f t="shared" si="65"/>
        <v>-0.26705231986960981</v>
      </c>
      <c r="AC281" s="19">
        <f t="shared" si="66"/>
        <v>1.8853324716093827</v>
      </c>
      <c r="AD281" s="19">
        <f t="shared" si="67"/>
        <v>-0.2120149533874644</v>
      </c>
      <c r="AE281" s="19">
        <f t="shared" si="68"/>
        <v>-0.54165185675621896</v>
      </c>
      <c r="AF281" s="19">
        <f t="shared" si="69"/>
        <v>-0.50812772276241047</v>
      </c>
      <c r="AG281" s="19">
        <f t="shared" si="70"/>
        <v>-0.44197540960365606</v>
      </c>
      <c r="AH281" s="19">
        <f t="shared" si="71"/>
        <v>-0.31065981028345097</v>
      </c>
      <c r="AI281" s="19">
        <f t="shared" si="72"/>
        <v>-0.57443496543147377</v>
      </c>
      <c r="AJ281" s="19">
        <f t="shared" si="73"/>
        <v>-0.57215756856119415</v>
      </c>
      <c r="AK281" s="19">
        <f t="shared" si="74"/>
        <v>-0.1857738387457499</v>
      </c>
      <c r="AL281" s="19">
        <f t="shared" si="75"/>
        <v>-0.21080113657988603</v>
      </c>
      <c r="BV281" s="16">
        <v>0</v>
      </c>
      <c r="BW281" s="18">
        <v>253</v>
      </c>
      <c r="BX281" s="48">
        <v>1.2050256813416409</v>
      </c>
      <c r="BY281" s="48">
        <v>-0.33057714668176208</v>
      </c>
      <c r="BZ281" s="18" t="e">
        <f t="shared" si="76"/>
        <v>#N/A</v>
      </c>
    </row>
    <row r="282" spans="1:78" x14ac:dyDescent="0.3">
      <c r="A282" s="19">
        <v>257</v>
      </c>
      <c r="B282" s="19">
        <v>0</v>
      </c>
      <c r="C282" s="19">
        <v>28</v>
      </c>
      <c r="D282" s="19">
        <v>55.183493438072198</v>
      </c>
      <c r="E282" s="22">
        <v>11409</v>
      </c>
      <c r="F282" s="22">
        <v>3009</v>
      </c>
      <c r="G282" s="23">
        <v>3444</v>
      </c>
      <c r="H282" s="23">
        <v>4956</v>
      </c>
      <c r="I282" s="24">
        <v>17.5</v>
      </c>
      <c r="J282" s="24">
        <v>105.4</v>
      </c>
      <c r="K282" s="22">
        <v>9276</v>
      </c>
      <c r="L282" s="22">
        <v>32820</v>
      </c>
      <c r="M282" s="22">
        <v>8600</v>
      </c>
      <c r="N282" s="22">
        <v>4690</v>
      </c>
      <c r="O282" s="25">
        <v>3077.81</v>
      </c>
      <c r="P282" s="24">
        <v>74.099999999999994</v>
      </c>
      <c r="Q282" s="22">
        <v>9286</v>
      </c>
      <c r="R282" s="23">
        <v>314</v>
      </c>
      <c r="U282" s="19">
        <v>257</v>
      </c>
      <c r="V282" s="19">
        <v>0</v>
      </c>
      <c r="W282" s="19">
        <v>28</v>
      </c>
      <c r="X282" s="19">
        <f t="shared" si="61"/>
        <v>-8.1012688281288117E-2</v>
      </c>
      <c r="Y282" s="19">
        <f t="shared" si="62"/>
        <v>-0.34251477482920928</v>
      </c>
      <c r="Z282" s="19">
        <f t="shared" si="63"/>
        <v>-0.59241268104953038</v>
      </c>
      <c r="AA282" s="19">
        <f t="shared" si="64"/>
        <v>-0.48440754353440452</v>
      </c>
      <c r="AB282" s="19">
        <f t="shared" si="65"/>
        <v>-0.231116121894408</v>
      </c>
      <c r="AC282" s="19">
        <f t="shared" si="66"/>
        <v>0.99309796770245462</v>
      </c>
      <c r="AD282" s="19">
        <f t="shared" si="67"/>
        <v>-0.25501446396439426</v>
      </c>
      <c r="AE282" s="19">
        <f t="shared" si="68"/>
        <v>-0.45562018202713056</v>
      </c>
      <c r="AF282" s="19">
        <f t="shared" si="69"/>
        <v>-0.4249419674016216</v>
      </c>
      <c r="AG282" s="19">
        <f t="shared" si="70"/>
        <v>-0.41215887652566552</v>
      </c>
      <c r="AH282" s="19">
        <f t="shared" si="71"/>
        <v>-0.26188860301665834</v>
      </c>
      <c r="AI282" s="19">
        <f t="shared" si="72"/>
        <v>-0.92132860724257648</v>
      </c>
      <c r="AJ282" s="19">
        <f t="shared" si="73"/>
        <v>-0.92552165780493567</v>
      </c>
      <c r="AK282" s="19">
        <f t="shared" si="74"/>
        <v>-0.23485165721814824</v>
      </c>
      <c r="AL282" s="19">
        <f t="shared" si="75"/>
        <v>-0.23214888940623737</v>
      </c>
      <c r="BV282" s="16">
        <v>0</v>
      </c>
      <c r="BW282" s="18">
        <v>254</v>
      </c>
      <c r="BX282" s="48">
        <v>0.22160399153772267</v>
      </c>
      <c r="BY282" s="48">
        <v>-0.46748936479902214</v>
      </c>
      <c r="BZ282" s="18" t="e">
        <f t="shared" si="76"/>
        <v>#N/A</v>
      </c>
    </row>
    <row r="283" spans="1:78" x14ac:dyDescent="0.3">
      <c r="A283" s="19">
        <v>258</v>
      </c>
      <c r="B283" s="19">
        <v>0</v>
      </c>
      <c r="C283" s="19">
        <v>28</v>
      </c>
      <c r="D283" s="19">
        <v>47.436477917609302</v>
      </c>
      <c r="E283" s="22">
        <v>7442</v>
      </c>
      <c r="F283" s="22">
        <v>1673</v>
      </c>
      <c r="G283" s="23">
        <v>2782</v>
      </c>
      <c r="H283" s="23">
        <v>2987</v>
      </c>
      <c r="I283" s="24">
        <v>14.8</v>
      </c>
      <c r="J283" s="24">
        <v>28.7</v>
      </c>
      <c r="K283" s="22">
        <v>6452</v>
      </c>
      <c r="L283" s="22">
        <v>21503</v>
      </c>
      <c r="M283" s="22">
        <v>5703</v>
      </c>
      <c r="N283" s="22">
        <v>2374</v>
      </c>
      <c r="O283" s="25">
        <v>3079.14</v>
      </c>
      <c r="P283" s="24">
        <v>74.2</v>
      </c>
      <c r="Q283" s="22">
        <v>515</v>
      </c>
      <c r="R283" s="23">
        <v>0</v>
      </c>
      <c r="U283" s="19">
        <v>258</v>
      </c>
      <c r="V283" s="19">
        <v>0</v>
      </c>
      <c r="W283" s="19">
        <v>28</v>
      </c>
      <c r="X283" s="19">
        <f t="shared" ref="X283:X346" si="77">(D283-D$23)/D$24</f>
        <v>-0.3207386709542564</v>
      </c>
      <c r="Y283" s="19">
        <f t="shared" ref="Y283:Y346" si="78">(E283-E$23)/E$24</f>
        <v>-0.41685584051009522</v>
      </c>
      <c r="Z283" s="19">
        <f t="shared" ref="Z283:Z346" si="79">(F283-F$23)/F$24</f>
        <v>-0.83766516974345628</v>
      </c>
      <c r="AA283" s="19">
        <f t="shared" ref="AA283:AA346" si="80">(G283-G$23)/G$24</f>
        <v>-0.55481922938748285</v>
      </c>
      <c r="AB283" s="19">
        <f t="shared" ref="AB283:AB346" si="81">(H283-H$23)/H$24</f>
        <v>-0.27447296859365572</v>
      </c>
      <c r="AC283" s="19">
        <f t="shared" ref="AC283:AC346" si="82">(I283-I$23)/I$24</f>
        <v>0.4805377207771982</v>
      </c>
      <c r="AD283" s="19">
        <f t="shared" ref="AD283:AD346" si="83">(J283-J$23)/J$24</f>
        <v>-0.3134907487383396</v>
      </c>
      <c r="AE283" s="19">
        <f t="shared" ref="AE283:AE346" si="84">(K283-K$23)/K$24</f>
        <v>-0.60040769658907678</v>
      </c>
      <c r="AF283" s="19">
        <f t="shared" ref="AF283:AF346" si="85">(L283-L$23)/L$24</f>
        <v>-0.58342903700061943</v>
      </c>
      <c r="AG283" s="19">
        <f t="shared" ref="AG283:AG346" si="86">(M283-M$23)/M$24</f>
        <v>-0.51853633505637819</v>
      </c>
      <c r="AH283" s="19">
        <f t="shared" ref="AH283:AH346" si="87">(N283-N$23)/N$24</f>
        <v>-0.35785641612616703</v>
      </c>
      <c r="AI283" s="19">
        <f t="shared" ref="AI283:AI346" si="88">(O283-O$23)/O$24</f>
        <v>-0.91863275271640643</v>
      </c>
      <c r="AJ283" s="19">
        <f t="shared" ref="AJ283:AJ346" si="89">(P283-P$23)/P$24</f>
        <v>-0.91710822710865536</v>
      </c>
      <c r="AK283" s="19">
        <f t="shared" ref="AK283:AK346" si="90">(Q283-Q$23)/Q$24</f>
        <v>-0.43149923411234919</v>
      </c>
      <c r="AL283" s="19">
        <f t="shared" ref="AL283:AL346" si="91">(R283-R$23)/R$24</f>
        <v>-0.40402566857224581</v>
      </c>
      <c r="BV283" s="16">
        <v>0</v>
      </c>
      <c r="BW283" s="18">
        <v>255</v>
      </c>
      <c r="BX283" s="48">
        <v>1.5486694934550151</v>
      </c>
      <c r="BY283" s="48">
        <v>-1.3278273557086753</v>
      </c>
      <c r="BZ283" s="18" t="e">
        <f t="shared" si="76"/>
        <v>#N/A</v>
      </c>
    </row>
    <row r="284" spans="1:78" x14ac:dyDescent="0.3">
      <c r="A284" s="19">
        <v>259</v>
      </c>
      <c r="B284" s="19">
        <v>0</v>
      </c>
      <c r="C284" s="19">
        <v>28</v>
      </c>
      <c r="D284" s="19">
        <v>73.012481833150105</v>
      </c>
      <c r="E284" s="22">
        <v>11175</v>
      </c>
      <c r="F284" s="22">
        <v>4822</v>
      </c>
      <c r="G284" s="23">
        <v>3158</v>
      </c>
      <c r="H284" s="23">
        <v>3195</v>
      </c>
      <c r="I284" s="24">
        <v>14.6</v>
      </c>
      <c r="J284" s="24">
        <v>131</v>
      </c>
      <c r="K284" s="22">
        <v>9422</v>
      </c>
      <c r="L284" s="22">
        <v>27550</v>
      </c>
      <c r="M284" s="22">
        <v>7349</v>
      </c>
      <c r="N284" s="22">
        <v>3094</v>
      </c>
      <c r="O284" s="25">
        <v>2878.1</v>
      </c>
      <c r="P284" s="24">
        <v>69.3</v>
      </c>
      <c r="Q284" s="22">
        <v>4026</v>
      </c>
      <c r="R284" s="23">
        <v>80</v>
      </c>
      <c r="U284" s="19">
        <v>259</v>
      </c>
      <c r="V284" s="19">
        <v>0</v>
      </c>
      <c r="W284" s="19">
        <v>28</v>
      </c>
      <c r="X284" s="19">
        <f t="shared" si="77"/>
        <v>0.47069290102410383</v>
      </c>
      <c r="Y284" s="19">
        <f t="shared" si="78"/>
        <v>-0.34689990449125296</v>
      </c>
      <c r="Z284" s="19">
        <f t="shared" si="79"/>
        <v>-0.25959624242521334</v>
      </c>
      <c r="AA284" s="19">
        <f t="shared" si="80"/>
        <v>-0.51482709361594592</v>
      </c>
      <c r="AB284" s="19">
        <f t="shared" si="81"/>
        <v>-0.26989286493014963</v>
      </c>
      <c r="AC284" s="19">
        <f t="shared" si="82"/>
        <v>0.44257029507903084</v>
      </c>
      <c r="AD284" s="19">
        <f t="shared" si="83"/>
        <v>-0.23549695561741901</v>
      </c>
      <c r="AE284" s="19">
        <f t="shared" si="84"/>
        <v>-0.44813470854057103</v>
      </c>
      <c r="AF284" s="19">
        <f t="shared" si="85"/>
        <v>-0.49874481769646289</v>
      </c>
      <c r="AG284" s="19">
        <f t="shared" si="86"/>
        <v>-0.45809543179729878</v>
      </c>
      <c r="AH284" s="19">
        <f t="shared" si="87"/>
        <v>-0.32802186282787416</v>
      </c>
      <c r="AI284" s="19">
        <f t="shared" si="88"/>
        <v>-1.3261324474090799</v>
      </c>
      <c r="AJ284" s="19">
        <f t="shared" si="89"/>
        <v>-1.3293663312263539</v>
      </c>
      <c r="AK284" s="19">
        <f t="shared" si="90"/>
        <v>-0.35278191083387017</v>
      </c>
      <c r="AL284" s="19">
        <f t="shared" si="91"/>
        <v>-0.36023540636434553</v>
      </c>
      <c r="BV284" s="16">
        <v>0</v>
      </c>
      <c r="BW284" s="18">
        <v>256</v>
      </c>
      <c r="BX284" s="48">
        <v>1.4744322307453395</v>
      </c>
      <c r="BY284" s="48">
        <v>-0.57618073150406623</v>
      </c>
      <c r="BZ284" s="18" t="e">
        <f t="shared" si="76"/>
        <v>#N/A</v>
      </c>
    </row>
    <row r="285" spans="1:78" x14ac:dyDescent="0.3">
      <c r="A285" s="19">
        <v>260</v>
      </c>
      <c r="B285" s="19">
        <v>0</v>
      </c>
      <c r="C285" s="19">
        <v>28</v>
      </c>
      <c r="D285" s="19">
        <v>124.507953429954</v>
      </c>
      <c r="E285" s="22">
        <v>9128</v>
      </c>
      <c r="F285" s="22">
        <v>2715</v>
      </c>
      <c r="G285" s="23">
        <v>2966</v>
      </c>
      <c r="H285" s="23">
        <v>3447</v>
      </c>
      <c r="I285" s="24">
        <v>18.5</v>
      </c>
      <c r="J285" s="24">
        <v>98</v>
      </c>
      <c r="K285" s="22">
        <v>6789</v>
      </c>
      <c r="L285" s="22">
        <v>21967</v>
      </c>
      <c r="M285" s="22">
        <v>5989</v>
      </c>
      <c r="N285" s="22">
        <v>3026</v>
      </c>
      <c r="O285" s="25">
        <v>3357.05</v>
      </c>
      <c r="P285" s="24">
        <v>80.900000000000006</v>
      </c>
      <c r="Q285" s="22">
        <v>4065</v>
      </c>
      <c r="R285" s="23">
        <v>560</v>
      </c>
      <c r="U285" s="19">
        <v>260</v>
      </c>
      <c r="V285" s="19">
        <v>0</v>
      </c>
      <c r="W285" s="19">
        <v>28</v>
      </c>
      <c r="X285" s="19">
        <f t="shared" si="77"/>
        <v>2.0641842912432526</v>
      </c>
      <c r="Y285" s="19">
        <f t="shared" si="78"/>
        <v>-0.38526041909895992</v>
      </c>
      <c r="Z285" s="19">
        <f t="shared" si="79"/>
        <v>-0.6463829143399602</v>
      </c>
      <c r="AA285" s="19">
        <f t="shared" si="80"/>
        <v>-0.53524860975460309</v>
      </c>
      <c r="AB285" s="19">
        <f t="shared" si="81"/>
        <v>-0.26434389318397877</v>
      </c>
      <c r="AC285" s="19">
        <f t="shared" si="82"/>
        <v>1.1829350961932905</v>
      </c>
      <c r="AD285" s="19">
        <f t="shared" si="83"/>
        <v>-0.26065624372094176</v>
      </c>
      <c r="AE285" s="19">
        <f t="shared" si="84"/>
        <v>-0.58312958313037422</v>
      </c>
      <c r="AF285" s="19">
        <f t="shared" si="85"/>
        <v>-0.57693102513405281</v>
      </c>
      <c r="AG285" s="19">
        <f t="shared" si="86"/>
        <v>-0.5080344527161007</v>
      </c>
      <c r="AH285" s="19">
        <f t="shared" si="87"/>
        <v>-0.33083957063937963</v>
      </c>
      <c r="AI285" s="19">
        <f t="shared" si="88"/>
        <v>-0.35532077424425651</v>
      </c>
      <c r="AJ285" s="19">
        <f t="shared" si="89"/>
        <v>-0.35340837045792506</v>
      </c>
      <c r="AK285" s="19">
        <f t="shared" si="90"/>
        <v>-0.35190752302189049</v>
      </c>
      <c r="AL285" s="19">
        <f t="shared" si="91"/>
        <v>-9.7493833116944179E-2</v>
      </c>
      <c r="BV285" s="16">
        <v>0</v>
      </c>
      <c r="BW285" s="18">
        <v>257</v>
      </c>
      <c r="BX285" s="48">
        <v>1.4195247400321773</v>
      </c>
      <c r="BY285" s="48">
        <v>-0.84118291913141485</v>
      </c>
      <c r="BZ285" s="18" t="e">
        <f t="shared" si="76"/>
        <v>#N/A</v>
      </c>
    </row>
    <row r="286" spans="1:78" x14ac:dyDescent="0.3">
      <c r="A286" s="19">
        <v>261</v>
      </c>
      <c r="B286" s="19">
        <v>0</v>
      </c>
      <c r="C286" s="19">
        <v>28</v>
      </c>
      <c r="D286" s="19">
        <v>5.5200284463853002</v>
      </c>
      <c r="E286" s="22">
        <v>23361</v>
      </c>
      <c r="F286" s="22">
        <v>5628</v>
      </c>
      <c r="G286" s="23">
        <v>8478</v>
      </c>
      <c r="H286" s="23">
        <v>9255</v>
      </c>
      <c r="I286" s="24">
        <v>17.5</v>
      </c>
      <c r="J286" s="24">
        <v>175</v>
      </c>
      <c r="K286" s="22">
        <v>23748</v>
      </c>
      <c r="L286" s="22">
        <v>80546</v>
      </c>
      <c r="M286" s="22">
        <v>19185</v>
      </c>
      <c r="N286" s="22">
        <v>10722</v>
      </c>
      <c r="O286" s="25">
        <v>3559.63</v>
      </c>
      <c r="P286" s="24">
        <v>85.8</v>
      </c>
      <c r="Q286" s="22">
        <v>11709</v>
      </c>
      <c r="R286" s="23">
        <v>1174</v>
      </c>
      <c r="U286" s="19">
        <v>261</v>
      </c>
      <c r="V286" s="19">
        <v>0</v>
      </c>
      <c r="W286" s="19">
        <v>28</v>
      </c>
      <c r="X286" s="19">
        <f t="shared" si="77"/>
        <v>-1.6178139140732459</v>
      </c>
      <c r="Y286" s="19">
        <f t="shared" si="78"/>
        <v>-0.11853584439867021</v>
      </c>
      <c r="Z286" s="19">
        <f t="shared" si="79"/>
        <v>-0.11163703143172214</v>
      </c>
      <c r="AA286" s="19">
        <f t="shared" si="80"/>
        <v>5.1019082726012494E-2</v>
      </c>
      <c r="AB286" s="19">
        <f t="shared" si="81"/>
        <v>-0.13645330627223126</v>
      </c>
      <c r="AC286" s="19">
        <f t="shared" si="82"/>
        <v>0.99309796770245462</v>
      </c>
      <c r="AD286" s="19">
        <f t="shared" si="83"/>
        <v>-0.20195123814605531</v>
      </c>
      <c r="AE286" s="19">
        <f t="shared" si="84"/>
        <v>0.28636455973649727</v>
      </c>
      <c r="AF286" s="19">
        <f t="shared" si="85"/>
        <v>0.24342896868407007</v>
      </c>
      <c r="AG286" s="19">
        <f t="shared" si="86"/>
        <v>-2.3479070330431208E-2</v>
      </c>
      <c r="AH286" s="19">
        <f t="shared" si="87"/>
        <v>-1.1941345384293655E-2</v>
      </c>
      <c r="AI286" s="19">
        <f t="shared" si="88"/>
        <v>5.5300436215561223E-2</v>
      </c>
      <c r="AJ286" s="19">
        <f t="shared" si="89"/>
        <v>5.8849733659772308E-2</v>
      </c>
      <c r="AK286" s="19">
        <f t="shared" si="90"/>
        <v>-0.18052751187387178</v>
      </c>
      <c r="AL286" s="19">
        <f t="shared" si="91"/>
        <v>0.23859642932869007</v>
      </c>
      <c r="BV286" s="16">
        <v>0</v>
      </c>
      <c r="BW286" s="18">
        <v>258</v>
      </c>
      <c r="BX286" s="48">
        <v>1.6294626041304723</v>
      </c>
      <c r="BY286" s="48">
        <v>-0.48395833113310838</v>
      </c>
      <c r="BZ286" s="18" t="e">
        <f t="shared" ref="BZ286:BZ349" si="92">IF(BV286=1,BY286,NA())</f>
        <v>#N/A</v>
      </c>
    </row>
    <row r="287" spans="1:78" x14ac:dyDescent="0.3">
      <c r="A287" s="19">
        <v>262</v>
      </c>
      <c r="B287" s="19">
        <v>0</v>
      </c>
      <c r="C287" s="19">
        <v>28</v>
      </c>
      <c r="D287" s="19">
        <v>84.854130718820699</v>
      </c>
      <c r="E287" s="22">
        <v>9721</v>
      </c>
      <c r="F287" s="22">
        <v>2816</v>
      </c>
      <c r="G287" s="23">
        <v>2242</v>
      </c>
      <c r="H287" s="23">
        <v>4663</v>
      </c>
      <c r="I287" s="24">
        <v>26.8</v>
      </c>
      <c r="J287" s="24">
        <v>36.5</v>
      </c>
      <c r="K287" s="22">
        <v>11007</v>
      </c>
      <c r="L287" s="22">
        <v>36791</v>
      </c>
      <c r="M287" s="22">
        <v>9772</v>
      </c>
      <c r="N287" s="22">
        <v>4222</v>
      </c>
      <c r="O287" s="25">
        <v>3445.13</v>
      </c>
      <c r="P287" s="24">
        <v>83</v>
      </c>
      <c r="Q287" s="22">
        <v>3346</v>
      </c>
      <c r="R287" s="23">
        <v>0</v>
      </c>
      <c r="U287" s="19">
        <v>262</v>
      </c>
      <c r="V287" s="19">
        <v>0</v>
      </c>
      <c r="W287" s="19">
        <v>28</v>
      </c>
      <c r="X287" s="19">
        <f t="shared" si="77"/>
        <v>0.83712445238570787</v>
      </c>
      <c r="Y287" s="19">
        <f t="shared" si="78"/>
        <v>-0.37414767598104581</v>
      </c>
      <c r="Z287" s="19">
        <f t="shared" si="79"/>
        <v>-0.62784211991025474</v>
      </c>
      <c r="AA287" s="19">
        <f t="shared" si="80"/>
        <v>-0.61225474352745601</v>
      </c>
      <c r="AB287" s="19">
        <f t="shared" si="81"/>
        <v>-0.23756790253578922</v>
      </c>
      <c r="AC287" s="19">
        <f t="shared" si="82"/>
        <v>2.7585832626672278</v>
      </c>
      <c r="AD287" s="19">
        <f t="shared" si="83"/>
        <v>-0.3075440079138706</v>
      </c>
      <c r="AE287" s="19">
        <f t="shared" si="84"/>
        <v>-0.36687117788168838</v>
      </c>
      <c r="AF287" s="19">
        <f t="shared" si="85"/>
        <v>-0.36933074946598315</v>
      </c>
      <c r="AG287" s="19">
        <f t="shared" si="86"/>
        <v>-0.36912319085152145</v>
      </c>
      <c r="AH287" s="19">
        <f t="shared" si="87"/>
        <v>-0.2812810626605487</v>
      </c>
      <c r="AI287" s="19">
        <f t="shared" si="88"/>
        <v>-0.17678628802991783</v>
      </c>
      <c r="AJ287" s="19">
        <f t="shared" si="89"/>
        <v>-0.17672632583605494</v>
      </c>
      <c r="AK287" s="19">
        <f t="shared" si="90"/>
        <v>-0.36802764704274676</v>
      </c>
      <c r="AL287" s="19">
        <f t="shared" si="91"/>
        <v>-0.40402566857224581</v>
      </c>
      <c r="BV287" s="16">
        <v>0</v>
      </c>
      <c r="BW287" s="18">
        <v>259</v>
      </c>
      <c r="BX287" s="48">
        <v>1.6568395432826026</v>
      </c>
      <c r="BY287" s="48">
        <v>-1.3436699308279039</v>
      </c>
      <c r="BZ287" s="18" t="e">
        <f t="shared" si="92"/>
        <v>#N/A</v>
      </c>
    </row>
    <row r="288" spans="1:78" x14ac:dyDescent="0.3">
      <c r="A288" s="19">
        <v>263</v>
      </c>
      <c r="B288" s="19">
        <v>0</v>
      </c>
      <c r="C288" s="19">
        <v>28</v>
      </c>
      <c r="D288" s="19">
        <v>34.859165463474604</v>
      </c>
      <c r="E288" s="22">
        <v>23487</v>
      </c>
      <c r="F288" s="22">
        <v>4579</v>
      </c>
      <c r="G288" s="23">
        <v>8861</v>
      </c>
      <c r="H288" s="23">
        <v>10047</v>
      </c>
      <c r="I288" s="24">
        <v>16.399999999999999</v>
      </c>
      <c r="J288" s="24">
        <v>351</v>
      </c>
      <c r="K288" s="22">
        <v>20230</v>
      </c>
      <c r="L288" s="22">
        <v>67197</v>
      </c>
      <c r="M288" s="22">
        <v>18596</v>
      </c>
      <c r="N288" s="22">
        <v>8313</v>
      </c>
      <c r="O288" s="25">
        <v>3175.96</v>
      </c>
      <c r="P288" s="24">
        <v>76.5</v>
      </c>
      <c r="Q288" s="22">
        <v>12422</v>
      </c>
      <c r="R288" s="23">
        <v>40</v>
      </c>
      <c r="U288" s="19">
        <v>263</v>
      </c>
      <c r="V288" s="19">
        <v>0</v>
      </c>
      <c r="W288" s="19">
        <v>28</v>
      </c>
      <c r="X288" s="19">
        <f t="shared" si="77"/>
        <v>-0.70993481745587672</v>
      </c>
      <c r="Y288" s="19">
        <f t="shared" si="78"/>
        <v>-0.11617462073449283</v>
      </c>
      <c r="Z288" s="19">
        <f t="shared" si="79"/>
        <v>-0.30420429238975227</v>
      </c>
      <c r="AA288" s="19">
        <f t="shared" si="80"/>
        <v>9.1755752940104615E-2</v>
      </c>
      <c r="AB288" s="19">
        <f t="shared" si="81"/>
        <v>-0.11901368078426569</v>
      </c>
      <c r="AC288" s="19">
        <f t="shared" si="82"/>
        <v>0.78427712636253499</v>
      </c>
      <c r="AD288" s="19">
        <f t="shared" si="83"/>
        <v>-6.7768368260600495E-2</v>
      </c>
      <c r="AE288" s="19">
        <f t="shared" si="84"/>
        <v>0.10599541093022012</v>
      </c>
      <c r="AF288" s="19">
        <f t="shared" si="85"/>
        <v>5.648508849700435E-2</v>
      </c>
      <c r="AG288" s="19">
        <f t="shared" si="86"/>
        <v>-4.5107072772471168E-2</v>
      </c>
      <c r="AH288" s="19">
        <f t="shared" si="87"/>
        <v>-0.11176278829483187</v>
      </c>
      <c r="AI288" s="19">
        <f t="shared" si="88"/>
        <v>-0.72238265104437738</v>
      </c>
      <c r="AJ288" s="19">
        <f t="shared" si="89"/>
        <v>-0.72359932109422587</v>
      </c>
      <c r="AK288" s="19">
        <f t="shared" si="90"/>
        <v>-0.16454190905485852</v>
      </c>
      <c r="AL288" s="19">
        <f t="shared" si="91"/>
        <v>-0.38213053746829567</v>
      </c>
      <c r="BV288" s="16">
        <v>0</v>
      </c>
      <c r="BW288" s="18">
        <v>260</v>
      </c>
      <c r="BX288" s="48">
        <v>1.6106197697814653</v>
      </c>
      <c r="BY288" s="48">
        <v>-0.56455460105366673</v>
      </c>
      <c r="BZ288" s="18" t="e">
        <f t="shared" si="92"/>
        <v>#N/A</v>
      </c>
    </row>
    <row r="289" spans="1:78" x14ac:dyDescent="0.3">
      <c r="A289" s="19">
        <v>264</v>
      </c>
      <c r="B289" s="19">
        <v>0</v>
      </c>
      <c r="C289" s="19">
        <v>28</v>
      </c>
      <c r="D289" s="19">
        <v>42.343451438392897</v>
      </c>
      <c r="E289" s="22">
        <v>15678</v>
      </c>
      <c r="F289" s="22">
        <v>4785</v>
      </c>
      <c r="G289" s="23">
        <v>5002</v>
      </c>
      <c r="H289" s="23">
        <v>5891</v>
      </c>
      <c r="I289" s="24">
        <v>17.3</v>
      </c>
      <c r="J289" s="24">
        <v>294.5</v>
      </c>
      <c r="K289" s="22">
        <v>13429</v>
      </c>
      <c r="L289" s="22">
        <v>45436</v>
      </c>
      <c r="M289" s="22">
        <v>11705</v>
      </c>
      <c r="N289" s="22">
        <v>5179</v>
      </c>
      <c r="O289" s="25">
        <v>3482.48</v>
      </c>
      <c r="P289" s="24">
        <v>83.9</v>
      </c>
      <c r="Q289" s="22">
        <v>5250</v>
      </c>
      <c r="R289" s="23">
        <v>46</v>
      </c>
      <c r="U289" s="19">
        <v>264</v>
      </c>
      <c r="V289" s="19">
        <v>0</v>
      </c>
      <c r="W289" s="19">
        <v>28</v>
      </c>
      <c r="X289" s="19">
        <f t="shared" si="77"/>
        <v>-0.47833881700852021</v>
      </c>
      <c r="Y289" s="19">
        <f t="shared" si="78"/>
        <v>-0.2625142683024379</v>
      </c>
      <c r="Z289" s="19">
        <f t="shared" si="79"/>
        <v>-0.26638841464203616</v>
      </c>
      <c r="AA289" s="19">
        <f t="shared" si="80"/>
        <v>-0.31869544903425956</v>
      </c>
      <c r="AB289" s="19">
        <f t="shared" si="81"/>
        <v>-0.21052767513778198</v>
      </c>
      <c r="AC289" s="19">
        <f t="shared" si="82"/>
        <v>0.9551305420042876</v>
      </c>
      <c r="AD289" s="19">
        <f t="shared" si="83"/>
        <v>-0.1108441191045107</v>
      </c>
      <c r="AE289" s="19">
        <f t="shared" si="84"/>
        <v>-0.24269435059095407</v>
      </c>
      <c r="AF289" s="19">
        <f t="shared" si="85"/>
        <v>-0.24826326544342092</v>
      </c>
      <c r="AG289" s="19">
        <f t="shared" si="86"/>
        <v>-0.29814368538384195</v>
      </c>
      <c r="AH289" s="19">
        <f t="shared" si="87"/>
        <v>-0.24162596890156776</v>
      </c>
      <c r="AI289" s="19">
        <f t="shared" si="88"/>
        <v>-0.10107939588521372</v>
      </c>
      <c r="AJ289" s="19">
        <f t="shared" si="89"/>
        <v>-0.10100544956953848</v>
      </c>
      <c r="AK289" s="19">
        <f t="shared" si="90"/>
        <v>-0.32533958565789228</v>
      </c>
      <c r="AL289" s="19">
        <f t="shared" si="91"/>
        <v>-0.37884626780270314</v>
      </c>
      <c r="BV289" s="16">
        <v>0</v>
      </c>
      <c r="BW289" s="18">
        <v>261</v>
      </c>
      <c r="BX289" s="48">
        <v>1.3309699744177606E-2</v>
      </c>
      <c r="BY289" s="48">
        <v>0.12167976723439738</v>
      </c>
      <c r="BZ289" s="18" t="e">
        <f t="shared" si="92"/>
        <v>#N/A</v>
      </c>
    </row>
    <row r="290" spans="1:78" x14ac:dyDescent="0.3">
      <c r="A290" s="19">
        <v>265</v>
      </c>
      <c r="B290" s="19">
        <v>0</v>
      </c>
      <c r="C290" s="19">
        <v>2</v>
      </c>
      <c r="D290" s="19">
        <v>89.3164955465802</v>
      </c>
      <c r="E290" s="22">
        <v>22923</v>
      </c>
      <c r="F290" s="22">
        <v>355</v>
      </c>
      <c r="G290" s="23">
        <v>7365</v>
      </c>
      <c r="H290" s="23">
        <v>15203</v>
      </c>
      <c r="I290" s="24">
        <v>5.7</v>
      </c>
      <c r="J290" s="24">
        <v>386.2</v>
      </c>
      <c r="K290" s="22">
        <v>11613</v>
      </c>
      <c r="L290" s="22">
        <v>48983</v>
      </c>
      <c r="M290" s="22">
        <v>20414</v>
      </c>
      <c r="N290" s="22">
        <v>12649</v>
      </c>
      <c r="O290" s="25">
        <v>3835.12</v>
      </c>
      <c r="P290" s="24">
        <v>92.4</v>
      </c>
      <c r="Q290" s="22">
        <v>28427</v>
      </c>
      <c r="R290" s="23">
        <v>0</v>
      </c>
      <c r="U290" s="19">
        <v>265</v>
      </c>
      <c r="V290" s="19">
        <v>0</v>
      </c>
      <c r="W290" s="19">
        <v>2</v>
      </c>
      <c r="X290" s="19">
        <f t="shared" si="77"/>
        <v>0.97520921426004814</v>
      </c>
      <c r="Y290" s="19">
        <f t="shared" si="78"/>
        <v>-0.12674390761223917</v>
      </c>
      <c r="Z290" s="19">
        <f t="shared" si="79"/>
        <v>-1.0796133584400089</v>
      </c>
      <c r="AA290" s="19">
        <f t="shared" si="80"/>
        <v>-6.7361893640265652E-2</v>
      </c>
      <c r="AB290" s="19">
        <f t="shared" si="81"/>
        <v>-5.4799572792777014E-3</v>
      </c>
      <c r="AC290" s="19">
        <f t="shared" si="82"/>
        <v>-1.2469801484894076</v>
      </c>
      <c r="AD290" s="19">
        <f t="shared" si="83"/>
        <v>-4.0931794283509543E-2</v>
      </c>
      <c r="AE290" s="19">
        <f t="shared" si="84"/>
        <v>-0.33580133587583166</v>
      </c>
      <c r="AF290" s="19">
        <f t="shared" si="85"/>
        <v>-0.19858988593757612</v>
      </c>
      <c r="AG290" s="19">
        <f t="shared" si="86"/>
        <v>2.1649647838103792E-2</v>
      </c>
      <c r="AH290" s="19">
        <f t="shared" si="87"/>
        <v>6.7907521568220719E-2</v>
      </c>
      <c r="AI290" s="19">
        <f t="shared" si="88"/>
        <v>0.6137071756250545</v>
      </c>
      <c r="AJ290" s="19">
        <f t="shared" si="89"/>
        <v>0.61413615961422352</v>
      </c>
      <c r="AK290" s="19">
        <f t="shared" si="90"/>
        <v>0.1942933968614208</v>
      </c>
      <c r="AL290" s="19">
        <f t="shared" si="91"/>
        <v>-0.40402566857224581</v>
      </c>
      <c r="BV290" s="16">
        <v>0</v>
      </c>
      <c r="BW290" s="18">
        <v>262</v>
      </c>
      <c r="BX290" s="48">
        <v>1.4912246023588274</v>
      </c>
      <c r="BY290" s="48">
        <v>-0.72672234104322886</v>
      </c>
      <c r="BZ290" s="18" t="e">
        <f t="shared" si="92"/>
        <v>#N/A</v>
      </c>
    </row>
    <row r="291" spans="1:78" x14ac:dyDescent="0.3">
      <c r="A291" s="19">
        <v>266</v>
      </c>
      <c r="B291" s="19">
        <v>0</v>
      </c>
      <c r="C291" s="19">
        <v>32</v>
      </c>
      <c r="D291" s="19">
        <v>117.55636723848301</v>
      </c>
      <c r="E291" s="22">
        <v>13373</v>
      </c>
      <c r="F291" s="22">
        <v>2403</v>
      </c>
      <c r="G291" s="23">
        <v>4854</v>
      </c>
      <c r="H291" s="23">
        <v>6116</v>
      </c>
      <c r="I291" s="24">
        <v>12.1</v>
      </c>
      <c r="J291" s="24">
        <v>114.9</v>
      </c>
      <c r="K291" s="22">
        <v>12113</v>
      </c>
      <c r="L291" s="22">
        <v>42720</v>
      </c>
      <c r="M291" s="22">
        <v>12307</v>
      </c>
      <c r="N291" s="22">
        <v>6883</v>
      </c>
      <c r="O291" s="25">
        <v>3382.88</v>
      </c>
      <c r="P291" s="24">
        <v>81.5</v>
      </c>
      <c r="Q291" s="22">
        <v>12966</v>
      </c>
      <c r="R291" s="23">
        <v>1335</v>
      </c>
      <c r="U291" s="19">
        <v>266</v>
      </c>
      <c r="V291" s="19">
        <v>0</v>
      </c>
      <c r="W291" s="19">
        <v>32</v>
      </c>
      <c r="X291" s="19">
        <f t="shared" si="77"/>
        <v>1.849072313413286</v>
      </c>
      <c r="Y291" s="19">
        <f t="shared" si="78"/>
        <v>-0.30570966946060329</v>
      </c>
      <c r="Z291" s="19">
        <f t="shared" si="79"/>
        <v>-0.70365744762776328</v>
      </c>
      <c r="AA291" s="19">
        <f t="shared" si="80"/>
        <v>-0.33443703439114114</v>
      </c>
      <c r="AB291" s="19">
        <f t="shared" si="81"/>
        <v>-0.20557323607870087</v>
      </c>
      <c r="AC291" s="19">
        <f t="shared" si="82"/>
        <v>-3.2022526148058644E-2</v>
      </c>
      <c r="AD291" s="19">
        <f t="shared" si="83"/>
        <v>-0.24777163860125892</v>
      </c>
      <c r="AE291" s="19">
        <f t="shared" si="84"/>
        <v>-0.31016615270268255</v>
      </c>
      <c r="AF291" s="19">
        <f t="shared" si="85"/>
        <v>-0.28629904180030685</v>
      </c>
      <c r="AG291" s="19">
        <f t="shared" si="86"/>
        <v>-0.27603832465360756</v>
      </c>
      <c r="AH291" s="19">
        <f t="shared" si="87"/>
        <v>-0.17101752609560797</v>
      </c>
      <c r="AI291" s="19">
        <f t="shared" si="88"/>
        <v>-0.30296444160442504</v>
      </c>
      <c r="AJ291" s="19">
        <f t="shared" si="89"/>
        <v>-0.30292778628024825</v>
      </c>
      <c r="AK291" s="19">
        <f t="shared" si="90"/>
        <v>-0.15234532008775725</v>
      </c>
      <c r="AL291" s="19">
        <f t="shared" si="91"/>
        <v>0.32672433202208928</v>
      </c>
      <c r="BV291" s="16">
        <v>0</v>
      </c>
      <c r="BW291" s="18">
        <v>263</v>
      </c>
      <c r="BX291" s="48">
        <v>0.41563938838754133</v>
      </c>
      <c r="BY291" s="48">
        <v>-0.79933895781644282</v>
      </c>
      <c r="BZ291" s="18" t="e">
        <f t="shared" si="92"/>
        <v>#N/A</v>
      </c>
    </row>
    <row r="292" spans="1:78" x14ac:dyDescent="0.3">
      <c r="A292" s="19">
        <v>267</v>
      </c>
      <c r="B292" s="19">
        <v>0</v>
      </c>
      <c r="C292" s="19">
        <v>32</v>
      </c>
      <c r="D292" s="19">
        <v>63.181130404327803</v>
      </c>
      <c r="E292" s="22">
        <v>21304</v>
      </c>
      <c r="F292" s="22">
        <v>4345</v>
      </c>
      <c r="G292" s="23">
        <v>8764</v>
      </c>
      <c r="H292" s="23">
        <v>8195</v>
      </c>
      <c r="I292" s="24">
        <v>9</v>
      </c>
      <c r="J292" s="24">
        <v>425.8</v>
      </c>
      <c r="K292" s="22">
        <v>15679</v>
      </c>
      <c r="L292" s="22">
        <v>52502</v>
      </c>
      <c r="M292" s="22">
        <v>14174</v>
      </c>
      <c r="N292" s="22">
        <v>8865</v>
      </c>
      <c r="O292" s="25">
        <v>3681.15</v>
      </c>
      <c r="P292" s="24">
        <v>88.7</v>
      </c>
      <c r="Q292" s="22">
        <v>3814</v>
      </c>
      <c r="R292" s="23">
        <v>4189</v>
      </c>
      <c r="U292" s="19">
        <v>267</v>
      </c>
      <c r="V292" s="19">
        <v>0</v>
      </c>
      <c r="W292" s="19">
        <v>32</v>
      </c>
      <c r="X292" s="19">
        <f t="shared" si="77"/>
        <v>0.1664685999300364</v>
      </c>
      <c r="Y292" s="19">
        <f t="shared" si="78"/>
        <v>-0.15708375770988331</v>
      </c>
      <c r="Z292" s="19">
        <f t="shared" si="79"/>
        <v>-0.34716019235560452</v>
      </c>
      <c r="AA292" s="19">
        <f t="shared" si="80"/>
        <v>8.1438632807553868E-2</v>
      </c>
      <c r="AB292" s="19">
        <f t="shared" si="81"/>
        <v>-0.15979421917279124</v>
      </c>
      <c r="AC292" s="19">
        <f t="shared" si="82"/>
        <v>-0.62051762446964953</v>
      </c>
      <c r="AD292" s="19">
        <f t="shared" si="83"/>
        <v>-1.074064855928219E-2</v>
      </c>
      <c r="AE292" s="19">
        <f t="shared" si="84"/>
        <v>-0.12733602631178309</v>
      </c>
      <c r="AF292" s="19">
        <f t="shared" si="85"/>
        <v>-0.14930862783747242</v>
      </c>
      <c r="AG292" s="19">
        <f t="shared" si="86"/>
        <v>-0.2074823304952228</v>
      </c>
      <c r="AH292" s="19">
        <f t="shared" si="87"/>
        <v>-8.8889630766140676E-2</v>
      </c>
      <c r="AI292" s="19">
        <f t="shared" si="88"/>
        <v>0.30161640765932202</v>
      </c>
      <c r="AJ292" s="19">
        <f t="shared" si="89"/>
        <v>0.30283922385187984</v>
      </c>
      <c r="AK292" s="19">
        <f t="shared" si="90"/>
        <v>-0.35753499329899052</v>
      </c>
      <c r="AL292" s="19">
        <f t="shared" si="91"/>
        <v>1.8889419362889299</v>
      </c>
      <c r="BV292" s="16">
        <v>0</v>
      </c>
      <c r="BW292" s="18">
        <v>264</v>
      </c>
      <c r="BX292" s="48">
        <v>0.83172308172639042</v>
      </c>
      <c r="BY292" s="48">
        <v>-6.0277575514644036E-2</v>
      </c>
      <c r="BZ292" s="18" t="e">
        <f t="shared" si="92"/>
        <v>#N/A</v>
      </c>
    </row>
    <row r="293" spans="1:78" x14ac:dyDescent="0.3">
      <c r="A293" s="19">
        <v>268</v>
      </c>
      <c r="B293" s="19">
        <v>0</v>
      </c>
      <c r="C293" s="19">
        <v>32</v>
      </c>
      <c r="D293" s="19">
        <v>54.819262222709803</v>
      </c>
      <c r="E293" s="22">
        <v>8355</v>
      </c>
      <c r="F293" s="22">
        <v>173</v>
      </c>
      <c r="G293" s="23">
        <v>1717</v>
      </c>
      <c r="H293" s="23">
        <v>6465</v>
      </c>
      <c r="I293" s="24">
        <v>7</v>
      </c>
      <c r="J293" s="24">
        <v>753.8</v>
      </c>
      <c r="K293" s="22">
        <v>5856</v>
      </c>
      <c r="L293" s="22">
        <v>25772</v>
      </c>
      <c r="M293" s="22">
        <v>9524</v>
      </c>
      <c r="N293" s="22">
        <v>6415</v>
      </c>
      <c r="O293" s="25">
        <v>4344.8500000000004</v>
      </c>
      <c r="P293" s="24">
        <v>104.7</v>
      </c>
      <c r="Q293" s="22">
        <v>27817</v>
      </c>
      <c r="R293" s="23">
        <v>0</v>
      </c>
      <c r="U293" s="19">
        <v>268</v>
      </c>
      <c r="V293" s="19">
        <v>0</v>
      </c>
      <c r="W293" s="19">
        <v>32</v>
      </c>
      <c r="X293" s="19">
        <f t="shared" si="77"/>
        <v>-9.2283568763234333E-2</v>
      </c>
      <c r="Y293" s="19">
        <f t="shared" si="78"/>
        <v>-0.39974633887998456</v>
      </c>
      <c r="Z293" s="19">
        <f t="shared" si="79"/>
        <v>-1.1130235028578941</v>
      </c>
      <c r="AA293" s="19">
        <f t="shared" si="80"/>
        <v>-0.6680948267190967</v>
      </c>
      <c r="AB293" s="19">
        <f t="shared" si="81"/>
        <v>-0.19788835060483725</v>
      </c>
      <c r="AC293" s="19">
        <f t="shared" si="82"/>
        <v>-1.0001918814513211</v>
      </c>
      <c r="AD293" s="19">
        <f t="shared" si="83"/>
        <v>0.23932742713633809</v>
      </c>
      <c r="AE293" s="19">
        <f t="shared" si="84"/>
        <v>-0.63096483493147049</v>
      </c>
      <c r="AF293" s="19">
        <f t="shared" si="85"/>
        <v>-0.52364452696102226</v>
      </c>
      <c r="AG293" s="19">
        <f t="shared" si="86"/>
        <v>-0.3782297181955383</v>
      </c>
      <c r="AH293" s="19">
        <f t="shared" si="87"/>
        <v>-0.19040998573949833</v>
      </c>
      <c r="AI293" s="19">
        <f t="shared" si="88"/>
        <v>1.6469086249669598</v>
      </c>
      <c r="AJ293" s="19">
        <f t="shared" si="89"/>
        <v>1.6489881352566083</v>
      </c>
      <c r="AK293" s="19">
        <f t="shared" si="90"/>
        <v>0.18061707467404622</v>
      </c>
      <c r="AL293" s="19">
        <f t="shared" si="91"/>
        <v>-0.40402566857224581</v>
      </c>
      <c r="BV293" s="16">
        <v>0</v>
      </c>
      <c r="BW293" s="18">
        <v>265</v>
      </c>
      <c r="BX293" s="48">
        <v>-0.18576659006056193</v>
      </c>
      <c r="BY293" s="48">
        <v>1.3066631294300375</v>
      </c>
      <c r="BZ293" s="18" t="e">
        <f t="shared" si="92"/>
        <v>#N/A</v>
      </c>
    </row>
    <row r="294" spans="1:78" x14ac:dyDescent="0.3">
      <c r="A294" s="19">
        <v>269</v>
      </c>
      <c r="B294" s="19">
        <v>0</v>
      </c>
      <c r="C294" s="19">
        <v>2</v>
      </c>
      <c r="D294" s="19">
        <v>35.087543357803099</v>
      </c>
      <c r="E294" s="22">
        <v>17965</v>
      </c>
      <c r="F294" s="22">
        <v>2351</v>
      </c>
      <c r="G294" s="23">
        <v>7571</v>
      </c>
      <c r="H294" s="23">
        <v>8043</v>
      </c>
      <c r="I294" s="24">
        <v>11.9</v>
      </c>
      <c r="J294" s="24">
        <v>182.3</v>
      </c>
      <c r="K294" s="22">
        <v>16087</v>
      </c>
      <c r="L294" s="22">
        <v>64422</v>
      </c>
      <c r="M294" s="22">
        <v>22840</v>
      </c>
      <c r="N294" s="22">
        <v>10596</v>
      </c>
      <c r="O294" s="25">
        <v>3406.18</v>
      </c>
      <c r="P294" s="24">
        <v>82.1</v>
      </c>
      <c r="Q294" s="22">
        <v>32988</v>
      </c>
      <c r="R294" s="23">
        <v>200</v>
      </c>
      <c r="U294" s="19">
        <v>269</v>
      </c>
      <c r="V294" s="19">
        <v>0</v>
      </c>
      <c r="W294" s="19">
        <v>2</v>
      </c>
      <c r="X294" s="19">
        <f t="shared" si="77"/>
        <v>-0.70286782307667728</v>
      </c>
      <c r="Y294" s="19">
        <f t="shared" si="78"/>
        <v>-0.2196561848105836</v>
      </c>
      <c r="Z294" s="19">
        <f t="shared" si="79"/>
        <v>-0.71320320317573038</v>
      </c>
      <c r="AA294" s="19">
        <f t="shared" si="80"/>
        <v>-4.5451308616498085E-2</v>
      </c>
      <c r="AB294" s="19">
        <f t="shared" si="81"/>
        <v>-0.16314121800381493</v>
      </c>
      <c r="AC294" s="19">
        <f t="shared" si="82"/>
        <v>-6.9989951846225668E-2</v>
      </c>
      <c r="AD294" s="19">
        <f t="shared" si="83"/>
        <v>-0.19638569865648814</v>
      </c>
      <c r="AE294" s="19">
        <f t="shared" si="84"/>
        <v>-0.1064177168424934</v>
      </c>
      <c r="AF294" s="19">
        <f t="shared" si="85"/>
        <v>1.7623056320878249E-2</v>
      </c>
      <c r="AG294" s="19">
        <f t="shared" si="86"/>
        <v>0.11073204838884904</v>
      </c>
      <c r="AH294" s="19">
        <f t="shared" si="87"/>
        <v>-1.7162392211494907E-2</v>
      </c>
      <c r="AI294" s="19">
        <f t="shared" si="88"/>
        <v>-0.25573631343918835</v>
      </c>
      <c r="AJ294" s="19">
        <f t="shared" si="89"/>
        <v>-0.25244720210257138</v>
      </c>
      <c r="AK294" s="19">
        <f t="shared" si="90"/>
        <v>0.29655193046242989</v>
      </c>
      <c r="AL294" s="19">
        <f t="shared" si="91"/>
        <v>-0.29455001305249523</v>
      </c>
      <c r="BV294" s="16">
        <v>0</v>
      </c>
      <c r="BW294" s="18">
        <v>266</v>
      </c>
      <c r="BX294" s="48">
        <v>0.94319930988586287</v>
      </c>
      <c r="BY294" s="48">
        <v>-0.17507706941976997</v>
      </c>
      <c r="BZ294" s="18" t="e">
        <f t="shared" si="92"/>
        <v>#N/A</v>
      </c>
    </row>
    <row r="295" spans="1:78" x14ac:dyDescent="0.3">
      <c r="A295" s="19">
        <v>270</v>
      </c>
      <c r="B295" s="19">
        <v>0</v>
      </c>
      <c r="C295" s="19">
        <v>2</v>
      </c>
      <c r="D295" s="19">
        <v>97.738724609523203</v>
      </c>
      <c r="E295" s="22">
        <v>20016</v>
      </c>
      <c r="F295" s="22">
        <v>2090</v>
      </c>
      <c r="G295" s="23">
        <v>6979</v>
      </c>
      <c r="H295" s="23">
        <v>10947</v>
      </c>
      <c r="I295" s="24">
        <v>12.5</v>
      </c>
      <c r="J295" s="24">
        <v>1653.1</v>
      </c>
      <c r="K295" s="22">
        <v>16580</v>
      </c>
      <c r="L295" s="22">
        <v>56450</v>
      </c>
      <c r="M295" s="22">
        <v>17175</v>
      </c>
      <c r="N295" s="22">
        <v>8262</v>
      </c>
      <c r="O295" s="25">
        <v>3615.99</v>
      </c>
      <c r="P295" s="24">
        <v>87.1</v>
      </c>
      <c r="Q295" s="22">
        <v>68604</v>
      </c>
      <c r="R295" s="23">
        <v>479</v>
      </c>
      <c r="U295" s="19">
        <v>270</v>
      </c>
      <c r="V295" s="19">
        <v>0</v>
      </c>
      <c r="W295" s="19">
        <v>2</v>
      </c>
      <c r="X295" s="19">
        <f t="shared" si="77"/>
        <v>1.2358292082535809</v>
      </c>
      <c r="Y295" s="19">
        <f t="shared" si="78"/>
        <v>-0.18122071072147419</v>
      </c>
      <c r="Z295" s="19">
        <f t="shared" si="79"/>
        <v>-0.76111555313764256</v>
      </c>
      <c r="AA295" s="19">
        <f t="shared" si="80"/>
        <v>-0.10841765004402429</v>
      </c>
      <c r="AB295" s="19">
        <f t="shared" si="81"/>
        <v>-9.9195924547941169E-2</v>
      </c>
      <c r="AC295" s="19">
        <f t="shared" si="82"/>
        <v>4.3912325248275742E-2</v>
      </c>
      <c r="AD295" s="19">
        <f t="shared" si="83"/>
        <v>0.92495614809082394</v>
      </c>
      <c r="AE295" s="19">
        <f t="shared" si="84"/>
        <v>-8.1141426233768382E-2</v>
      </c>
      <c r="AF295" s="19">
        <f t="shared" si="85"/>
        <v>-9.4019509627978434E-2</v>
      </c>
      <c r="AG295" s="19">
        <f t="shared" si="86"/>
        <v>-9.7286005658954677E-2</v>
      </c>
      <c r="AH295" s="19">
        <f t="shared" si="87"/>
        <v>-0.11387606915346095</v>
      </c>
      <c r="AI295" s="19">
        <f t="shared" si="88"/>
        <v>0.16953980545988545</v>
      </c>
      <c r="AJ295" s="19">
        <f t="shared" si="89"/>
        <v>0.16822433271140627</v>
      </c>
      <c r="AK295" s="19">
        <f t="shared" si="90"/>
        <v>1.0950697846026489</v>
      </c>
      <c r="AL295" s="19">
        <f t="shared" si="91"/>
        <v>-0.14183147360244316</v>
      </c>
      <c r="BV295" s="16">
        <v>0</v>
      </c>
      <c r="BW295" s="18">
        <v>267</v>
      </c>
      <c r="BX295" s="48">
        <v>0.19499900984000401</v>
      </c>
      <c r="BY295" s="48">
        <v>0.93114140590985295</v>
      </c>
      <c r="BZ295" s="18" t="e">
        <f t="shared" si="92"/>
        <v>#N/A</v>
      </c>
    </row>
    <row r="296" spans="1:78" x14ac:dyDescent="0.3">
      <c r="A296" s="19">
        <v>271</v>
      </c>
      <c r="B296" s="19">
        <v>0</v>
      </c>
      <c r="C296" s="19">
        <v>32</v>
      </c>
      <c r="D296" s="19">
        <v>41.0267983765686</v>
      </c>
      <c r="E296" s="22">
        <v>6387</v>
      </c>
      <c r="F296" s="22">
        <v>1523</v>
      </c>
      <c r="G296" s="23">
        <v>2374</v>
      </c>
      <c r="H296" s="23">
        <v>2490</v>
      </c>
      <c r="I296" s="24">
        <v>23.9</v>
      </c>
      <c r="J296" s="24">
        <v>389.9</v>
      </c>
      <c r="K296" s="22">
        <v>6914</v>
      </c>
      <c r="L296" s="22">
        <v>23755</v>
      </c>
      <c r="M296" s="22">
        <v>7022</v>
      </c>
      <c r="N296" s="22">
        <v>3347</v>
      </c>
      <c r="O296" s="25">
        <v>3419.11</v>
      </c>
      <c r="P296" s="24">
        <v>82.4</v>
      </c>
      <c r="Q296" s="22">
        <v>2613</v>
      </c>
      <c r="R296" s="23">
        <v>402</v>
      </c>
      <c r="U296" s="19">
        <v>271</v>
      </c>
      <c r="V296" s="19">
        <v>0</v>
      </c>
      <c r="W296" s="19">
        <v>32</v>
      </c>
      <c r="X296" s="19">
        <f t="shared" si="77"/>
        <v>-0.51908172610060666</v>
      </c>
      <c r="Y296" s="19">
        <f t="shared" si="78"/>
        <v>-0.43662640372999301</v>
      </c>
      <c r="Z296" s="19">
        <f t="shared" si="79"/>
        <v>-0.8652010030549</v>
      </c>
      <c r="AA296" s="19">
        <f t="shared" si="80"/>
        <v>-0.59821495118212931</v>
      </c>
      <c r="AB296" s="19">
        <f t="shared" si="81"/>
        <v>-0.28541677398193716</v>
      </c>
      <c r="AC296" s="19">
        <f t="shared" si="82"/>
        <v>2.2080555900438035</v>
      </c>
      <c r="AD296" s="19">
        <f t="shared" si="83"/>
        <v>-3.8110904405235783E-2</v>
      </c>
      <c r="AE296" s="19">
        <f t="shared" si="84"/>
        <v>-0.57672078733708698</v>
      </c>
      <c r="AF296" s="19">
        <f t="shared" si="85"/>
        <v>-0.55189127251030023</v>
      </c>
      <c r="AG296" s="19">
        <f t="shared" si="86"/>
        <v>-0.47010282873880482</v>
      </c>
      <c r="AH296" s="19">
        <f t="shared" si="87"/>
        <v>-0.31753833229389072</v>
      </c>
      <c r="AI296" s="19">
        <f t="shared" si="88"/>
        <v>-0.22952774274491664</v>
      </c>
      <c r="AJ296" s="19">
        <f t="shared" si="89"/>
        <v>-0.22720691001373178</v>
      </c>
      <c r="AK296" s="19">
        <f t="shared" si="90"/>
        <v>-0.38446165386790343</v>
      </c>
      <c r="AL296" s="19">
        <f t="shared" si="91"/>
        <v>-0.18397960097754712</v>
      </c>
      <c r="BV296" s="16">
        <v>0</v>
      </c>
      <c r="BW296" s="18">
        <v>268</v>
      </c>
      <c r="BX296" s="48">
        <v>6.2529645651663232E-2</v>
      </c>
      <c r="BY296" s="48">
        <v>2.7737082669010849</v>
      </c>
      <c r="BZ296" s="18" t="e">
        <f t="shared" si="92"/>
        <v>#N/A</v>
      </c>
    </row>
    <row r="297" spans="1:78" x14ac:dyDescent="0.3">
      <c r="A297" s="19">
        <v>272</v>
      </c>
      <c r="B297" s="19">
        <v>0</v>
      </c>
      <c r="C297" s="19">
        <v>22</v>
      </c>
      <c r="D297" s="19">
        <v>52.347096837200901</v>
      </c>
      <c r="E297" s="22">
        <v>71337</v>
      </c>
      <c r="F297" s="22">
        <v>683</v>
      </c>
      <c r="G297" s="23">
        <v>15466</v>
      </c>
      <c r="H297" s="23">
        <v>55188</v>
      </c>
      <c r="I297" s="24">
        <v>4.9000000000000004</v>
      </c>
      <c r="J297" s="24">
        <v>1171.8</v>
      </c>
      <c r="K297" s="22">
        <v>39720</v>
      </c>
      <c r="L297" s="22">
        <v>149112</v>
      </c>
      <c r="M297" s="22">
        <v>58646</v>
      </c>
      <c r="N297" s="22">
        <v>38623</v>
      </c>
      <c r="O297" s="25">
        <v>4566.82</v>
      </c>
      <c r="P297" s="24">
        <v>110</v>
      </c>
      <c r="Q297" s="22">
        <v>98870</v>
      </c>
      <c r="R297" s="23">
        <v>0</v>
      </c>
      <c r="U297" s="19">
        <v>272</v>
      </c>
      <c r="V297" s="19">
        <v>0</v>
      </c>
      <c r="W297" s="19">
        <v>22</v>
      </c>
      <c r="X297" s="19">
        <f t="shared" si="77"/>
        <v>-0.16878299938988264</v>
      </c>
      <c r="Y297" s="19">
        <f t="shared" si="78"/>
        <v>0.78052817554238929</v>
      </c>
      <c r="Z297" s="19">
        <f t="shared" si="79"/>
        <v>-1.0194016695989851</v>
      </c>
      <c r="AA297" s="19">
        <f t="shared" si="80"/>
        <v>0.7942771805225548</v>
      </c>
      <c r="AB297" s="19">
        <f t="shared" si="81"/>
        <v>0.87497891284231744</v>
      </c>
      <c r="AC297" s="19">
        <f t="shared" si="82"/>
        <v>-1.3988498512820762</v>
      </c>
      <c r="AD297" s="19">
        <f t="shared" si="83"/>
        <v>0.55801174311429325</v>
      </c>
      <c r="AE297" s="19">
        <f t="shared" si="84"/>
        <v>1.1052548510195723</v>
      </c>
      <c r="AF297" s="19">
        <f t="shared" si="85"/>
        <v>1.2036502653284888</v>
      </c>
      <c r="AG297" s="19">
        <f t="shared" si="86"/>
        <v>1.425523653549601</v>
      </c>
      <c r="AH297" s="19">
        <f t="shared" si="87"/>
        <v>1.1441890318041357</v>
      </c>
      <c r="AI297" s="19">
        <f t="shared" si="88"/>
        <v>2.0968325566767314</v>
      </c>
      <c r="AJ297" s="19">
        <f t="shared" si="89"/>
        <v>2.0948999621594244</v>
      </c>
      <c r="AK297" s="19">
        <f t="shared" si="90"/>
        <v>1.7736395670995004</v>
      </c>
      <c r="AL297" s="19">
        <f t="shared" si="91"/>
        <v>-0.40402566857224581</v>
      </c>
      <c r="BV297" s="16">
        <v>0</v>
      </c>
      <c r="BW297" s="18">
        <v>269</v>
      </c>
      <c r="BX297" s="48">
        <v>0.11435193287327042</v>
      </c>
      <c r="BY297" s="48">
        <v>0.16671124018781375</v>
      </c>
      <c r="BZ297" s="18" t="e">
        <f t="shared" si="92"/>
        <v>#N/A</v>
      </c>
    </row>
    <row r="298" spans="1:78" x14ac:dyDescent="0.3">
      <c r="A298" s="19">
        <v>273</v>
      </c>
      <c r="B298" s="19">
        <v>0</v>
      </c>
      <c r="C298" s="19">
        <v>32</v>
      </c>
      <c r="D298" s="19">
        <v>170.086400038123</v>
      </c>
      <c r="E298" s="22">
        <v>33088</v>
      </c>
      <c r="F298" s="22">
        <v>240</v>
      </c>
      <c r="G298" s="23">
        <v>10494</v>
      </c>
      <c r="H298" s="23">
        <v>22354</v>
      </c>
      <c r="I298" s="24">
        <v>8.4</v>
      </c>
      <c r="J298" s="24">
        <v>440.5</v>
      </c>
      <c r="K298" s="22">
        <v>16995</v>
      </c>
      <c r="L298" s="22">
        <v>65752</v>
      </c>
      <c r="M298" s="22">
        <v>25223</v>
      </c>
      <c r="N298" s="22">
        <v>18303</v>
      </c>
      <c r="O298" s="25">
        <v>3644.39</v>
      </c>
      <c r="P298" s="24">
        <v>87.8</v>
      </c>
      <c r="Q298" s="22">
        <v>36005</v>
      </c>
      <c r="R298" s="23">
        <v>0</v>
      </c>
      <c r="U298" s="19">
        <v>273</v>
      </c>
      <c r="V298" s="19">
        <v>0</v>
      </c>
      <c r="W298" s="19">
        <v>32</v>
      </c>
      <c r="X298" s="19">
        <f t="shared" si="77"/>
        <v>3.4745774772372657</v>
      </c>
      <c r="Y298" s="19">
        <f t="shared" si="78"/>
        <v>6.3746874501752621E-2</v>
      </c>
      <c r="Z298" s="19">
        <f t="shared" si="79"/>
        <v>-1.1007241639787824</v>
      </c>
      <c r="AA298" s="19">
        <f t="shared" si="80"/>
        <v>0.26544500218191253</v>
      </c>
      <c r="AB298" s="19">
        <f t="shared" si="81"/>
        <v>0.15198312588289628</v>
      </c>
      <c r="AC298" s="19">
        <f t="shared" si="82"/>
        <v>-0.73441990156415093</v>
      </c>
      <c r="AD298" s="19">
        <f t="shared" si="83"/>
        <v>4.6667068683249228E-4</v>
      </c>
      <c r="AE298" s="19">
        <f t="shared" si="84"/>
        <v>-5.9864224200054619E-2</v>
      </c>
      <c r="AF298" s="19">
        <f t="shared" si="85"/>
        <v>3.6248823093580129E-2</v>
      </c>
      <c r="AG298" s="19">
        <f t="shared" si="86"/>
        <v>0.19823549460172041</v>
      </c>
      <c r="AH298" s="19">
        <f t="shared" si="87"/>
        <v>0.30219163871898164</v>
      </c>
      <c r="AI298" s="19">
        <f t="shared" si="88"/>
        <v>0.22710542090592586</v>
      </c>
      <c r="AJ298" s="19">
        <f t="shared" si="89"/>
        <v>0.22711834758536337</v>
      </c>
      <c r="AK298" s="19">
        <f t="shared" si="90"/>
        <v>0.3641936747891662</v>
      </c>
      <c r="AL298" s="19">
        <f t="shared" si="91"/>
        <v>-0.40402566857224581</v>
      </c>
      <c r="BV298" s="16">
        <v>0</v>
      </c>
      <c r="BW298" s="18">
        <v>270</v>
      </c>
      <c r="BX298" s="48">
        <v>-0.36928332037107275</v>
      </c>
      <c r="BY298" s="48">
        <v>0.21065744136888193</v>
      </c>
      <c r="BZ298" s="18" t="e">
        <f t="shared" si="92"/>
        <v>#N/A</v>
      </c>
    </row>
    <row r="299" spans="1:78" x14ac:dyDescent="0.3">
      <c r="A299" s="19">
        <v>274</v>
      </c>
      <c r="B299" s="19">
        <v>0</v>
      </c>
      <c r="C299" s="19">
        <v>2</v>
      </c>
      <c r="D299" s="19">
        <v>133.848279686436</v>
      </c>
      <c r="E299" s="22">
        <v>21294</v>
      </c>
      <c r="F299" s="22">
        <v>1957</v>
      </c>
      <c r="G299" s="23">
        <v>8259</v>
      </c>
      <c r="H299" s="23">
        <v>11078</v>
      </c>
      <c r="I299" s="24">
        <v>9</v>
      </c>
      <c r="J299" s="24">
        <v>1223.2</v>
      </c>
      <c r="K299" s="22">
        <v>14940</v>
      </c>
      <c r="L299" s="22">
        <v>58352</v>
      </c>
      <c r="M299" s="22">
        <v>18532</v>
      </c>
      <c r="N299" s="22">
        <v>8920</v>
      </c>
      <c r="O299" s="25">
        <v>3630.73</v>
      </c>
      <c r="P299" s="24">
        <v>87.5</v>
      </c>
      <c r="Q299" s="22">
        <v>7583</v>
      </c>
      <c r="R299" s="23">
        <v>75</v>
      </c>
      <c r="U299" s="19">
        <v>274</v>
      </c>
      <c r="V299" s="19">
        <v>0</v>
      </c>
      <c r="W299" s="19">
        <v>2</v>
      </c>
      <c r="X299" s="19">
        <f t="shared" si="77"/>
        <v>2.3532141614438333</v>
      </c>
      <c r="Y299" s="19">
        <f t="shared" si="78"/>
        <v>-0.15727115641338943</v>
      </c>
      <c r="Z299" s="19">
        <f t="shared" si="79"/>
        <v>-0.78553065867378935</v>
      </c>
      <c r="AA299" s="19">
        <f t="shared" si="80"/>
        <v>2.7725790880356687E-2</v>
      </c>
      <c r="AB299" s="19">
        <f t="shared" si="81"/>
        <v>-9.6311340029098386E-2</v>
      </c>
      <c r="AC299" s="19">
        <f t="shared" si="82"/>
        <v>-0.62051762446964953</v>
      </c>
      <c r="AD299" s="19">
        <f t="shared" si="83"/>
        <v>0.59719924034220462</v>
      </c>
      <c r="AE299" s="19">
        <f t="shared" si="84"/>
        <v>-0.16522482704169747</v>
      </c>
      <c r="AF299" s="19">
        <f t="shared" si="85"/>
        <v>-6.7383262709422811E-2</v>
      </c>
      <c r="AG299" s="19">
        <f t="shared" si="86"/>
        <v>-4.7457144345120675E-2</v>
      </c>
      <c r="AH299" s="19">
        <f t="shared" si="87"/>
        <v>-8.6610602389187746E-2</v>
      </c>
      <c r="AI299" s="19">
        <f t="shared" si="88"/>
        <v>0.19941717065969694</v>
      </c>
      <c r="AJ299" s="19">
        <f t="shared" si="89"/>
        <v>0.20187805549652496</v>
      </c>
      <c r="AK299" s="19">
        <f t="shared" si="90"/>
        <v>-0.27303325834126124</v>
      </c>
      <c r="AL299" s="19">
        <f t="shared" si="91"/>
        <v>-0.3629722977523393</v>
      </c>
      <c r="BV299" s="16">
        <v>0</v>
      </c>
      <c r="BW299" s="18">
        <v>271</v>
      </c>
      <c r="BX299" s="48">
        <v>1.4605735976196244</v>
      </c>
      <c r="BY299" s="48">
        <v>-0.19644872154903367</v>
      </c>
      <c r="BZ299" s="18" t="e">
        <f t="shared" si="92"/>
        <v>#N/A</v>
      </c>
    </row>
    <row r="300" spans="1:78" x14ac:dyDescent="0.3">
      <c r="A300" s="19">
        <v>275</v>
      </c>
      <c r="B300" s="19">
        <v>0</v>
      </c>
      <c r="C300" s="19">
        <v>24</v>
      </c>
      <c r="D300" s="19">
        <v>10.5284668897809</v>
      </c>
      <c r="E300" s="22">
        <v>13292</v>
      </c>
      <c r="F300" s="22">
        <v>238</v>
      </c>
      <c r="G300" s="23">
        <v>6157</v>
      </c>
      <c r="H300" s="23">
        <v>6897</v>
      </c>
      <c r="I300" s="24">
        <v>11.8</v>
      </c>
      <c r="J300" s="24">
        <v>165.9</v>
      </c>
      <c r="K300" s="22">
        <v>10889</v>
      </c>
      <c r="L300" s="22">
        <v>42503</v>
      </c>
      <c r="M300" s="22">
        <v>14839</v>
      </c>
      <c r="N300" s="22">
        <v>6433</v>
      </c>
      <c r="O300" s="25">
        <v>3700.78</v>
      </c>
      <c r="P300" s="24">
        <v>89.2</v>
      </c>
      <c r="Q300" s="22">
        <v>43555</v>
      </c>
      <c r="R300" s="23">
        <v>0</v>
      </c>
      <c r="U300" s="19">
        <v>275</v>
      </c>
      <c r="V300" s="19">
        <v>0</v>
      </c>
      <c r="W300" s="19">
        <v>24</v>
      </c>
      <c r="X300" s="19">
        <f t="shared" si="77"/>
        <v>-1.4628312856883294</v>
      </c>
      <c r="Y300" s="19">
        <f t="shared" si="78"/>
        <v>-0.30722759895900303</v>
      </c>
      <c r="Z300" s="19">
        <f t="shared" si="79"/>
        <v>-1.101091308422935</v>
      </c>
      <c r="AA300" s="19">
        <f t="shared" si="80"/>
        <v>-0.19584726601265018</v>
      </c>
      <c r="AB300" s="19">
        <f t="shared" si="81"/>
        <v>-0.18837582761140148</v>
      </c>
      <c r="AC300" s="19">
        <f t="shared" si="82"/>
        <v>-8.8973664695309179E-2</v>
      </c>
      <c r="AD300" s="19">
        <f t="shared" si="83"/>
        <v>-0.20888910244126918</v>
      </c>
      <c r="AE300" s="19">
        <f t="shared" si="84"/>
        <v>-0.37292108111055156</v>
      </c>
      <c r="AF300" s="19">
        <f t="shared" si="85"/>
        <v>-0.28933798269480032</v>
      </c>
      <c r="AG300" s="19">
        <f t="shared" si="86"/>
        <v>-0.18306361806066157</v>
      </c>
      <c r="AH300" s="19">
        <f t="shared" si="87"/>
        <v>-0.18966412190704102</v>
      </c>
      <c r="AI300" s="19">
        <f t="shared" si="88"/>
        <v>0.34140559889896199</v>
      </c>
      <c r="AJ300" s="19">
        <f t="shared" si="89"/>
        <v>0.34490637733327761</v>
      </c>
      <c r="AK300" s="19">
        <f t="shared" si="90"/>
        <v>0.53346618710831073</v>
      </c>
      <c r="AL300" s="19">
        <f t="shared" si="91"/>
        <v>-0.40402566857224581</v>
      </c>
      <c r="BV300" s="16">
        <v>0</v>
      </c>
      <c r="BW300" s="18">
        <v>272</v>
      </c>
      <c r="BX300" s="48">
        <v>-4.0523071720144124</v>
      </c>
      <c r="BY300" s="48">
        <v>2.2699699509506375</v>
      </c>
      <c r="BZ300" s="18" t="e">
        <f t="shared" si="92"/>
        <v>#N/A</v>
      </c>
    </row>
    <row r="301" spans="1:78" x14ac:dyDescent="0.3">
      <c r="A301" s="19">
        <v>276</v>
      </c>
      <c r="B301" s="19">
        <v>0</v>
      </c>
      <c r="C301" s="19">
        <v>24</v>
      </c>
      <c r="D301" s="19">
        <v>13.249701243026401</v>
      </c>
      <c r="E301" s="22">
        <v>7632</v>
      </c>
      <c r="F301" s="22">
        <v>44</v>
      </c>
      <c r="G301" s="23">
        <v>2694</v>
      </c>
      <c r="H301" s="23">
        <v>4894</v>
      </c>
      <c r="I301" s="24">
        <v>12.1</v>
      </c>
      <c r="J301" s="24">
        <v>60</v>
      </c>
      <c r="K301" s="22">
        <v>8533</v>
      </c>
      <c r="L301" s="22">
        <v>31726</v>
      </c>
      <c r="M301" s="22">
        <v>10711</v>
      </c>
      <c r="N301" s="22">
        <v>3870</v>
      </c>
      <c r="O301" s="25">
        <v>3260.66</v>
      </c>
      <c r="P301" s="24">
        <v>78.599999999999994</v>
      </c>
      <c r="Q301" s="22">
        <v>10486</v>
      </c>
      <c r="R301" s="23">
        <v>0</v>
      </c>
      <c r="U301" s="19">
        <v>276</v>
      </c>
      <c r="V301" s="19">
        <v>0</v>
      </c>
      <c r="W301" s="19">
        <v>24</v>
      </c>
      <c r="X301" s="19">
        <f t="shared" si="77"/>
        <v>-1.3786245898721015</v>
      </c>
      <c r="Y301" s="19">
        <f t="shared" si="78"/>
        <v>-0.41329526514347853</v>
      </c>
      <c r="Z301" s="19">
        <f t="shared" si="79"/>
        <v>-1.1367043195057356</v>
      </c>
      <c r="AA301" s="19">
        <f t="shared" si="80"/>
        <v>-0.56417909095103402</v>
      </c>
      <c r="AB301" s="19">
        <f t="shared" si="81"/>
        <v>-0.23248134510179924</v>
      </c>
      <c r="AC301" s="19">
        <f t="shared" si="82"/>
        <v>-3.2022526148058644E-2</v>
      </c>
      <c r="AD301" s="19">
        <f t="shared" si="83"/>
        <v>-0.28962754517348316</v>
      </c>
      <c r="AE301" s="19">
        <f t="shared" si="84"/>
        <v>-0.49371406422243014</v>
      </c>
      <c r="AF301" s="19">
        <f t="shared" si="85"/>
        <v>-0.44026271089736285</v>
      </c>
      <c r="AG301" s="19">
        <f t="shared" si="86"/>
        <v>-0.33464323449655453</v>
      </c>
      <c r="AH301" s="19">
        <f t="shared" si="87"/>
        <v>-0.29586684427304744</v>
      </c>
      <c r="AI301" s="19">
        <f t="shared" si="88"/>
        <v>-0.55069928385143385</v>
      </c>
      <c r="AJ301" s="19">
        <f t="shared" si="89"/>
        <v>-0.54691727647235577</v>
      </c>
      <c r="AK301" s="19">
        <f t="shared" si="90"/>
        <v>-0.20794741684954249</v>
      </c>
      <c r="AL301" s="19">
        <f t="shared" si="91"/>
        <v>-0.40402566857224581</v>
      </c>
      <c r="BV301" s="16">
        <v>0</v>
      </c>
      <c r="BW301" s="18">
        <v>273</v>
      </c>
      <c r="BX301" s="48">
        <v>-0.38383831800469992</v>
      </c>
      <c r="BY301" s="48">
        <v>0.10844897103068411</v>
      </c>
      <c r="BZ301" s="18" t="e">
        <f t="shared" si="92"/>
        <v>#N/A</v>
      </c>
    </row>
    <row r="302" spans="1:78" x14ac:dyDescent="0.3">
      <c r="A302" s="19">
        <v>277</v>
      </c>
      <c r="B302" s="19">
        <v>0</v>
      </c>
      <c r="C302" s="19">
        <v>24</v>
      </c>
      <c r="D302" s="19">
        <v>11.1774390488583</v>
      </c>
      <c r="E302" s="22">
        <v>48084</v>
      </c>
      <c r="F302" s="22">
        <v>249</v>
      </c>
      <c r="G302" s="23">
        <v>24860</v>
      </c>
      <c r="H302" s="23">
        <v>22975</v>
      </c>
      <c r="I302" s="24">
        <v>3.8</v>
      </c>
      <c r="J302" s="24">
        <v>1543.9</v>
      </c>
      <c r="K302" s="22">
        <v>21626</v>
      </c>
      <c r="L302" s="22">
        <v>81009</v>
      </c>
      <c r="M302" s="22">
        <v>25809</v>
      </c>
      <c r="N302" s="22">
        <v>13913</v>
      </c>
      <c r="O302" s="25">
        <v>4011.32</v>
      </c>
      <c r="P302" s="24">
        <v>96.6</v>
      </c>
      <c r="Q302" s="22">
        <v>42543</v>
      </c>
      <c r="R302" s="23">
        <v>0</v>
      </c>
      <c r="U302" s="19">
        <v>277</v>
      </c>
      <c r="V302" s="19">
        <v>0</v>
      </c>
      <c r="W302" s="19">
        <v>24</v>
      </c>
      <c r="X302" s="19">
        <f t="shared" si="77"/>
        <v>-1.4427492956430932</v>
      </c>
      <c r="Y302" s="19">
        <f t="shared" si="78"/>
        <v>0.34476997027956086</v>
      </c>
      <c r="Z302" s="19">
        <f t="shared" si="79"/>
        <v>-1.0990720139800958</v>
      </c>
      <c r="AA302" s="19">
        <f t="shared" si="80"/>
        <v>1.7934424024316447</v>
      </c>
      <c r="AB302" s="19">
        <f t="shared" si="81"/>
        <v>0.1656573776859602</v>
      </c>
      <c r="AC302" s="19">
        <f t="shared" si="82"/>
        <v>-1.6076706926219957</v>
      </c>
      <c r="AD302" s="19">
        <f t="shared" si="83"/>
        <v>0.84170177654825773</v>
      </c>
      <c r="AE302" s="19">
        <f t="shared" si="84"/>
        <v>0.17756884234965245</v>
      </c>
      <c r="AF302" s="19">
        <f t="shared" si="85"/>
        <v>0.24991297621471742</v>
      </c>
      <c r="AG302" s="19">
        <f t="shared" si="86"/>
        <v>0.21975333743879241</v>
      </c>
      <c r="AH302" s="19">
        <f t="shared" si="87"/>
        <v>0.12028373735855709</v>
      </c>
      <c r="AI302" s="19">
        <f t="shared" si="88"/>
        <v>0.97085722638534688</v>
      </c>
      <c r="AJ302" s="19">
        <f t="shared" si="89"/>
        <v>0.96750024885796382</v>
      </c>
      <c r="AK302" s="19">
        <f t="shared" si="90"/>
        <v>0.51077694439745325</v>
      </c>
      <c r="AL302" s="19">
        <f t="shared" si="91"/>
        <v>-0.40402566857224581</v>
      </c>
      <c r="BV302" s="16">
        <v>0</v>
      </c>
      <c r="BW302" s="18">
        <v>274</v>
      </c>
      <c r="BX302" s="48">
        <v>7.9587043080019917E-2</v>
      </c>
      <c r="BY302" s="48">
        <v>0.24598538471986603</v>
      </c>
      <c r="BZ302" s="18" t="e">
        <f t="shared" si="92"/>
        <v>#N/A</v>
      </c>
    </row>
    <row r="303" spans="1:78" x14ac:dyDescent="0.3">
      <c r="A303" s="19">
        <v>278</v>
      </c>
      <c r="B303" s="19">
        <v>0</v>
      </c>
      <c r="C303" s="19">
        <v>24</v>
      </c>
      <c r="D303" s="19">
        <v>20.431175853349401</v>
      </c>
      <c r="E303" s="22">
        <v>38775</v>
      </c>
      <c r="F303" s="22">
        <v>206</v>
      </c>
      <c r="G303" s="23">
        <v>13264</v>
      </c>
      <c r="H303" s="23">
        <v>25305</v>
      </c>
      <c r="I303" s="24">
        <v>10.5</v>
      </c>
      <c r="J303" s="24">
        <v>704.9</v>
      </c>
      <c r="K303" s="22">
        <v>27533</v>
      </c>
      <c r="L303" s="22">
        <v>112267</v>
      </c>
      <c r="M303" s="22">
        <v>36527</v>
      </c>
      <c r="N303" s="22">
        <v>16498</v>
      </c>
      <c r="O303" s="25">
        <v>3955.12</v>
      </c>
      <c r="P303" s="24">
        <v>95.3</v>
      </c>
      <c r="Q303" s="22">
        <v>38712</v>
      </c>
      <c r="R303" s="23">
        <v>0</v>
      </c>
      <c r="U303" s="19">
        <v>278</v>
      </c>
      <c r="V303" s="19">
        <v>0</v>
      </c>
      <c r="W303" s="19">
        <v>24</v>
      </c>
      <c r="X303" s="19">
        <f t="shared" si="77"/>
        <v>-1.1563988755369137</v>
      </c>
      <c r="Y303" s="19">
        <f t="shared" si="78"/>
        <v>0.17032051718569469</v>
      </c>
      <c r="Z303" s="19">
        <f t="shared" si="79"/>
        <v>-1.1069656195293764</v>
      </c>
      <c r="AA303" s="19">
        <f t="shared" si="80"/>
        <v>0.56006791730733074</v>
      </c>
      <c r="AB303" s="19">
        <f t="shared" si="81"/>
        <v>0.21696334660888922</v>
      </c>
      <c r="AC303" s="19">
        <f t="shared" si="82"/>
        <v>-0.3357619317333958</v>
      </c>
      <c r="AD303" s="19">
        <f t="shared" si="83"/>
        <v>0.20204593658293618</v>
      </c>
      <c r="AE303" s="19">
        <f t="shared" si="84"/>
        <v>0.48042289635723601</v>
      </c>
      <c r="AF303" s="19">
        <f t="shared" si="85"/>
        <v>0.68766050838096959</v>
      </c>
      <c r="AG303" s="19">
        <f t="shared" si="86"/>
        <v>0.61331688612093893</v>
      </c>
      <c r="AH303" s="19">
        <f t="shared" si="87"/>
        <v>0.22739807107534465</v>
      </c>
      <c r="AI303" s="19">
        <f t="shared" si="88"/>
        <v>0.85694217046747789</v>
      </c>
      <c r="AJ303" s="19">
        <f t="shared" si="89"/>
        <v>0.85812564980632988</v>
      </c>
      <c r="AK303" s="19">
        <f t="shared" si="90"/>
        <v>0.42488515702067936</v>
      </c>
      <c r="AL303" s="19">
        <f t="shared" si="91"/>
        <v>-0.40402566857224581</v>
      </c>
      <c r="BV303" s="16">
        <v>0</v>
      </c>
      <c r="BW303" s="18">
        <v>275</v>
      </c>
      <c r="BX303" s="48">
        <v>0.17988680191087167</v>
      </c>
      <c r="BY303" s="48">
        <v>1.2558535266467989</v>
      </c>
      <c r="BZ303" s="18" t="e">
        <f t="shared" si="92"/>
        <v>#N/A</v>
      </c>
    </row>
    <row r="304" spans="1:78" x14ac:dyDescent="0.3">
      <c r="A304" s="19">
        <v>279</v>
      </c>
      <c r="B304" s="19">
        <v>0</v>
      </c>
      <c r="C304" s="19">
        <v>24</v>
      </c>
      <c r="D304" s="19">
        <v>28.690733240891401</v>
      </c>
      <c r="E304" s="22">
        <v>12467</v>
      </c>
      <c r="F304" s="22">
        <v>733</v>
      </c>
      <c r="G304" s="23">
        <v>4839</v>
      </c>
      <c r="H304" s="23">
        <v>6895</v>
      </c>
      <c r="I304" s="24">
        <v>8.4</v>
      </c>
      <c r="J304" s="24">
        <v>136.19999999999999</v>
      </c>
      <c r="K304" s="22">
        <v>11878</v>
      </c>
      <c r="L304" s="22">
        <v>39120</v>
      </c>
      <c r="M304" s="22">
        <v>10947</v>
      </c>
      <c r="N304" s="22">
        <v>5487</v>
      </c>
      <c r="O304" s="25">
        <v>3613.55</v>
      </c>
      <c r="P304" s="24">
        <v>87.1</v>
      </c>
      <c r="Q304" s="22">
        <v>23334</v>
      </c>
      <c r="R304" s="23">
        <v>0</v>
      </c>
      <c r="U304" s="19">
        <v>279</v>
      </c>
      <c r="V304" s="19">
        <v>0</v>
      </c>
      <c r="W304" s="19">
        <v>24</v>
      </c>
      <c r="X304" s="19">
        <f t="shared" si="77"/>
        <v>-0.90081264288483676</v>
      </c>
      <c r="Y304" s="19">
        <f t="shared" si="78"/>
        <v>-0.32268799199825959</v>
      </c>
      <c r="Z304" s="19">
        <f t="shared" si="79"/>
        <v>-1.0102230584951706</v>
      </c>
      <c r="AA304" s="19">
        <f t="shared" si="80"/>
        <v>-0.33603246533947373</v>
      </c>
      <c r="AB304" s="19">
        <f t="shared" si="81"/>
        <v>-0.18841986706970443</v>
      </c>
      <c r="AC304" s="19">
        <f t="shared" si="82"/>
        <v>-0.73441990156415093</v>
      </c>
      <c r="AD304" s="19">
        <f t="shared" si="83"/>
        <v>-0.23153246173443967</v>
      </c>
      <c r="AE304" s="19">
        <f t="shared" si="84"/>
        <v>-0.32221468879406262</v>
      </c>
      <c r="AF304" s="19">
        <f t="shared" si="85"/>
        <v>-0.33671465110987586</v>
      </c>
      <c r="AG304" s="19">
        <f t="shared" si="86"/>
        <v>-0.32597734557240948</v>
      </c>
      <c r="AH304" s="19">
        <f t="shared" si="87"/>
        <v>-0.22886340999063137</v>
      </c>
      <c r="AI304" s="19">
        <f t="shared" si="88"/>
        <v>0.16459402723142366</v>
      </c>
      <c r="AJ304" s="19">
        <f t="shared" si="89"/>
        <v>0.16822433271140627</v>
      </c>
      <c r="AK304" s="19">
        <f t="shared" si="90"/>
        <v>8.0107316696996528E-2</v>
      </c>
      <c r="AL304" s="19">
        <f t="shared" si="91"/>
        <v>-0.40402566857224581</v>
      </c>
      <c r="BV304" s="16">
        <v>0</v>
      </c>
      <c r="BW304" s="18">
        <v>276</v>
      </c>
      <c r="BX304" s="48">
        <v>1.0994381014862749</v>
      </c>
      <c r="BY304" s="48">
        <v>0.31699103078038365</v>
      </c>
      <c r="BZ304" s="18" t="e">
        <f t="shared" si="92"/>
        <v>#N/A</v>
      </c>
    </row>
    <row r="305" spans="1:78" x14ac:dyDescent="0.3">
      <c r="A305" s="19">
        <v>280</v>
      </c>
      <c r="B305" s="19">
        <v>0</v>
      </c>
      <c r="C305" s="19">
        <v>24</v>
      </c>
      <c r="D305" s="19">
        <v>39.264933336981798</v>
      </c>
      <c r="E305" s="22">
        <v>38918</v>
      </c>
      <c r="F305" s="22">
        <v>7775</v>
      </c>
      <c r="G305" s="23">
        <v>17062</v>
      </c>
      <c r="H305" s="23">
        <v>14081</v>
      </c>
      <c r="I305" s="24">
        <v>7.2</v>
      </c>
      <c r="J305" s="24">
        <v>395.9</v>
      </c>
      <c r="K305" s="22">
        <v>31008</v>
      </c>
      <c r="L305" s="22">
        <v>101750</v>
      </c>
      <c r="M305" s="22">
        <v>29370</v>
      </c>
      <c r="N305" s="22">
        <v>16964</v>
      </c>
      <c r="O305" s="25">
        <v>3613.2</v>
      </c>
      <c r="P305" s="24">
        <v>87</v>
      </c>
      <c r="Q305" s="22">
        <v>9070</v>
      </c>
      <c r="R305" s="23">
        <v>11045</v>
      </c>
      <c r="U305" s="19">
        <v>280</v>
      </c>
      <c r="V305" s="19">
        <v>0</v>
      </c>
      <c r="W305" s="19">
        <v>24</v>
      </c>
      <c r="X305" s="19">
        <f t="shared" si="77"/>
        <v>-0.57360140878827692</v>
      </c>
      <c r="Y305" s="19">
        <f t="shared" si="78"/>
        <v>0.17300031864583251</v>
      </c>
      <c r="Z305" s="19">
        <f t="shared" si="79"/>
        <v>0.28249252936607638</v>
      </c>
      <c r="AA305" s="19">
        <f t="shared" si="80"/>
        <v>0.96403103342514251</v>
      </c>
      <c r="AB305" s="19">
        <f t="shared" si="81"/>
        <v>-3.0186093387228927E-2</v>
      </c>
      <c r="AC305" s="19">
        <f t="shared" si="82"/>
        <v>-0.96222445575315385</v>
      </c>
      <c r="AD305" s="19">
        <f t="shared" si="83"/>
        <v>-3.353648838641346E-2</v>
      </c>
      <c r="AE305" s="19">
        <f t="shared" si="84"/>
        <v>0.65858741941062238</v>
      </c>
      <c r="AF305" s="19">
        <f t="shared" si="85"/>
        <v>0.5403769075174315</v>
      </c>
      <c r="AG305" s="19">
        <f t="shared" si="86"/>
        <v>0.35051278853574369</v>
      </c>
      <c r="AH305" s="19">
        <f t="shared" si="87"/>
        <v>0.2467076569600731</v>
      </c>
      <c r="AI305" s="19">
        <f t="shared" si="88"/>
        <v>0.16388459182979917</v>
      </c>
      <c r="AJ305" s="19">
        <f t="shared" si="89"/>
        <v>0.15981090201512718</v>
      </c>
      <c r="AK305" s="19">
        <f t="shared" si="90"/>
        <v>-0.23969442048449727</v>
      </c>
      <c r="AL305" s="19">
        <f t="shared" si="91"/>
        <v>5.6417674075059798</v>
      </c>
      <c r="BV305" s="16">
        <v>0</v>
      </c>
      <c r="BW305" s="18">
        <v>277</v>
      </c>
      <c r="BX305" s="48">
        <v>-2.0754905201199194</v>
      </c>
      <c r="BY305" s="48">
        <v>2.0261915299774551</v>
      </c>
      <c r="BZ305" s="18" t="e">
        <f t="shared" si="92"/>
        <v>#N/A</v>
      </c>
    </row>
    <row r="306" spans="1:78" x14ac:dyDescent="0.3">
      <c r="A306" s="19">
        <v>281</v>
      </c>
      <c r="B306" s="19">
        <v>0</v>
      </c>
      <c r="C306" s="19">
        <v>24</v>
      </c>
      <c r="D306" s="19">
        <v>22.359633158080701</v>
      </c>
      <c r="E306" s="22">
        <v>31021</v>
      </c>
      <c r="F306" s="22">
        <v>3550</v>
      </c>
      <c r="G306" s="23">
        <v>10133</v>
      </c>
      <c r="H306" s="23">
        <v>17338</v>
      </c>
      <c r="I306" s="24">
        <v>13.1</v>
      </c>
      <c r="J306" s="24">
        <v>517.79999999999995</v>
      </c>
      <c r="K306" s="22">
        <v>23748</v>
      </c>
      <c r="L306" s="22">
        <v>92296</v>
      </c>
      <c r="M306" s="22">
        <v>34059</v>
      </c>
      <c r="N306" s="22">
        <v>15940</v>
      </c>
      <c r="O306" s="25">
        <v>3451.24</v>
      </c>
      <c r="P306" s="24">
        <v>83.1</v>
      </c>
      <c r="Q306" s="22">
        <v>33293</v>
      </c>
      <c r="R306" s="23">
        <v>356</v>
      </c>
      <c r="U306" s="19">
        <v>281</v>
      </c>
      <c r="V306" s="19">
        <v>0</v>
      </c>
      <c r="W306" s="19">
        <v>24</v>
      </c>
      <c r="X306" s="19">
        <f t="shared" si="77"/>
        <v>-1.0967241115973738</v>
      </c>
      <c r="Y306" s="19">
        <f t="shared" si="78"/>
        <v>2.5011562487033387E-2</v>
      </c>
      <c r="Z306" s="19">
        <f t="shared" si="79"/>
        <v>-0.49310010890625655</v>
      </c>
      <c r="AA306" s="19">
        <f t="shared" si="80"/>
        <v>0.22704829735870821</v>
      </c>
      <c r="AB306" s="19">
        <f t="shared" si="81"/>
        <v>4.1532164459114333E-2</v>
      </c>
      <c r="AC306" s="19">
        <f t="shared" si="82"/>
        <v>0.15781460234277714</v>
      </c>
      <c r="AD306" s="19">
        <f t="shared" si="83"/>
        <v>5.9400397062660051E-2</v>
      </c>
      <c r="AE306" s="19">
        <f t="shared" si="84"/>
        <v>0.28636455973649727</v>
      </c>
      <c r="AF306" s="19">
        <f t="shared" si="85"/>
        <v>0.40797991573613557</v>
      </c>
      <c r="AG306" s="19">
        <f t="shared" si="86"/>
        <v>0.52269225110064244</v>
      </c>
      <c r="AH306" s="19">
        <f t="shared" si="87"/>
        <v>0.20427629226916769</v>
      </c>
      <c r="AI306" s="19">
        <f t="shared" si="88"/>
        <v>-0.16440157287585844</v>
      </c>
      <c r="AJ306" s="19">
        <f t="shared" si="89"/>
        <v>-0.16831289513977588</v>
      </c>
      <c r="AK306" s="19">
        <f t="shared" si="90"/>
        <v>0.30339009155611718</v>
      </c>
      <c r="AL306" s="19">
        <f t="shared" si="91"/>
        <v>-0.20915900174708976</v>
      </c>
      <c r="BV306" s="16">
        <v>0</v>
      </c>
      <c r="BW306" s="18">
        <v>278</v>
      </c>
      <c r="BX306" s="48">
        <v>-1.6102034997541628</v>
      </c>
      <c r="BY306" s="48">
        <v>1.335953721408863</v>
      </c>
      <c r="BZ306" s="18" t="e">
        <f t="shared" si="92"/>
        <v>#N/A</v>
      </c>
    </row>
    <row r="307" spans="1:78" x14ac:dyDescent="0.3">
      <c r="A307" s="19">
        <v>282</v>
      </c>
      <c r="B307" s="19">
        <v>0</v>
      </c>
      <c r="C307" s="19">
        <v>24</v>
      </c>
      <c r="D307" s="19">
        <v>52.215989863063797</v>
      </c>
      <c r="E307" s="22">
        <v>47382</v>
      </c>
      <c r="F307" s="22">
        <v>10035</v>
      </c>
      <c r="G307" s="23">
        <v>15141</v>
      </c>
      <c r="H307" s="23">
        <v>22206</v>
      </c>
      <c r="I307" s="24">
        <v>7.4</v>
      </c>
      <c r="J307" s="24">
        <v>469.4</v>
      </c>
      <c r="K307" s="22">
        <v>33498</v>
      </c>
      <c r="L307" s="22">
        <v>109447</v>
      </c>
      <c r="M307" s="22">
        <v>34617</v>
      </c>
      <c r="N307" s="22">
        <v>19534</v>
      </c>
      <c r="O307" s="25">
        <v>3455.64</v>
      </c>
      <c r="P307" s="24">
        <v>83.3</v>
      </c>
      <c r="Q307" s="22">
        <v>22640</v>
      </c>
      <c r="R307" s="23">
        <v>1786</v>
      </c>
      <c r="U307" s="19">
        <v>282</v>
      </c>
      <c r="V307" s="19">
        <v>0</v>
      </c>
      <c r="W307" s="19">
        <v>24</v>
      </c>
      <c r="X307" s="19">
        <f t="shared" si="77"/>
        <v>-0.17284001310403857</v>
      </c>
      <c r="Y307" s="19">
        <f t="shared" si="78"/>
        <v>0.3316145812934298</v>
      </c>
      <c r="Z307" s="19">
        <f t="shared" si="79"/>
        <v>0.69736575125849587</v>
      </c>
      <c r="AA307" s="19">
        <f t="shared" si="80"/>
        <v>0.7597095099753487</v>
      </c>
      <c r="AB307" s="19">
        <f t="shared" si="81"/>
        <v>0.14872420596847846</v>
      </c>
      <c r="AC307" s="19">
        <f t="shared" si="82"/>
        <v>-0.92425703005498672</v>
      </c>
      <c r="AD307" s="19">
        <f t="shared" si="83"/>
        <v>2.2500107844159997E-2</v>
      </c>
      <c r="AE307" s="19">
        <f t="shared" si="84"/>
        <v>0.78625063161290487</v>
      </c>
      <c r="AF307" s="19">
        <f t="shared" si="85"/>
        <v>0.6481682810884738</v>
      </c>
      <c r="AG307" s="19">
        <f t="shared" si="86"/>
        <v>0.54318193762468037</v>
      </c>
      <c r="AH307" s="19">
        <f t="shared" si="87"/>
        <v>0.35320043748314622</v>
      </c>
      <c r="AI307" s="19">
        <f t="shared" si="88"/>
        <v>-0.15548295639830273</v>
      </c>
      <c r="AJ307" s="19">
        <f t="shared" si="89"/>
        <v>-0.15148603374721653</v>
      </c>
      <c r="AK307" s="19">
        <f t="shared" si="90"/>
        <v>6.454769768381953E-2</v>
      </c>
      <c r="AL307" s="19">
        <f t="shared" si="91"/>
        <v>0.57359193521912688</v>
      </c>
      <c r="BV307" s="16">
        <v>0</v>
      </c>
      <c r="BW307" s="18">
        <v>279</v>
      </c>
      <c r="BX307" s="48">
        <v>0.45845151139549606</v>
      </c>
      <c r="BY307" s="48">
        <v>1.1284895056071789</v>
      </c>
      <c r="BZ307" s="18" t="e">
        <f t="shared" si="92"/>
        <v>#N/A</v>
      </c>
    </row>
    <row r="308" spans="1:78" x14ac:dyDescent="0.3">
      <c r="A308" s="19">
        <v>283</v>
      </c>
      <c r="B308" s="19">
        <v>0</v>
      </c>
      <c r="C308" s="19">
        <v>24</v>
      </c>
      <c r="D308" s="19">
        <v>16.7504806860596</v>
      </c>
      <c r="E308" s="22">
        <v>34020</v>
      </c>
      <c r="F308" s="22">
        <v>221</v>
      </c>
      <c r="G308" s="23">
        <v>17605</v>
      </c>
      <c r="H308" s="23">
        <v>16194</v>
      </c>
      <c r="I308" s="24">
        <v>6.8</v>
      </c>
      <c r="J308" s="24">
        <v>375</v>
      </c>
      <c r="K308" s="22">
        <v>24487</v>
      </c>
      <c r="L308" s="22">
        <v>87944</v>
      </c>
      <c r="M308" s="22">
        <v>27413</v>
      </c>
      <c r="N308" s="22">
        <v>9745</v>
      </c>
      <c r="O308" s="25">
        <v>3577.97</v>
      </c>
      <c r="P308" s="24">
        <v>86.2</v>
      </c>
      <c r="Q308" s="22">
        <v>48374</v>
      </c>
      <c r="R308" s="23">
        <v>0</v>
      </c>
      <c r="U308" s="19">
        <v>283</v>
      </c>
      <c r="V308" s="19">
        <v>0</v>
      </c>
      <c r="W308" s="19">
        <v>24</v>
      </c>
      <c r="X308" s="19">
        <f t="shared" si="77"/>
        <v>-1.2702954158972035</v>
      </c>
      <c r="Y308" s="19">
        <f t="shared" si="78"/>
        <v>8.1212433668524917E-2</v>
      </c>
      <c r="Z308" s="19">
        <f t="shared" si="79"/>
        <v>-1.1042120361982319</v>
      </c>
      <c r="AA308" s="19">
        <f t="shared" si="80"/>
        <v>1.0217856337547822</v>
      </c>
      <c r="AB308" s="19">
        <f t="shared" si="81"/>
        <v>1.6341594309830735E-2</v>
      </c>
      <c r="AC308" s="19">
        <f t="shared" si="82"/>
        <v>-1.0381593071494883</v>
      </c>
      <c r="AD308" s="19">
        <f t="shared" si="83"/>
        <v>-4.9470704185311201E-2</v>
      </c>
      <c r="AE308" s="19">
        <f t="shared" si="84"/>
        <v>0.32425336046641162</v>
      </c>
      <c r="AF308" s="19">
        <f t="shared" si="85"/>
        <v>0.34703304581523436</v>
      </c>
      <c r="AG308" s="19">
        <f t="shared" si="86"/>
        <v>0.27865200622832059</v>
      </c>
      <c r="AH308" s="19">
        <f t="shared" si="87"/>
        <v>-5.2425176734893837E-2</v>
      </c>
      <c r="AI308" s="19">
        <f t="shared" si="88"/>
        <v>9.2474851260644322E-2</v>
      </c>
      <c r="AJ308" s="19">
        <f t="shared" si="89"/>
        <v>9.2503456444890997E-2</v>
      </c>
      <c r="AK308" s="19">
        <f t="shared" si="90"/>
        <v>0.6415091323885701</v>
      </c>
      <c r="AL308" s="19">
        <f t="shared" si="91"/>
        <v>-0.40402566857224581</v>
      </c>
      <c r="BV308" s="16">
        <v>0</v>
      </c>
      <c r="BW308" s="18">
        <v>280</v>
      </c>
      <c r="BX308" s="48">
        <v>-1.0332795505764596</v>
      </c>
      <c r="BY308" s="48">
        <v>0.8463112533845607</v>
      </c>
      <c r="BZ308" s="18" t="e">
        <f t="shared" si="92"/>
        <v>#N/A</v>
      </c>
    </row>
    <row r="309" spans="1:78" x14ac:dyDescent="0.3">
      <c r="A309" s="19">
        <v>284</v>
      </c>
      <c r="B309" s="19">
        <v>0</v>
      </c>
      <c r="C309" s="19">
        <v>28</v>
      </c>
      <c r="D309" s="19">
        <v>133.25862562575</v>
      </c>
      <c r="E309" s="22">
        <v>6277</v>
      </c>
      <c r="F309" s="22">
        <v>2183</v>
      </c>
      <c r="G309" s="23">
        <v>1918</v>
      </c>
      <c r="H309" s="23">
        <v>2176</v>
      </c>
      <c r="I309" s="24">
        <v>19.100000000000001</v>
      </c>
      <c r="J309" s="24">
        <v>58.8</v>
      </c>
      <c r="K309" s="22">
        <v>5363</v>
      </c>
      <c r="L309" s="22">
        <v>17380</v>
      </c>
      <c r="M309" s="22">
        <v>4537</v>
      </c>
      <c r="N309" s="22">
        <v>2171</v>
      </c>
      <c r="O309" s="25">
        <v>3045.01</v>
      </c>
      <c r="P309" s="24">
        <v>73.400000000000006</v>
      </c>
      <c r="Q309" s="22">
        <v>2143</v>
      </c>
      <c r="R309" s="23">
        <v>300</v>
      </c>
      <c r="U309" s="19">
        <v>284</v>
      </c>
      <c r="V309" s="19">
        <v>0</v>
      </c>
      <c r="W309" s="19">
        <v>28</v>
      </c>
      <c r="X309" s="19">
        <f t="shared" si="77"/>
        <v>2.3349677285095396</v>
      </c>
      <c r="Y309" s="19">
        <f t="shared" si="78"/>
        <v>-0.43868778946856057</v>
      </c>
      <c r="Z309" s="19">
        <f t="shared" si="79"/>
        <v>-0.74404333648454746</v>
      </c>
      <c r="AA309" s="19">
        <f t="shared" si="80"/>
        <v>-0.64671605201144</v>
      </c>
      <c r="AB309" s="19">
        <f t="shared" si="81"/>
        <v>-0.29233096893549926</v>
      </c>
      <c r="AC309" s="19">
        <f t="shared" si="82"/>
        <v>1.2968373732877922</v>
      </c>
      <c r="AD309" s="19">
        <f t="shared" si="83"/>
        <v>-0.29054242837724764</v>
      </c>
      <c r="AE309" s="19">
        <f t="shared" si="84"/>
        <v>-0.65624112554019554</v>
      </c>
      <c r="AF309" s="19">
        <f t="shared" si="85"/>
        <v>-0.64116891399599529</v>
      </c>
      <c r="AG309" s="19">
        <f t="shared" si="86"/>
        <v>-0.56135170152058633</v>
      </c>
      <c r="AH309" s="19">
        <f t="shared" si="87"/>
        <v>-0.36626810268110238</v>
      </c>
      <c r="AI309" s="19">
        <f t="shared" si="88"/>
        <v>-0.98781283916617157</v>
      </c>
      <c r="AJ309" s="19">
        <f t="shared" si="89"/>
        <v>-0.98441567267889152</v>
      </c>
      <c r="AK309" s="19">
        <f t="shared" si="90"/>
        <v>-0.39499914801227404</v>
      </c>
      <c r="AL309" s="19">
        <f t="shared" si="91"/>
        <v>-0.23981218529261991</v>
      </c>
      <c r="BV309" s="16">
        <v>0</v>
      </c>
      <c r="BW309" s="18">
        <v>281</v>
      </c>
      <c r="BX309" s="48">
        <v>-0.6774778908219401</v>
      </c>
      <c r="BY309" s="48">
        <v>-5.2353531830485842E-2</v>
      </c>
      <c r="BZ309" s="18" t="e">
        <f t="shared" si="92"/>
        <v>#N/A</v>
      </c>
    </row>
    <row r="310" spans="1:78" x14ac:dyDescent="0.3">
      <c r="A310" s="19">
        <v>285</v>
      </c>
      <c r="B310" s="19">
        <v>0</v>
      </c>
      <c r="C310" s="19">
        <v>28</v>
      </c>
      <c r="D310" s="19">
        <v>97.645945879204703</v>
      </c>
      <c r="E310" s="22">
        <v>4359</v>
      </c>
      <c r="F310" s="22">
        <v>1780</v>
      </c>
      <c r="G310" s="23">
        <v>389</v>
      </c>
      <c r="H310" s="23">
        <v>2190</v>
      </c>
      <c r="I310" s="24">
        <v>24.6</v>
      </c>
      <c r="J310" s="24">
        <v>22</v>
      </c>
      <c r="K310" s="22">
        <v>4002</v>
      </c>
      <c r="L310" s="22">
        <v>14855</v>
      </c>
      <c r="M310" s="22">
        <v>4594</v>
      </c>
      <c r="N310" s="22">
        <v>1719</v>
      </c>
      <c r="O310" s="25">
        <v>3088.51</v>
      </c>
      <c r="P310" s="24">
        <v>74.400000000000006</v>
      </c>
      <c r="Q310" s="22">
        <v>1066</v>
      </c>
      <c r="R310" s="23">
        <v>0</v>
      </c>
      <c r="U310" s="19">
        <v>285</v>
      </c>
      <c r="V310" s="19">
        <v>0</v>
      </c>
      <c r="W310" s="19">
        <v>28</v>
      </c>
      <c r="X310" s="19">
        <f t="shared" si="77"/>
        <v>1.2329582352655954</v>
      </c>
      <c r="Y310" s="19">
        <f t="shared" si="78"/>
        <v>-0.47463086080103828</v>
      </c>
      <c r="Z310" s="19">
        <f t="shared" si="79"/>
        <v>-0.81802294198129299</v>
      </c>
      <c r="AA310" s="19">
        <f t="shared" si="80"/>
        <v>-0.80934364667814196</v>
      </c>
      <c r="AB310" s="19">
        <f t="shared" si="81"/>
        <v>-0.29202269272737869</v>
      </c>
      <c r="AC310" s="19">
        <f t="shared" si="82"/>
        <v>2.3409415799873892</v>
      </c>
      <c r="AD310" s="19">
        <f t="shared" si="83"/>
        <v>-0.31859884662602456</v>
      </c>
      <c r="AE310" s="19">
        <f t="shared" si="84"/>
        <v>-0.72602009413750734</v>
      </c>
      <c r="AF310" s="19">
        <f t="shared" si="85"/>
        <v>-0.67652986219229028</v>
      </c>
      <c r="AG310" s="19">
        <f t="shared" si="86"/>
        <v>-0.55925866902619537</v>
      </c>
      <c r="AH310" s="19">
        <f t="shared" si="87"/>
        <v>-0.38499757225169734</v>
      </c>
      <c r="AI310" s="19">
        <f t="shared" si="88"/>
        <v>-0.89964015353579307</v>
      </c>
      <c r="AJ310" s="19">
        <f t="shared" si="89"/>
        <v>-0.90028136571609607</v>
      </c>
      <c r="AK310" s="19">
        <f t="shared" si="90"/>
        <v>-0.41914570374309768</v>
      </c>
      <c r="AL310" s="19">
        <f t="shared" si="91"/>
        <v>-0.40402566857224581</v>
      </c>
      <c r="BV310" s="16">
        <v>0</v>
      </c>
      <c r="BW310" s="18">
        <v>282</v>
      </c>
      <c r="BX310" s="48">
        <v>-1.2169066298707398</v>
      </c>
      <c r="BY310" s="48">
        <v>-0.39685157397009918</v>
      </c>
      <c r="BZ310" s="18" t="e">
        <f t="shared" si="92"/>
        <v>#N/A</v>
      </c>
    </row>
    <row r="311" spans="1:78" x14ac:dyDescent="0.3">
      <c r="A311" s="19">
        <v>286</v>
      </c>
      <c r="B311" s="19">
        <v>0</v>
      </c>
      <c r="C311" s="19">
        <v>28</v>
      </c>
      <c r="D311" s="19">
        <v>110</v>
      </c>
      <c r="E311" s="22">
        <v>27497</v>
      </c>
      <c r="F311" s="22">
        <v>467</v>
      </c>
      <c r="G311" s="23">
        <v>9471</v>
      </c>
      <c r="H311" s="23">
        <v>17559</v>
      </c>
      <c r="I311" s="24">
        <v>12.9</v>
      </c>
      <c r="J311" s="24">
        <v>174.5</v>
      </c>
      <c r="K311" s="22">
        <v>20038</v>
      </c>
      <c r="L311" s="22">
        <v>76605</v>
      </c>
      <c r="M311" s="22">
        <v>24999</v>
      </c>
      <c r="N311" s="22">
        <v>12552</v>
      </c>
      <c r="O311" s="25">
        <v>3687.8</v>
      </c>
      <c r="P311" s="24">
        <v>88.8</v>
      </c>
      <c r="Q311" s="22">
        <v>51573</v>
      </c>
      <c r="R311" s="23">
        <v>0</v>
      </c>
      <c r="U311" s="19">
        <v>286</v>
      </c>
      <c r="V311" s="19">
        <v>0</v>
      </c>
      <c r="W311" s="19">
        <v>28</v>
      </c>
      <c r="X311" s="19">
        <f t="shared" si="77"/>
        <v>1.6152458086259398</v>
      </c>
      <c r="Y311" s="19">
        <f t="shared" si="78"/>
        <v>-4.1027740628530512E-2</v>
      </c>
      <c r="Z311" s="19">
        <f t="shared" si="79"/>
        <v>-1.0590532695674642</v>
      </c>
      <c r="AA311" s="19">
        <f t="shared" si="80"/>
        <v>0.15663661150562991</v>
      </c>
      <c r="AB311" s="19">
        <f t="shared" si="81"/>
        <v>4.639852460158958E-2</v>
      </c>
      <c r="AC311" s="19">
        <f t="shared" si="82"/>
        <v>0.11984717664461011</v>
      </c>
      <c r="AD311" s="19">
        <f t="shared" si="83"/>
        <v>-0.20233243948095717</v>
      </c>
      <c r="AE311" s="19">
        <f t="shared" si="84"/>
        <v>9.615150059173086E-2</v>
      </c>
      <c r="AF311" s="19">
        <f t="shared" si="85"/>
        <v>0.18823788082601134</v>
      </c>
      <c r="AG311" s="19">
        <f t="shared" si="86"/>
        <v>0.19001024409744713</v>
      </c>
      <c r="AH311" s="19">
        <f t="shared" si="87"/>
        <v>6.3888144248867379E-2</v>
      </c>
      <c r="AI311" s="19">
        <f t="shared" si="88"/>
        <v>0.31509568029017315</v>
      </c>
      <c r="AJ311" s="19">
        <f t="shared" si="89"/>
        <v>0.31125265454815892</v>
      </c>
      <c r="AK311" s="19">
        <f t="shared" si="90"/>
        <v>0.71323135317121156</v>
      </c>
      <c r="AL311" s="19">
        <f t="shared" si="91"/>
        <v>-0.40402566857224581</v>
      </c>
      <c r="BV311" s="16">
        <v>0</v>
      </c>
      <c r="BW311" s="18">
        <v>283</v>
      </c>
      <c r="BX311" s="48">
        <v>-1.1089827956364209</v>
      </c>
      <c r="BY311" s="48">
        <v>0.92959403293951171</v>
      </c>
      <c r="BZ311" s="18" t="e">
        <f t="shared" si="92"/>
        <v>#N/A</v>
      </c>
    </row>
    <row r="312" spans="1:78" x14ac:dyDescent="0.3">
      <c r="A312" s="19">
        <v>287</v>
      </c>
      <c r="B312" s="19">
        <v>1</v>
      </c>
      <c r="C312" s="19">
        <v>28</v>
      </c>
      <c r="D312" s="19">
        <v>0</v>
      </c>
      <c r="E312" s="22">
        <v>64677</v>
      </c>
      <c r="F312" s="22">
        <v>474</v>
      </c>
      <c r="G312" s="23">
        <v>13974</v>
      </c>
      <c r="H312" s="23">
        <v>50229</v>
      </c>
      <c r="I312" s="24">
        <v>5.8</v>
      </c>
      <c r="J312" s="24">
        <v>767.3</v>
      </c>
      <c r="K312" s="22">
        <v>29013</v>
      </c>
      <c r="L312" s="22">
        <v>109143</v>
      </c>
      <c r="M312" s="22">
        <v>35288</v>
      </c>
      <c r="N312" s="22">
        <v>23099</v>
      </c>
      <c r="O312" s="25">
        <v>4104.05</v>
      </c>
      <c r="P312" s="24">
        <v>98.9</v>
      </c>
      <c r="Q312" s="22">
        <v>107454</v>
      </c>
      <c r="R312" s="23">
        <v>0</v>
      </c>
      <c r="U312" s="19">
        <v>287</v>
      </c>
      <c r="V312" s="19">
        <v>1</v>
      </c>
      <c r="W312" s="19">
        <v>28</v>
      </c>
      <c r="X312" s="19">
        <f t="shared" si="77"/>
        <v>-1.7886273376680637</v>
      </c>
      <c r="Y312" s="19">
        <f t="shared" si="78"/>
        <v>0.65572063900729971</v>
      </c>
      <c r="Z312" s="19">
        <f t="shared" si="79"/>
        <v>-1.0577682640129302</v>
      </c>
      <c r="AA312" s="19">
        <f t="shared" si="80"/>
        <v>0.63558498219507331</v>
      </c>
      <c r="AB312" s="19">
        <f t="shared" si="81"/>
        <v>0.76578307598016937</v>
      </c>
      <c r="AC312" s="19">
        <f t="shared" si="82"/>
        <v>-1.2279964356403241</v>
      </c>
      <c r="AD312" s="19">
        <f t="shared" si="83"/>
        <v>0.24961986317868831</v>
      </c>
      <c r="AE312" s="19">
        <f t="shared" si="84"/>
        <v>0.55630303854975738</v>
      </c>
      <c r="AF312" s="19">
        <f t="shared" si="85"/>
        <v>0.64391096296899908</v>
      </c>
      <c r="AG312" s="19">
        <f t="shared" si="86"/>
        <v>0.56782096926917747</v>
      </c>
      <c r="AH312" s="19">
        <f t="shared" si="87"/>
        <v>0.50092291318927684</v>
      </c>
      <c r="AI312" s="19">
        <f t="shared" si="88"/>
        <v>1.1588170686498296</v>
      </c>
      <c r="AJ312" s="19">
        <f t="shared" si="89"/>
        <v>1.1610091548723944</v>
      </c>
      <c r="AK312" s="19">
        <f t="shared" si="90"/>
        <v>1.9660945665362604</v>
      </c>
      <c r="AL312" s="19">
        <f t="shared" si="91"/>
        <v>-0.40402566857224581</v>
      </c>
      <c r="BV312" s="16">
        <v>0</v>
      </c>
      <c r="BW312" s="18">
        <v>284</v>
      </c>
      <c r="BX312" s="48">
        <v>2.0239481933645553</v>
      </c>
      <c r="BY312" s="48">
        <v>-1.2956790205609916</v>
      </c>
      <c r="BZ312" s="18" t="e">
        <f t="shared" si="92"/>
        <v>#N/A</v>
      </c>
    </row>
    <row r="313" spans="1:78" x14ac:dyDescent="0.3">
      <c r="A313" s="19">
        <v>288</v>
      </c>
      <c r="B313" s="19">
        <v>0</v>
      </c>
      <c r="C313" s="19">
        <v>28</v>
      </c>
      <c r="D313" s="19">
        <v>59.097435316295098</v>
      </c>
      <c r="E313" s="22">
        <v>12872</v>
      </c>
      <c r="F313" s="22">
        <v>4952</v>
      </c>
      <c r="G313" s="23">
        <v>2444</v>
      </c>
      <c r="H313" s="23">
        <v>5476</v>
      </c>
      <c r="I313" s="24">
        <v>24.4</v>
      </c>
      <c r="J313" s="24">
        <v>42</v>
      </c>
      <c r="K313" s="22">
        <v>10566</v>
      </c>
      <c r="L313" s="22">
        <v>37930</v>
      </c>
      <c r="M313" s="22">
        <v>10882</v>
      </c>
      <c r="N313" s="22">
        <v>4073</v>
      </c>
      <c r="O313" s="25">
        <v>3314.71</v>
      </c>
      <c r="P313" s="24">
        <v>79.900000000000006</v>
      </c>
      <c r="Q313" s="22">
        <v>10273</v>
      </c>
      <c r="R313" s="23">
        <v>1220</v>
      </c>
      <c r="U313" s="19">
        <v>288</v>
      </c>
      <c r="V313" s="19">
        <v>0</v>
      </c>
      <c r="W313" s="19">
        <v>28</v>
      </c>
      <c r="X313" s="19">
        <f t="shared" si="77"/>
        <v>4.0101508586334107E-2</v>
      </c>
      <c r="Y313" s="19">
        <f t="shared" si="78"/>
        <v>-0.31509834450626095</v>
      </c>
      <c r="Z313" s="19">
        <f t="shared" si="79"/>
        <v>-0.23573185355529541</v>
      </c>
      <c r="AA313" s="19">
        <f t="shared" si="80"/>
        <v>-0.59076960675657719</v>
      </c>
      <c r="AB313" s="19">
        <f t="shared" si="81"/>
        <v>-0.21966586273564273</v>
      </c>
      <c r="AC313" s="19">
        <f t="shared" si="82"/>
        <v>2.3029741542892213</v>
      </c>
      <c r="AD313" s="19">
        <f t="shared" si="83"/>
        <v>-0.30335079322995012</v>
      </c>
      <c r="AE313" s="19">
        <f t="shared" si="84"/>
        <v>-0.38948140944040588</v>
      </c>
      <c r="AF313" s="19">
        <f t="shared" si="85"/>
        <v>-0.35337981085387227</v>
      </c>
      <c r="AG313" s="19">
        <f t="shared" si="86"/>
        <v>-0.32836413701338163</v>
      </c>
      <c r="AH313" s="19">
        <f t="shared" si="87"/>
        <v>-0.28745515771811209</v>
      </c>
      <c r="AI313" s="19">
        <f t="shared" si="88"/>
        <v>-0.44114218825782525</v>
      </c>
      <c r="AJ313" s="19">
        <f t="shared" si="89"/>
        <v>-0.43754267742072062</v>
      </c>
      <c r="AK313" s="19">
        <f t="shared" si="90"/>
        <v>-0.21272291951496999</v>
      </c>
      <c r="AL313" s="19">
        <f t="shared" si="91"/>
        <v>0.26377583009823269</v>
      </c>
      <c r="BV313" s="16">
        <v>0</v>
      </c>
      <c r="BW313" s="18">
        <v>285</v>
      </c>
      <c r="BX313" s="48">
        <v>2.1601486350563643</v>
      </c>
      <c r="BY313" s="48">
        <v>-1.2758299902050541</v>
      </c>
      <c r="BZ313" s="18" t="e">
        <f t="shared" si="92"/>
        <v>#N/A</v>
      </c>
    </row>
    <row r="314" spans="1:78" x14ac:dyDescent="0.3">
      <c r="A314" s="19">
        <v>289</v>
      </c>
      <c r="B314" s="19">
        <v>0</v>
      </c>
      <c r="C314" s="19">
        <v>28</v>
      </c>
      <c r="D314" s="19">
        <v>68.041065262184006</v>
      </c>
      <c r="E314" s="22">
        <v>8171</v>
      </c>
      <c r="F314" s="22">
        <v>2835</v>
      </c>
      <c r="G314" s="23">
        <v>1141</v>
      </c>
      <c r="H314" s="23">
        <v>4195</v>
      </c>
      <c r="I314" s="24">
        <v>27.2</v>
      </c>
      <c r="J314" s="24">
        <v>65.900000000000006</v>
      </c>
      <c r="K314" s="22">
        <v>7517</v>
      </c>
      <c r="L314" s="22">
        <v>27549</v>
      </c>
      <c r="M314" s="22">
        <v>7142</v>
      </c>
      <c r="N314" s="22">
        <v>3052</v>
      </c>
      <c r="O314" s="25">
        <v>3241.42</v>
      </c>
      <c r="P314" s="24">
        <v>78.099999999999994</v>
      </c>
      <c r="Q314" s="22">
        <v>9045</v>
      </c>
      <c r="R314" s="23">
        <v>0</v>
      </c>
      <c r="U314" s="19">
        <v>289</v>
      </c>
      <c r="V314" s="19">
        <v>0</v>
      </c>
      <c r="W314" s="19">
        <v>28</v>
      </c>
      <c r="X314" s="19">
        <f t="shared" si="77"/>
        <v>0.3168558886154445</v>
      </c>
      <c r="Y314" s="19">
        <f t="shared" si="78"/>
        <v>-0.40319447502449757</v>
      </c>
      <c r="Z314" s="19">
        <f t="shared" si="79"/>
        <v>-0.62435424769080516</v>
      </c>
      <c r="AA314" s="19">
        <f t="shared" si="80"/>
        <v>-0.7293593751350681</v>
      </c>
      <c r="AB314" s="19">
        <f t="shared" si="81"/>
        <v>-0.24787313577867795</v>
      </c>
      <c r="AC314" s="19">
        <f t="shared" si="82"/>
        <v>2.8345181140635618</v>
      </c>
      <c r="AD314" s="19">
        <f t="shared" si="83"/>
        <v>-0.28512936942164124</v>
      </c>
      <c r="AE314" s="19">
        <f t="shared" si="84"/>
        <v>-0.54580475643026916</v>
      </c>
      <c r="AF314" s="19">
        <f t="shared" si="85"/>
        <v>-0.4987588220323822</v>
      </c>
      <c r="AG314" s="19">
        <f t="shared" si="86"/>
        <v>-0.46569644454008702</v>
      </c>
      <c r="AH314" s="19">
        <f t="shared" si="87"/>
        <v>-0.32976221177027459</v>
      </c>
      <c r="AI314" s="19">
        <f t="shared" si="88"/>
        <v>-0.58969796135783525</v>
      </c>
      <c r="AJ314" s="19">
        <f t="shared" si="89"/>
        <v>-0.58898442995375355</v>
      </c>
      <c r="AK314" s="19">
        <f t="shared" si="90"/>
        <v>-0.24025492549217656</v>
      </c>
      <c r="AL314" s="19">
        <f t="shared" si="91"/>
        <v>-0.40402566857224581</v>
      </c>
      <c r="BV314" s="16">
        <v>0</v>
      </c>
      <c r="BW314" s="18">
        <v>286</v>
      </c>
      <c r="BX314" s="48">
        <v>-0.39959926605213258</v>
      </c>
      <c r="BY314" s="48">
        <v>0.31476675660762171</v>
      </c>
      <c r="BZ314" s="18" t="e">
        <f t="shared" si="92"/>
        <v>#N/A</v>
      </c>
    </row>
    <row r="315" spans="1:78" x14ac:dyDescent="0.3">
      <c r="A315" s="19">
        <v>290</v>
      </c>
      <c r="B315" s="19">
        <v>0</v>
      </c>
      <c r="C315" s="19">
        <v>28</v>
      </c>
      <c r="D315" s="19">
        <v>65.029535378948196</v>
      </c>
      <c r="E315" s="22">
        <v>15472</v>
      </c>
      <c r="F315" s="22">
        <v>3936</v>
      </c>
      <c r="G315" s="23">
        <v>5462</v>
      </c>
      <c r="H315" s="23">
        <v>6074</v>
      </c>
      <c r="I315" s="24">
        <v>20.8</v>
      </c>
      <c r="J315" s="24">
        <v>315.3</v>
      </c>
      <c r="K315" s="22">
        <v>13148</v>
      </c>
      <c r="L315" s="22">
        <v>41892</v>
      </c>
      <c r="M315" s="22">
        <v>11073</v>
      </c>
      <c r="N315" s="22">
        <v>4151</v>
      </c>
      <c r="O315" s="25">
        <v>3180.05</v>
      </c>
      <c r="P315" s="24">
        <v>76.599999999999994</v>
      </c>
      <c r="Q315" s="22">
        <v>8399</v>
      </c>
      <c r="R315" s="23">
        <v>220</v>
      </c>
      <c r="U315" s="19">
        <v>290</v>
      </c>
      <c r="V315" s="19">
        <v>0</v>
      </c>
      <c r="W315" s="19">
        <v>28</v>
      </c>
      <c r="X315" s="19">
        <f t="shared" si="77"/>
        <v>0.22366620044446009</v>
      </c>
      <c r="Y315" s="19">
        <f t="shared" si="78"/>
        <v>-0.26637468159466443</v>
      </c>
      <c r="Z315" s="19">
        <f t="shared" si="79"/>
        <v>-0.42224123118480789</v>
      </c>
      <c r="AA315" s="19">
        <f t="shared" si="80"/>
        <v>-0.26976889995206016</v>
      </c>
      <c r="AB315" s="19">
        <f t="shared" si="81"/>
        <v>-0.20649806470306267</v>
      </c>
      <c r="AC315" s="19">
        <f t="shared" si="82"/>
        <v>1.6195604917222128</v>
      </c>
      <c r="AD315" s="19">
        <f t="shared" si="83"/>
        <v>-9.4986143572593301E-2</v>
      </c>
      <c r="AE315" s="19">
        <f t="shared" si="84"/>
        <v>-0.25710132353426385</v>
      </c>
      <c r="AF315" s="19">
        <f t="shared" si="85"/>
        <v>-0.29789463194150773</v>
      </c>
      <c r="AG315" s="19">
        <f t="shared" si="86"/>
        <v>-0.32135064216375581</v>
      </c>
      <c r="AH315" s="19">
        <f t="shared" si="87"/>
        <v>-0.28422308111079703</v>
      </c>
      <c r="AI315" s="19">
        <f t="shared" si="88"/>
        <v>-0.71409239163683114</v>
      </c>
      <c r="AJ315" s="19">
        <f t="shared" si="89"/>
        <v>-0.71518589039794678</v>
      </c>
      <c r="AK315" s="19">
        <f t="shared" si="90"/>
        <v>-0.25473837489060935</v>
      </c>
      <c r="AL315" s="19">
        <f t="shared" si="91"/>
        <v>-0.28360244750052016</v>
      </c>
      <c r="BV315" s="16">
        <v>1</v>
      </c>
      <c r="BW315" s="18">
        <v>287</v>
      </c>
      <c r="BX315" s="48">
        <v>-2.805673453810015</v>
      </c>
      <c r="BY315" s="48">
        <v>1.8754080553820816</v>
      </c>
      <c r="BZ315" s="18">
        <f t="shared" si="92"/>
        <v>1.8754080553820816</v>
      </c>
    </row>
    <row r="316" spans="1:78" x14ac:dyDescent="0.3">
      <c r="A316" s="19">
        <v>291</v>
      </c>
      <c r="B316" s="19">
        <v>0</v>
      </c>
      <c r="C316" s="19">
        <v>32</v>
      </c>
      <c r="D316" s="19">
        <v>114.63828237124299</v>
      </c>
      <c r="E316" s="22">
        <v>9158</v>
      </c>
      <c r="F316" s="22">
        <v>1391</v>
      </c>
      <c r="G316" s="23">
        <v>3400</v>
      </c>
      <c r="H316" s="23">
        <v>4367</v>
      </c>
      <c r="I316" s="24">
        <v>25.5</v>
      </c>
      <c r="J316" s="24">
        <v>103.5</v>
      </c>
      <c r="K316" s="22">
        <v>8906</v>
      </c>
      <c r="L316" s="22">
        <v>30845</v>
      </c>
      <c r="M316" s="22">
        <v>8697</v>
      </c>
      <c r="N316" s="22">
        <v>4842</v>
      </c>
      <c r="O316" s="25">
        <v>3394.74</v>
      </c>
      <c r="P316" s="24">
        <v>81.8</v>
      </c>
      <c r="Q316" s="22">
        <v>17021</v>
      </c>
      <c r="R316" s="23">
        <v>0</v>
      </c>
      <c r="U316" s="19">
        <v>291</v>
      </c>
      <c r="V316" s="19">
        <v>0</v>
      </c>
      <c r="W316" s="19">
        <v>32</v>
      </c>
      <c r="X316" s="19">
        <f t="shared" si="77"/>
        <v>1.7587742159750572</v>
      </c>
      <c r="Y316" s="19">
        <f t="shared" si="78"/>
        <v>-0.38469822298844147</v>
      </c>
      <c r="Z316" s="19">
        <f t="shared" si="79"/>
        <v>-0.88943253636897057</v>
      </c>
      <c r="AA316" s="19">
        <f t="shared" si="80"/>
        <v>-0.48908747431618016</v>
      </c>
      <c r="AB316" s="19">
        <f t="shared" si="81"/>
        <v>-0.24408574236462482</v>
      </c>
      <c r="AC316" s="19">
        <f t="shared" si="82"/>
        <v>2.511794995629141</v>
      </c>
      <c r="AD316" s="19">
        <f t="shared" si="83"/>
        <v>-0.25646302903702134</v>
      </c>
      <c r="AE316" s="19">
        <f t="shared" si="84"/>
        <v>-0.47459021757526093</v>
      </c>
      <c r="AF316" s="19">
        <f t="shared" si="85"/>
        <v>-0.45260053084228791</v>
      </c>
      <c r="AG316" s="19">
        <f t="shared" si="86"/>
        <v>-0.4085970492983686</v>
      </c>
      <c r="AH316" s="19">
        <f t="shared" si="87"/>
        <v>-0.25559019732035204</v>
      </c>
      <c r="AI316" s="19">
        <f t="shared" si="88"/>
        <v>-0.27892471628083282</v>
      </c>
      <c r="AJ316" s="19">
        <f t="shared" si="89"/>
        <v>-0.27768749419140981</v>
      </c>
      <c r="AK316" s="19">
        <f t="shared" si="90"/>
        <v>-6.143140784217694E-2</v>
      </c>
      <c r="AL316" s="19">
        <f t="shared" si="91"/>
        <v>-0.40402566857224581</v>
      </c>
      <c r="BV316" s="16">
        <v>0</v>
      </c>
      <c r="BW316" s="18">
        <v>288</v>
      </c>
      <c r="BX316" s="48">
        <v>1.3967230260125494</v>
      </c>
      <c r="BY316" s="48">
        <v>-0.82079574211722539</v>
      </c>
      <c r="BZ316" s="18" t="e">
        <f t="shared" si="92"/>
        <v>#N/A</v>
      </c>
    </row>
    <row r="317" spans="1:78" x14ac:dyDescent="0.3">
      <c r="A317" s="19">
        <v>292</v>
      </c>
      <c r="B317" s="19">
        <v>0</v>
      </c>
      <c r="C317" s="19">
        <v>32</v>
      </c>
      <c r="D317" s="19">
        <v>74.853437494979005</v>
      </c>
      <c r="E317" s="22">
        <v>15248</v>
      </c>
      <c r="F317" s="22">
        <v>2658</v>
      </c>
      <c r="G317" s="23">
        <v>4677</v>
      </c>
      <c r="H317" s="23">
        <v>7913</v>
      </c>
      <c r="I317" s="24">
        <v>22.2</v>
      </c>
      <c r="J317" s="24">
        <v>236.2</v>
      </c>
      <c r="K317" s="22">
        <v>13993</v>
      </c>
      <c r="L317" s="22">
        <v>49510</v>
      </c>
      <c r="M317" s="22">
        <v>15075</v>
      </c>
      <c r="N317" s="22">
        <v>7967</v>
      </c>
      <c r="O317" s="25">
        <v>3574.91</v>
      </c>
      <c r="P317" s="24">
        <v>86.1</v>
      </c>
      <c r="Q317" s="22">
        <v>12083</v>
      </c>
      <c r="R317" s="23">
        <v>1207</v>
      </c>
      <c r="U317" s="19">
        <v>292</v>
      </c>
      <c r="V317" s="19">
        <v>0</v>
      </c>
      <c r="W317" s="19">
        <v>32</v>
      </c>
      <c r="X317" s="19">
        <f t="shared" si="77"/>
        <v>0.52765998775880651</v>
      </c>
      <c r="Y317" s="19">
        <f t="shared" si="78"/>
        <v>-0.27057241255320197</v>
      </c>
      <c r="Z317" s="19">
        <f t="shared" si="79"/>
        <v>-0.65684653099830881</v>
      </c>
      <c r="AA317" s="19">
        <f t="shared" si="80"/>
        <v>-0.35326311958146567</v>
      </c>
      <c r="AB317" s="19">
        <f t="shared" si="81"/>
        <v>-0.16600378279350625</v>
      </c>
      <c r="AC317" s="19">
        <f t="shared" si="82"/>
        <v>1.8853324716093827</v>
      </c>
      <c r="AD317" s="19">
        <f t="shared" si="83"/>
        <v>-0.15529219475406761</v>
      </c>
      <c r="AE317" s="19">
        <f t="shared" si="84"/>
        <v>-0.21377786397164186</v>
      </c>
      <c r="AF317" s="19">
        <f t="shared" si="85"/>
        <v>-0.191209600908092</v>
      </c>
      <c r="AG317" s="19">
        <f t="shared" si="86"/>
        <v>-0.17439772913651652</v>
      </c>
      <c r="AH317" s="19">
        <f t="shared" si="87"/>
        <v>-0.12609994862984483</v>
      </c>
      <c r="AI317" s="19">
        <f t="shared" si="88"/>
        <v>8.6272358892162629E-2</v>
      </c>
      <c r="AJ317" s="19">
        <f t="shared" si="89"/>
        <v>8.4090025748610728E-2</v>
      </c>
      <c r="AK317" s="19">
        <f t="shared" si="90"/>
        <v>-0.17214235695898963</v>
      </c>
      <c r="AL317" s="19">
        <f t="shared" si="91"/>
        <v>0.25665991248944892</v>
      </c>
      <c r="BV317" s="16">
        <v>0</v>
      </c>
      <c r="BW317" s="18">
        <v>289</v>
      </c>
      <c r="BX317" s="48">
        <v>1.7609490835850554</v>
      </c>
      <c r="BY317" s="48">
        <v>-1.0552181267969278</v>
      </c>
      <c r="BZ317" s="18" t="e">
        <f t="shared" si="92"/>
        <v>#N/A</v>
      </c>
    </row>
    <row r="318" spans="1:78" x14ac:dyDescent="0.3">
      <c r="A318" s="19">
        <v>293</v>
      </c>
      <c r="B318" s="19">
        <v>0</v>
      </c>
      <c r="C318" s="19">
        <v>32</v>
      </c>
      <c r="D318" s="19">
        <v>28.849999986211198</v>
      </c>
      <c r="E318" s="22">
        <v>13609</v>
      </c>
      <c r="F318" s="22">
        <v>3078</v>
      </c>
      <c r="G318" s="23">
        <v>3485</v>
      </c>
      <c r="H318" s="23">
        <v>7046</v>
      </c>
      <c r="I318" s="24">
        <v>15.8</v>
      </c>
      <c r="J318" s="24">
        <v>244.4</v>
      </c>
      <c r="K318" s="22">
        <v>15313</v>
      </c>
      <c r="L318" s="22">
        <v>53646</v>
      </c>
      <c r="M318" s="22">
        <v>14502</v>
      </c>
      <c r="N318" s="22">
        <v>8553</v>
      </c>
      <c r="O318" s="25">
        <v>3534.88</v>
      </c>
      <c r="P318" s="24">
        <v>85.2</v>
      </c>
      <c r="Q318" s="22">
        <v>5057</v>
      </c>
      <c r="R318" s="23">
        <v>448</v>
      </c>
      <c r="U318" s="19">
        <v>293</v>
      </c>
      <c r="V318" s="19">
        <v>0</v>
      </c>
      <c r="W318" s="19">
        <v>32</v>
      </c>
      <c r="X318" s="19">
        <f t="shared" si="77"/>
        <v>-0.89588424472582118</v>
      </c>
      <c r="Y318" s="19">
        <f t="shared" si="78"/>
        <v>-0.30128706005785838</v>
      </c>
      <c r="Z318" s="19">
        <f t="shared" si="79"/>
        <v>-0.57974619772626623</v>
      </c>
      <c r="AA318" s="19">
        <f t="shared" si="80"/>
        <v>-0.48004669894229546</v>
      </c>
      <c r="AB318" s="19">
        <f t="shared" si="81"/>
        <v>-0.18509488796783219</v>
      </c>
      <c r="AC318" s="19">
        <f t="shared" si="82"/>
        <v>0.67037484926803392</v>
      </c>
      <c r="AD318" s="19">
        <f t="shared" si="83"/>
        <v>-0.14904049286167709</v>
      </c>
      <c r="AE318" s="19">
        <f t="shared" si="84"/>
        <v>-0.14610098039452823</v>
      </c>
      <c r="AF318" s="19">
        <f t="shared" si="85"/>
        <v>-0.13328766754576496</v>
      </c>
      <c r="AG318" s="19">
        <f t="shared" si="86"/>
        <v>-0.1954382136853941</v>
      </c>
      <c r="AH318" s="19">
        <f t="shared" si="87"/>
        <v>-0.10181793719540091</v>
      </c>
      <c r="AI318" s="19">
        <f t="shared" si="88"/>
        <v>5.1332185293113813E-3</v>
      </c>
      <c r="AJ318" s="19">
        <f t="shared" si="89"/>
        <v>8.3691494820954705E-3</v>
      </c>
      <c r="AK318" s="19">
        <f t="shared" si="90"/>
        <v>-0.32966668431717638</v>
      </c>
      <c r="AL318" s="19">
        <f t="shared" si="91"/>
        <v>-0.1588002002080045</v>
      </c>
      <c r="BV318" s="16">
        <v>0</v>
      </c>
      <c r="BW318" s="18">
        <v>290</v>
      </c>
      <c r="BX318" s="48">
        <v>1.1808362782249475</v>
      </c>
      <c r="BY318" s="48">
        <v>-0.98958980568834309</v>
      </c>
      <c r="BZ318" s="18" t="e">
        <f t="shared" si="92"/>
        <v>#N/A</v>
      </c>
    </row>
    <row r="319" spans="1:78" x14ac:dyDescent="0.3">
      <c r="A319" s="19">
        <v>294</v>
      </c>
      <c r="B319" s="19">
        <v>0</v>
      </c>
      <c r="C319" s="19">
        <v>32</v>
      </c>
      <c r="D319" s="19">
        <v>95.834848397497595</v>
      </c>
      <c r="E319" s="22">
        <v>17309</v>
      </c>
      <c r="F319" s="22">
        <v>1887</v>
      </c>
      <c r="G319" s="23">
        <v>3866</v>
      </c>
      <c r="H319" s="23">
        <v>11556</v>
      </c>
      <c r="I319" s="24">
        <v>8.9</v>
      </c>
      <c r="J319" s="24">
        <v>225.4</v>
      </c>
      <c r="K319" s="22">
        <v>13543</v>
      </c>
      <c r="L319" s="22">
        <v>49910</v>
      </c>
      <c r="M319" s="22">
        <v>16063</v>
      </c>
      <c r="N319" s="22">
        <v>12667</v>
      </c>
      <c r="O319" s="25">
        <v>3391.16</v>
      </c>
      <c r="P319" s="24">
        <v>81.7</v>
      </c>
      <c r="Q319" s="22">
        <v>6423</v>
      </c>
      <c r="R319" s="23">
        <v>1349</v>
      </c>
      <c r="U319" s="19">
        <v>294</v>
      </c>
      <c r="V319" s="19">
        <v>0</v>
      </c>
      <c r="W319" s="19">
        <v>32</v>
      </c>
      <c r="X319" s="19">
        <f t="shared" si="77"/>
        <v>1.1769150890537452</v>
      </c>
      <c r="Y319" s="19">
        <f t="shared" si="78"/>
        <v>-0.23194953976058641</v>
      </c>
      <c r="Z319" s="19">
        <f t="shared" si="79"/>
        <v>-0.79838071421912982</v>
      </c>
      <c r="AA319" s="19">
        <f t="shared" si="80"/>
        <v>-0.4395227528546477</v>
      </c>
      <c r="AB319" s="19">
        <f t="shared" si="81"/>
        <v>-8.5785909494694917E-2</v>
      </c>
      <c r="AC319" s="19">
        <f t="shared" si="82"/>
        <v>-0.63950133731873304</v>
      </c>
      <c r="AD319" s="19">
        <f t="shared" si="83"/>
        <v>-0.16352614358794779</v>
      </c>
      <c r="AE319" s="19">
        <f t="shared" si="84"/>
        <v>-0.23684952882747606</v>
      </c>
      <c r="AF319" s="19">
        <f t="shared" si="85"/>
        <v>-0.1856078665403621</v>
      </c>
      <c r="AG319" s="19">
        <f t="shared" si="86"/>
        <v>-0.13811849923373981</v>
      </c>
      <c r="AH319" s="19">
        <f t="shared" si="87"/>
        <v>6.8653385400678044E-2</v>
      </c>
      <c r="AI319" s="19">
        <f t="shared" si="88"/>
        <v>-0.2861812269602983</v>
      </c>
      <c r="AJ319" s="19">
        <f t="shared" si="89"/>
        <v>-0.2861009248876889</v>
      </c>
      <c r="AK319" s="19">
        <f t="shared" si="90"/>
        <v>-0.29904069069758016</v>
      </c>
      <c r="AL319" s="19">
        <f t="shared" si="91"/>
        <v>0.33438762790847182</v>
      </c>
      <c r="BV319" s="16">
        <v>0</v>
      </c>
      <c r="BW319" s="18">
        <v>291</v>
      </c>
      <c r="BX319" s="48">
        <v>1.4764342126657379</v>
      </c>
      <c r="BY319" s="48">
        <v>-0.81246913171112656</v>
      </c>
      <c r="BZ319" s="18" t="e">
        <f t="shared" si="92"/>
        <v>#N/A</v>
      </c>
    </row>
    <row r="320" spans="1:78" x14ac:dyDescent="0.3">
      <c r="A320" s="19">
        <v>295</v>
      </c>
      <c r="B320" s="19">
        <v>0</v>
      </c>
      <c r="C320" s="19">
        <v>32</v>
      </c>
      <c r="D320" s="19">
        <v>70.532049963636993</v>
      </c>
      <c r="E320" s="22">
        <v>8957</v>
      </c>
      <c r="F320" s="22">
        <v>2420</v>
      </c>
      <c r="G320" s="23">
        <v>2669</v>
      </c>
      <c r="H320" s="23">
        <v>3868</v>
      </c>
      <c r="I320" s="24">
        <v>21.7</v>
      </c>
      <c r="J320" s="24">
        <v>46.7</v>
      </c>
      <c r="K320" s="22">
        <v>8465</v>
      </c>
      <c r="L320" s="22">
        <v>30593</v>
      </c>
      <c r="M320" s="22">
        <v>8936</v>
      </c>
      <c r="N320" s="22">
        <v>4456</v>
      </c>
      <c r="O320" s="25">
        <v>3162.58</v>
      </c>
      <c r="P320" s="24">
        <v>76.2</v>
      </c>
      <c r="Q320" s="22">
        <v>4233</v>
      </c>
      <c r="R320" s="23">
        <v>1470</v>
      </c>
      <c r="U320" s="19">
        <v>295</v>
      </c>
      <c r="V320" s="19">
        <v>0</v>
      </c>
      <c r="W320" s="19">
        <v>32</v>
      </c>
      <c r="X320" s="19">
        <f t="shared" si="77"/>
        <v>0.39393766982549006</v>
      </c>
      <c r="Y320" s="19">
        <f t="shared" si="78"/>
        <v>-0.38846493692891493</v>
      </c>
      <c r="Z320" s="19">
        <f t="shared" si="79"/>
        <v>-0.70053671985246624</v>
      </c>
      <c r="AA320" s="19">
        <f t="shared" si="80"/>
        <v>-0.56683814253158837</v>
      </c>
      <c r="AB320" s="19">
        <f t="shared" si="81"/>
        <v>-0.25507358721120921</v>
      </c>
      <c r="AC320" s="19">
        <f t="shared" si="82"/>
        <v>1.7904139073639649</v>
      </c>
      <c r="AD320" s="19">
        <f t="shared" si="83"/>
        <v>-0.29976750068187263</v>
      </c>
      <c r="AE320" s="19">
        <f t="shared" si="84"/>
        <v>-0.49720044913397843</v>
      </c>
      <c r="AF320" s="19">
        <f t="shared" si="85"/>
        <v>-0.45612962349395775</v>
      </c>
      <c r="AG320" s="19">
        <f t="shared" si="86"/>
        <v>-0.39982100076925559</v>
      </c>
      <c r="AH320" s="19">
        <f t="shared" si="87"/>
        <v>-0.27158483283860352</v>
      </c>
      <c r="AI320" s="19">
        <f t="shared" si="88"/>
        <v>-0.74950335296930781</v>
      </c>
      <c r="AJ320" s="19">
        <f t="shared" si="89"/>
        <v>-0.74883961318306436</v>
      </c>
      <c r="AK320" s="19">
        <f t="shared" si="90"/>
        <v>-0.34814092937028568</v>
      </c>
      <c r="AL320" s="19">
        <f t="shared" si="91"/>
        <v>0.40062039949792094</v>
      </c>
      <c r="BV320" s="16">
        <v>0</v>
      </c>
      <c r="BW320" s="18">
        <v>292</v>
      </c>
      <c r="BX320" s="48">
        <v>0.8019716783198203</v>
      </c>
      <c r="BY320" s="48">
        <v>-0.14954473743245239</v>
      </c>
      <c r="BZ320" s="18" t="e">
        <f t="shared" si="92"/>
        <v>#N/A</v>
      </c>
    </row>
    <row r="321" spans="1:78" x14ac:dyDescent="0.3">
      <c r="A321" s="19">
        <v>296</v>
      </c>
      <c r="B321" s="19">
        <v>0</v>
      </c>
      <c r="C321" s="19">
        <v>32</v>
      </c>
      <c r="D321" s="19">
        <v>53.976703706280503</v>
      </c>
      <c r="E321" s="22">
        <v>16207</v>
      </c>
      <c r="F321" s="22">
        <v>1524</v>
      </c>
      <c r="G321" s="23">
        <v>8341</v>
      </c>
      <c r="H321" s="23">
        <v>6342</v>
      </c>
      <c r="I321" s="24">
        <v>9.1</v>
      </c>
      <c r="J321" s="24">
        <v>343</v>
      </c>
      <c r="K321" s="22">
        <v>15452</v>
      </c>
      <c r="L321" s="22">
        <v>49997</v>
      </c>
      <c r="M321" s="22">
        <v>10798</v>
      </c>
      <c r="N321" s="22">
        <v>10698</v>
      </c>
      <c r="O321" s="25">
        <v>4309.12</v>
      </c>
      <c r="P321" s="24">
        <v>103.8</v>
      </c>
      <c r="Q321" s="22">
        <v>13725</v>
      </c>
      <c r="R321" s="23">
        <v>2047</v>
      </c>
      <c r="U321" s="19">
        <v>296</v>
      </c>
      <c r="V321" s="19">
        <v>0</v>
      </c>
      <c r="W321" s="19">
        <v>32</v>
      </c>
      <c r="X321" s="19">
        <f t="shared" si="77"/>
        <v>-0.11835595338373441</v>
      </c>
      <c r="Y321" s="19">
        <f t="shared" si="78"/>
        <v>-0.25260087688696309</v>
      </c>
      <c r="Z321" s="19">
        <f t="shared" si="79"/>
        <v>-0.86501743083282379</v>
      </c>
      <c r="AA321" s="19">
        <f t="shared" si="80"/>
        <v>3.6447480064574843E-2</v>
      </c>
      <c r="AB321" s="19">
        <f t="shared" si="81"/>
        <v>-0.20059677729046826</v>
      </c>
      <c r="AC321" s="19">
        <f t="shared" si="82"/>
        <v>-0.60153391162056602</v>
      </c>
      <c r="AD321" s="19">
        <f t="shared" si="83"/>
        <v>-7.3867589619030255E-2</v>
      </c>
      <c r="AE321" s="19">
        <f t="shared" si="84"/>
        <v>-0.13897439947239276</v>
      </c>
      <c r="AF321" s="19">
        <f t="shared" si="85"/>
        <v>-0.18438948931538085</v>
      </c>
      <c r="AG321" s="19">
        <f t="shared" si="86"/>
        <v>-0.3314486059524841</v>
      </c>
      <c r="AH321" s="19">
        <f t="shared" si="87"/>
        <v>-1.2935830494236751E-2</v>
      </c>
      <c r="AI321" s="19">
        <f t="shared" si="88"/>
        <v>1.5744854052526271</v>
      </c>
      <c r="AJ321" s="19">
        <f t="shared" si="89"/>
        <v>1.5732672589900918</v>
      </c>
      <c r="AK321" s="19">
        <f t="shared" si="90"/>
        <v>-0.13532838805461408</v>
      </c>
      <c r="AL321" s="19">
        <f t="shared" si="91"/>
        <v>0.71645766567240132</v>
      </c>
      <c r="BV321" s="16">
        <v>0</v>
      </c>
      <c r="BW321" s="18">
        <v>293</v>
      </c>
      <c r="BX321" s="48">
        <v>0.63872398730059787</v>
      </c>
      <c r="BY321" s="48">
        <v>0.30048056282625851</v>
      </c>
      <c r="BZ321" s="18" t="e">
        <f t="shared" si="92"/>
        <v>#N/A</v>
      </c>
    </row>
    <row r="322" spans="1:78" x14ac:dyDescent="0.3">
      <c r="A322" s="19">
        <v>297</v>
      </c>
      <c r="B322" s="19">
        <v>0</v>
      </c>
      <c r="C322" s="19">
        <v>32</v>
      </c>
      <c r="D322" s="19">
        <v>47.2593787851496</v>
      </c>
      <c r="E322" s="22">
        <v>8007</v>
      </c>
      <c r="F322" s="22">
        <v>1581</v>
      </c>
      <c r="G322" s="23">
        <v>1532</v>
      </c>
      <c r="H322" s="23">
        <v>4894</v>
      </c>
      <c r="I322" s="24">
        <v>19.600000000000001</v>
      </c>
      <c r="J322" s="24">
        <v>106.9</v>
      </c>
      <c r="K322" s="22">
        <v>7746</v>
      </c>
      <c r="L322" s="22">
        <v>30570</v>
      </c>
      <c r="M322" s="22">
        <v>9178</v>
      </c>
      <c r="N322" s="22">
        <v>7070</v>
      </c>
      <c r="O322" s="25">
        <v>3201.23</v>
      </c>
      <c r="P322" s="24">
        <v>77.099999999999994</v>
      </c>
      <c r="Q322" s="22">
        <v>2523</v>
      </c>
      <c r="R322" s="23">
        <v>4</v>
      </c>
      <c r="U322" s="19">
        <v>297</v>
      </c>
      <c r="V322" s="19">
        <v>0</v>
      </c>
      <c r="W322" s="19">
        <v>32</v>
      </c>
      <c r="X322" s="19">
        <f t="shared" si="77"/>
        <v>-0.32621887987436138</v>
      </c>
      <c r="Y322" s="19">
        <f t="shared" si="78"/>
        <v>-0.40626781376199828</v>
      </c>
      <c r="Z322" s="19">
        <f t="shared" si="79"/>
        <v>-0.85455381417447507</v>
      </c>
      <c r="AA322" s="19">
        <f t="shared" si="80"/>
        <v>-0.68777180841519858</v>
      </c>
      <c r="AB322" s="19">
        <f t="shared" si="81"/>
        <v>-0.23248134510179924</v>
      </c>
      <c r="AC322" s="19">
        <f t="shared" si="82"/>
        <v>1.39175593753321</v>
      </c>
      <c r="AD322" s="19">
        <f t="shared" si="83"/>
        <v>-0.25387085995968867</v>
      </c>
      <c r="AE322" s="19">
        <f t="shared" si="84"/>
        <v>-0.53406384253696682</v>
      </c>
      <c r="AF322" s="19">
        <f t="shared" si="85"/>
        <v>-0.45645172322010225</v>
      </c>
      <c r="AG322" s="19">
        <f t="shared" si="86"/>
        <v>-0.39093479263517467</v>
      </c>
      <c r="AH322" s="19">
        <f t="shared" si="87"/>
        <v>-0.16326882961396802</v>
      </c>
      <c r="AI322" s="19">
        <f t="shared" si="88"/>
        <v>-0.67116141504714377</v>
      </c>
      <c r="AJ322" s="19">
        <f t="shared" si="89"/>
        <v>-0.673118736916549</v>
      </c>
      <c r="AK322" s="19">
        <f t="shared" si="90"/>
        <v>-0.38647947189554888</v>
      </c>
      <c r="AL322" s="19">
        <f t="shared" si="91"/>
        <v>-0.40183615546185075</v>
      </c>
      <c r="BV322" s="16">
        <v>0</v>
      </c>
      <c r="BW322" s="18">
        <v>294</v>
      </c>
      <c r="BX322" s="48">
        <v>0.6205847076536658</v>
      </c>
      <c r="BY322" s="48">
        <v>7.8324260683622818E-2</v>
      </c>
      <c r="BZ322" s="18" t="e">
        <f t="shared" si="92"/>
        <v>#N/A</v>
      </c>
    </row>
    <row r="323" spans="1:78" x14ac:dyDescent="0.3">
      <c r="A323" s="19">
        <v>298</v>
      </c>
      <c r="B323" s="19">
        <v>0</v>
      </c>
      <c r="C323" s="19">
        <v>32</v>
      </c>
      <c r="D323" s="19">
        <v>96.651863627773395</v>
      </c>
      <c r="E323" s="22">
        <v>10963</v>
      </c>
      <c r="F323" s="22">
        <v>3506</v>
      </c>
      <c r="G323" s="23">
        <v>2737</v>
      </c>
      <c r="H323" s="23">
        <v>4720</v>
      </c>
      <c r="I323" s="24">
        <v>21.1</v>
      </c>
      <c r="J323" s="24">
        <v>121.1</v>
      </c>
      <c r="K323" s="22">
        <v>12189</v>
      </c>
      <c r="L323" s="22">
        <v>43148</v>
      </c>
      <c r="M323" s="22">
        <v>10507</v>
      </c>
      <c r="N323" s="22">
        <v>7275</v>
      </c>
      <c r="O323" s="25">
        <v>3430.31</v>
      </c>
      <c r="P323" s="24">
        <v>82.6</v>
      </c>
      <c r="Q323" s="22">
        <v>1382</v>
      </c>
      <c r="R323" s="23">
        <v>712</v>
      </c>
      <c r="U323" s="19">
        <v>298</v>
      </c>
      <c r="V323" s="19">
        <v>0</v>
      </c>
      <c r="W323" s="19">
        <v>32</v>
      </c>
      <c r="X323" s="19">
        <f t="shared" si="77"/>
        <v>1.2021970545305545</v>
      </c>
      <c r="Y323" s="19">
        <f t="shared" si="78"/>
        <v>-0.35087275700558312</v>
      </c>
      <c r="Z323" s="19">
        <f t="shared" si="79"/>
        <v>-0.50117728667761341</v>
      </c>
      <c r="AA323" s="19">
        <f t="shared" si="80"/>
        <v>-0.55960552223248061</v>
      </c>
      <c r="AB323" s="19">
        <f t="shared" si="81"/>
        <v>-0.23631277797415531</v>
      </c>
      <c r="AC323" s="19">
        <f t="shared" si="82"/>
        <v>1.6765116302694638</v>
      </c>
      <c r="AD323" s="19">
        <f t="shared" si="83"/>
        <v>-0.24304474204847581</v>
      </c>
      <c r="AE323" s="19">
        <f t="shared" si="84"/>
        <v>-0.30626960486036386</v>
      </c>
      <c r="AF323" s="19">
        <f t="shared" si="85"/>
        <v>-0.28030518602683591</v>
      </c>
      <c r="AG323" s="19">
        <f t="shared" si="86"/>
        <v>-0.34213408763437481</v>
      </c>
      <c r="AH323" s="19">
        <f t="shared" si="87"/>
        <v>-0.15477426929987076</v>
      </c>
      <c r="AI323" s="19">
        <f t="shared" si="88"/>
        <v>-0.20682580989295749</v>
      </c>
      <c r="AJ323" s="19">
        <f t="shared" si="89"/>
        <v>-0.21038004862117363</v>
      </c>
      <c r="AK323" s="19">
        <f t="shared" si="90"/>
        <v>-0.41206092044603149</v>
      </c>
      <c r="AL323" s="19">
        <f t="shared" si="91"/>
        <v>-1.4292334921933743E-2</v>
      </c>
      <c r="BV323" s="16">
        <v>0</v>
      </c>
      <c r="BW323" s="18">
        <v>295</v>
      </c>
      <c r="BX323" s="48">
        <v>1.6081616386053215</v>
      </c>
      <c r="BY323" s="48">
        <v>-0.84746545329563105</v>
      </c>
      <c r="BZ323" s="18" t="e">
        <f t="shared" si="92"/>
        <v>#N/A</v>
      </c>
    </row>
    <row r="324" spans="1:78" x14ac:dyDescent="0.3">
      <c r="A324" s="19">
        <v>299</v>
      </c>
      <c r="B324" s="19">
        <v>0</v>
      </c>
      <c r="C324" s="19">
        <v>32</v>
      </c>
      <c r="D324" s="19">
        <v>135.56308194251099</v>
      </c>
      <c r="E324" s="22">
        <v>7426</v>
      </c>
      <c r="F324" s="22">
        <v>2211</v>
      </c>
      <c r="G324" s="23">
        <v>2029</v>
      </c>
      <c r="H324" s="23">
        <v>3186</v>
      </c>
      <c r="I324" s="24">
        <v>20.399999999999999</v>
      </c>
      <c r="J324" s="24">
        <v>23.5</v>
      </c>
      <c r="K324" s="22">
        <v>7269</v>
      </c>
      <c r="L324" s="22">
        <v>25534</v>
      </c>
      <c r="M324" s="22">
        <v>7408</v>
      </c>
      <c r="N324" s="22">
        <v>3715</v>
      </c>
      <c r="O324" s="25">
        <v>3189.06</v>
      </c>
      <c r="P324" s="24">
        <v>76.8</v>
      </c>
      <c r="Q324" s="22">
        <v>2422</v>
      </c>
      <c r="R324" s="23">
        <v>0</v>
      </c>
      <c r="U324" s="19">
        <v>299</v>
      </c>
      <c r="V324" s="19">
        <v>0</v>
      </c>
      <c r="W324" s="19">
        <v>32</v>
      </c>
      <c r="X324" s="19">
        <f t="shared" si="77"/>
        <v>2.4062775191770878</v>
      </c>
      <c r="Y324" s="19">
        <f t="shared" si="78"/>
        <v>-0.417155678435705</v>
      </c>
      <c r="Z324" s="19">
        <f t="shared" si="79"/>
        <v>-0.73890331426641132</v>
      </c>
      <c r="AA324" s="19">
        <f t="shared" si="80"/>
        <v>-0.63490986299377883</v>
      </c>
      <c r="AB324" s="19">
        <f t="shared" si="81"/>
        <v>-0.27009104249251287</v>
      </c>
      <c r="AC324" s="19">
        <f t="shared" si="82"/>
        <v>1.5436256403258781</v>
      </c>
      <c r="AD324" s="19">
        <f t="shared" si="83"/>
        <v>-0.31745524262131897</v>
      </c>
      <c r="AE324" s="19">
        <f t="shared" si="84"/>
        <v>-0.55851980728415107</v>
      </c>
      <c r="AF324" s="19">
        <f t="shared" si="85"/>
        <v>-0.52697755890982156</v>
      </c>
      <c r="AG324" s="19">
        <f t="shared" si="86"/>
        <v>-0.4559289595662625</v>
      </c>
      <c r="AH324" s="19">
        <f t="shared" si="87"/>
        <v>-0.30228956060809659</v>
      </c>
      <c r="AI324" s="19">
        <f t="shared" si="88"/>
        <v>-0.69582949744074629</v>
      </c>
      <c r="AJ324" s="19">
        <f t="shared" si="89"/>
        <v>-0.69835902900538749</v>
      </c>
      <c r="AK324" s="19">
        <f t="shared" si="90"/>
        <v>-0.38874391212657317</v>
      </c>
      <c r="AL324" s="19">
        <f t="shared" si="91"/>
        <v>-0.40402566857224581</v>
      </c>
      <c r="BV324" s="16">
        <v>0</v>
      </c>
      <c r="BW324" s="18">
        <v>296</v>
      </c>
      <c r="BX324" s="48">
        <v>-0.26020481689901004</v>
      </c>
      <c r="BY324" s="48">
        <v>2.498574969693546</v>
      </c>
      <c r="BZ324" s="18" t="e">
        <f t="shared" si="92"/>
        <v>#N/A</v>
      </c>
    </row>
    <row r="325" spans="1:78" x14ac:dyDescent="0.3">
      <c r="A325" s="19">
        <v>300</v>
      </c>
      <c r="B325" s="19">
        <v>1</v>
      </c>
      <c r="C325" s="19">
        <v>32</v>
      </c>
      <c r="D325" s="19">
        <v>0</v>
      </c>
      <c r="E325" s="22">
        <v>10381</v>
      </c>
      <c r="F325" s="22">
        <v>2472</v>
      </c>
      <c r="G325" s="23">
        <v>2062</v>
      </c>
      <c r="H325" s="23">
        <v>5847</v>
      </c>
      <c r="I325" s="24">
        <v>21.3</v>
      </c>
      <c r="J325" s="24">
        <v>87.4</v>
      </c>
      <c r="K325" s="22">
        <v>11246</v>
      </c>
      <c r="L325" s="22">
        <v>39358</v>
      </c>
      <c r="M325" s="22">
        <v>10767</v>
      </c>
      <c r="N325" s="22">
        <v>7708</v>
      </c>
      <c r="O325" s="25">
        <v>3184.98</v>
      </c>
      <c r="P325" s="24">
        <v>76.7</v>
      </c>
      <c r="Q325" s="22">
        <v>12830</v>
      </c>
      <c r="R325" s="23">
        <v>2522</v>
      </c>
      <c r="U325" s="19">
        <v>300</v>
      </c>
      <c r="V325" s="19">
        <v>1</v>
      </c>
      <c r="W325" s="19">
        <v>32</v>
      </c>
      <c r="X325" s="19">
        <f t="shared" si="77"/>
        <v>-1.7886273376680637</v>
      </c>
      <c r="Y325" s="19">
        <f t="shared" si="78"/>
        <v>-0.36177936154964052</v>
      </c>
      <c r="Z325" s="19">
        <f t="shared" si="79"/>
        <v>-0.69099096430449913</v>
      </c>
      <c r="AA325" s="19">
        <f t="shared" si="80"/>
        <v>-0.63139991490744707</v>
      </c>
      <c r="AB325" s="19">
        <f t="shared" si="81"/>
        <v>-0.21149654322044675</v>
      </c>
      <c r="AC325" s="19">
        <f t="shared" si="82"/>
        <v>1.7144790559676308</v>
      </c>
      <c r="AD325" s="19">
        <f t="shared" si="83"/>
        <v>-0.26873771202086122</v>
      </c>
      <c r="AE325" s="19">
        <f t="shared" si="84"/>
        <v>-0.35461756032492309</v>
      </c>
      <c r="AF325" s="19">
        <f t="shared" si="85"/>
        <v>-0.33338161916107656</v>
      </c>
      <c r="AG325" s="19">
        <f t="shared" si="86"/>
        <v>-0.33258692187048622</v>
      </c>
      <c r="AH325" s="19">
        <f t="shared" si="87"/>
        <v>-0.13683210044131405</v>
      </c>
      <c r="AI325" s="19">
        <f t="shared" si="88"/>
        <v>-0.70409948726538862</v>
      </c>
      <c r="AJ325" s="19">
        <f t="shared" si="89"/>
        <v>-0.70677245970166658</v>
      </c>
      <c r="AK325" s="19">
        <f t="shared" si="90"/>
        <v>-0.15539446732953255</v>
      </c>
      <c r="AL325" s="19">
        <f t="shared" si="91"/>
        <v>0.97646234753180894</v>
      </c>
      <c r="BV325" s="16">
        <v>0</v>
      </c>
      <c r="BW325" s="18">
        <v>297</v>
      </c>
      <c r="BX325" s="48">
        <v>1.4794130910303815</v>
      </c>
      <c r="BY325" s="48">
        <v>-0.55490914740492991</v>
      </c>
      <c r="BZ325" s="18" t="e">
        <f t="shared" si="92"/>
        <v>#N/A</v>
      </c>
    </row>
    <row r="326" spans="1:78" x14ac:dyDescent="0.3">
      <c r="A326" s="19">
        <v>301</v>
      </c>
      <c r="B326" s="19">
        <v>0</v>
      </c>
      <c r="C326" s="19">
        <v>2</v>
      </c>
      <c r="D326" s="19">
        <v>75.272227108022605</v>
      </c>
      <c r="E326" s="22">
        <v>7075</v>
      </c>
      <c r="F326" s="22">
        <v>3658</v>
      </c>
      <c r="G326" s="23">
        <v>1118</v>
      </c>
      <c r="H326" s="23">
        <v>2299</v>
      </c>
      <c r="I326" s="24">
        <v>22.2</v>
      </c>
      <c r="J326" s="24">
        <v>31</v>
      </c>
      <c r="K326" s="22">
        <v>6861</v>
      </c>
      <c r="L326" s="22">
        <v>22578</v>
      </c>
      <c r="M326" s="22">
        <v>6501</v>
      </c>
      <c r="N326" s="22">
        <v>2831</v>
      </c>
      <c r="O326" s="25">
        <v>3242.71</v>
      </c>
      <c r="P326" s="24">
        <v>78.099999999999994</v>
      </c>
      <c r="Q326" s="22">
        <v>2145</v>
      </c>
      <c r="R326" s="23">
        <v>0</v>
      </c>
      <c r="U326" s="19">
        <v>301</v>
      </c>
      <c r="V326" s="19">
        <v>0</v>
      </c>
      <c r="W326" s="19">
        <v>2</v>
      </c>
      <c r="X326" s="19">
        <f t="shared" si="77"/>
        <v>0.54061913973867892</v>
      </c>
      <c r="Y326" s="19">
        <f t="shared" si="78"/>
        <v>-0.42373337292877056</v>
      </c>
      <c r="Z326" s="19">
        <f t="shared" si="79"/>
        <v>-0.473274308922017</v>
      </c>
      <c r="AA326" s="19">
        <f t="shared" si="80"/>
        <v>-0.7318057025891781</v>
      </c>
      <c r="AB326" s="19">
        <f t="shared" si="81"/>
        <v>-0.28962254224986828</v>
      </c>
      <c r="AC326" s="19">
        <f t="shared" si="82"/>
        <v>1.8853324716093827</v>
      </c>
      <c r="AD326" s="19">
        <f t="shared" si="83"/>
        <v>-0.31173722259779107</v>
      </c>
      <c r="AE326" s="19">
        <f t="shared" si="84"/>
        <v>-0.57943811675344081</v>
      </c>
      <c r="AF326" s="19">
        <f t="shared" si="85"/>
        <v>-0.56837437588734541</v>
      </c>
      <c r="AG326" s="19">
        <f t="shared" si="86"/>
        <v>-0.48923388013490471</v>
      </c>
      <c r="AH326" s="19">
        <f t="shared" si="87"/>
        <v>-0.33891976215766728</v>
      </c>
      <c r="AI326" s="19">
        <f t="shared" si="88"/>
        <v>-0.58708318516327929</v>
      </c>
      <c r="AJ326" s="19">
        <f t="shared" si="89"/>
        <v>-0.58898442995375355</v>
      </c>
      <c r="AK326" s="19">
        <f t="shared" si="90"/>
        <v>-0.39495430761165967</v>
      </c>
      <c r="AL326" s="19">
        <f t="shared" si="91"/>
        <v>-0.40402566857224581</v>
      </c>
      <c r="BV326" s="16">
        <v>0</v>
      </c>
      <c r="BW326" s="18">
        <v>298</v>
      </c>
      <c r="BX326" s="48">
        <v>1.2692637573311025</v>
      </c>
      <c r="BY326" s="48">
        <v>-0.56139445885536454</v>
      </c>
      <c r="BZ326" s="18" t="e">
        <f t="shared" si="92"/>
        <v>#N/A</v>
      </c>
    </row>
    <row r="327" spans="1:78" x14ac:dyDescent="0.3">
      <c r="A327" s="19">
        <v>302</v>
      </c>
      <c r="B327" s="19">
        <v>0</v>
      </c>
      <c r="C327" s="19">
        <v>22</v>
      </c>
      <c r="D327" s="19">
        <v>44.816894608920499</v>
      </c>
      <c r="E327" s="22">
        <v>35036</v>
      </c>
      <c r="F327" s="22">
        <v>4588</v>
      </c>
      <c r="G327" s="23">
        <v>10649</v>
      </c>
      <c r="H327" s="23">
        <v>19799</v>
      </c>
      <c r="I327" s="24">
        <v>11.9</v>
      </c>
      <c r="J327" s="24">
        <v>359.7</v>
      </c>
      <c r="K327" s="22">
        <v>47051</v>
      </c>
      <c r="L327" s="22">
        <v>131459</v>
      </c>
      <c r="M327" s="22">
        <v>30897</v>
      </c>
      <c r="N327" s="22">
        <v>22446</v>
      </c>
      <c r="O327" s="25">
        <v>3441.57</v>
      </c>
      <c r="P327" s="24">
        <v>82.9</v>
      </c>
      <c r="Q327" s="22">
        <v>40745</v>
      </c>
      <c r="R327" s="23">
        <v>2000</v>
      </c>
      <c r="U327" s="19">
        <v>302</v>
      </c>
      <c r="V327" s="19">
        <v>0</v>
      </c>
      <c r="W327" s="19">
        <v>22</v>
      </c>
      <c r="X327" s="19">
        <f t="shared" si="77"/>
        <v>-0.40179984621721837</v>
      </c>
      <c r="Y327" s="19">
        <f t="shared" si="78"/>
        <v>0.10025214194474878</v>
      </c>
      <c r="Z327" s="19">
        <f t="shared" si="79"/>
        <v>-0.30255214239106565</v>
      </c>
      <c r="AA327" s="19">
        <f t="shared" si="80"/>
        <v>0.28193112198134929</v>
      </c>
      <c r="AB327" s="19">
        <f t="shared" si="81"/>
        <v>9.5722717900886142E-2</v>
      </c>
      <c r="AC327" s="19">
        <f t="shared" si="82"/>
        <v>-6.9989951846225668E-2</v>
      </c>
      <c r="AD327" s="19">
        <f t="shared" si="83"/>
        <v>-6.1135465033308134E-2</v>
      </c>
      <c r="AE327" s="19">
        <f t="shared" si="84"/>
        <v>1.4811179067042848</v>
      </c>
      <c r="AF327" s="19">
        <f t="shared" si="85"/>
        <v>0.95643172334464954</v>
      </c>
      <c r="AG327" s="19">
        <f t="shared" si="86"/>
        <v>0.40658402746442796</v>
      </c>
      <c r="AH327" s="19">
        <f t="shared" si="87"/>
        <v>0.47386463082290847</v>
      </c>
      <c r="AI327" s="19">
        <f t="shared" si="88"/>
        <v>-0.1840022595435763</v>
      </c>
      <c r="AJ327" s="19">
        <f t="shared" si="89"/>
        <v>-0.18513975653233403</v>
      </c>
      <c r="AK327" s="19">
        <f t="shared" si="90"/>
        <v>0.47046542424515891</v>
      </c>
      <c r="AL327" s="19">
        <f t="shared" si="91"/>
        <v>0.69073088662525994</v>
      </c>
      <c r="BV327" s="16">
        <v>0</v>
      </c>
      <c r="BW327" s="18">
        <v>299</v>
      </c>
      <c r="BX327" s="48">
        <v>1.8213317426903617</v>
      </c>
      <c r="BY327" s="48">
        <v>-1.1303655840936371</v>
      </c>
      <c r="BZ327" s="18" t="e">
        <f t="shared" si="92"/>
        <v>#N/A</v>
      </c>
    </row>
    <row r="328" spans="1:78" x14ac:dyDescent="0.3">
      <c r="A328" s="19">
        <v>303</v>
      </c>
      <c r="B328" s="19">
        <v>0</v>
      </c>
      <c r="C328" s="19">
        <v>22</v>
      </c>
      <c r="D328" s="19">
        <v>67.1661121169344</v>
      </c>
      <c r="E328" s="22">
        <v>12078</v>
      </c>
      <c r="F328" s="22">
        <v>79</v>
      </c>
      <c r="G328" s="23">
        <v>1796</v>
      </c>
      <c r="H328" s="23">
        <v>10203</v>
      </c>
      <c r="I328" s="24">
        <v>3.4</v>
      </c>
      <c r="J328" s="24">
        <v>88</v>
      </c>
      <c r="K328" s="22">
        <v>4510</v>
      </c>
      <c r="L328" s="22">
        <v>21904</v>
      </c>
      <c r="M328" s="22">
        <v>10817</v>
      </c>
      <c r="N328" s="22">
        <v>8806</v>
      </c>
      <c r="O328" s="25">
        <v>4836.93</v>
      </c>
      <c r="P328" s="24">
        <v>116.5</v>
      </c>
      <c r="Q328" s="22">
        <v>48594</v>
      </c>
      <c r="R328" s="23">
        <v>0</v>
      </c>
      <c r="U328" s="19">
        <v>303</v>
      </c>
      <c r="V328" s="19">
        <v>0</v>
      </c>
      <c r="W328" s="19">
        <v>22</v>
      </c>
      <c r="X328" s="19">
        <f t="shared" si="77"/>
        <v>0.28978107483925719</v>
      </c>
      <c r="Y328" s="19">
        <f t="shared" si="78"/>
        <v>-0.32997780156464851</v>
      </c>
      <c r="Z328" s="19">
        <f t="shared" si="79"/>
        <v>-1.1302792917330655</v>
      </c>
      <c r="AA328" s="19">
        <f t="shared" si="80"/>
        <v>-0.65969222372454506</v>
      </c>
      <c r="AB328" s="19">
        <f t="shared" si="81"/>
        <v>-0.1155786030366361</v>
      </c>
      <c r="AC328" s="19">
        <f t="shared" si="82"/>
        <v>-1.6836055440183297</v>
      </c>
      <c r="AD328" s="19">
        <f t="shared" si="83"/>
        <v>-0.26828027041897901</v>
      </c>
      <c r="AE328" s="19">
        <f t="shared" si="84"/>
        <v>-0.69997474803358795</v>
      </c>
      <c r="AF328" s="19">
        <f t="shared" si="85"/>
        <v>-0.57781329829697026</v>
      </c>
      <c r="AG328" s="19">
        <f t="shared" si="86"/>
        <v>-0.33075092845435378</v>
      </c>
      <c r="AH328" s="19">
        <f t="shared" si="87"/>
        <v>-9.1334406661417442E-2</v>
      </c>
      <c r="AI328" s="19">
        <f t="shared" si="88"/>
        <v>2.6443342604841242</v>
      </c>
      <c r="AJ328" s="19">
        <f t="shared" si="89"/>
        <v>2.6417729574175954</v>
      </c>
      <c r="AK328" s="19">
        <f t="shared" si="90"/>
        <v>0.64644157645614775</v>
      </c>
      <c r="AL328" s="19">
        <f t="shared" si="91"/>
        <v>-0.40402566857224581</v>
      </c>
      <c r="BV328" s="16">
        <v>1</v>
      </c>
      <c r="BW328" s="18">
        <v>300</v>
      </c>
      <c r="BX328" s="48">
        <v>1.207704656623223</v>
      </c>
      <c r="BY328" s="48">
        <v>-0.38571982045109759</v>
      </c>
      <c r="BZ328" s="18">
        <f t="shared" si="92"/>
        <v>-0.38571982045109759</v>
      </c>
    </row>
    <row r="329" spans="1:78" x14ac:dyDescent="0.3">
      <c r="A329" s="19">
        <v>304</v>
      </c>
      <c r="B329" s="19">
        <v>1</v>
      </c>
      <c r="C329" s="19">
        <v>22</v>
      </c>
      <c r="D329" s="19">
        <v>0</v>
      </c>
      <c r="E329" s="22">
        <v>25136</v>
      </c>
      <c r="F329" s="22">
        <v>5626</v>
      </c>
      <c r="G329" s="23">
        <v>8646</v>
      </c>
      <c r="H329" s="23">
        <v>10864</v>
      </c>
      <c r="I329" s="24">
        <v>14.4</v>
      </c>
      <c r="J329" s="24">
        <v>285.39999999999998</v>
      </c>
      <c r="K329" s="22">
        <v>20430</v>
      </c>
      <c r="L329" s="22">
        <v>60163</v>
      </c>
      <c r="M329" s="22">
        <v>16034</v>
      </c>
      <c r="N329" s="22">
        <v>8599</v>
      </c>
      <c r="O329" s="25">
        <v>3133.05</v>
      </c>
      <c r="P329" s="24">
        <v>75.5</v>
      </c>
      <c r="Q329" s="22">
        <v>6618</v>
      </c>
      <c r="R329" s="23">
        <v>9223</v>
      </c>
      <c r="U329" s="19">
        <v>304</v>
      </c>
      <c r="V329" s="19">
        <v>1</v>
      </c>
      <c r="W329" s="19">
        <v>22</v>
      </c>
      <c r="X329" s="19">
        <f t="shared" si="77"/>
        <v>-1.7886273376680637</v>
      </c>
      <c r="Y329" s="19">
        <f t="shared" si="78"/>
        <v>-8.5272574526330275E-2</v>
      </c>
      <c r="Z329" s="19">
        <f t="shared" si="79"/>
        <v>-0.11200417587587473</v>
      </c>
      <c r="AA329" s="19">
        <f t="shared" si="80"/>
        <v>6.8887909347337489E-2</v>
      </c>
      <c r="AB329" s="19">
        <f t="shared" si="81"/>
        <v>-0.10102356206751333</v>
      </c>
      <c r="AC329" s="19">
        <f t="shared" si="82"/>
        <v>0.40460286938086382</v>
      </c>
      <c r="AD329" s="19">
        <f t="shared" si="83"/>
        <v>-0.11778198339972458</v>
      </c>
      <c r="AE329" s="19">
        <f t="shared" si="84"/>
        <v>0.11624948419947977</v>
      </c>
      <c r="AF329" s="19">
        <f t="shared" si="85"/>
        <v>-4.2021410359525738E-2</v>
      </c>
      <c r="AG329" s="19">
        <f t="shared" si="86"/>
        <v>-0.13918337541509662</v>
      </c>
      <c r="AH329" s="19">
        <f t="shared" si="87"/>
        <v>-9.9911840734676641E-2</v>
      </c>
      <c r="AI329" s="19">
        <f t="shared" si="88"/>
        <v>-0.80935943128344701</v>
      </c>
      <c r="AJ329" s="19">
        <f t="shared" si="89"/>
        <v>-0.80773362805702142</v>
      </c>
      <c r="AK329" s="19">
        <f t="shared" si="90"/>
        <v>-0.29466875163768169</v>
      </c>
      <c r="AL329" s="19">
        <f t="shared" si="91"/>
        <v>4.6444441857210519</v>
      </c>
      <c r="BV329" s="16">
        <v>0</v>
      </c>
      <c r="BW329" s="18">
        <v>301</v>
      </c>
      <c r="BX329" s="48">
        <v>1.7828139264239955</v>
      </c>
      <c r="BY329" s="48">
        <v>-0.84215070011119142</v>
      </c>
      <c r="BZ329" s="18" t="e">
        <f t="shared" si="92"/>
        <v>#N/A</v>
      </c>
    </row>
    <row r="330" spans="1:78" x14ac:dyDescent="0.3">
      <c r="A330" s="19">
        <v>305</v>
      </c>
      <c r="B330" s="19">
        <v>0</v>
      </c>
      <c r="C330" s="19">
        <v>22</v>
      </c>
      <c r="D330" s="19">
        <v>20.480381426417999</v>
      </c>
      <c r="E330" s="22">
        <v>12656</v>
      </c>
      <c r="F330" s="22">
        <v>3299</v>
      </c>
      <c r="G330" s="23">
        <v>3591</v>
      </c>
      <c r="H330" s="23">
        <v>5766</v>
      </c>
      <c r="I330" s="24">
        <v>18.8</v>
      </c>
      <c r="J330" s="24">
        <v>209.5</v>
      </c>
      <c r="K330" s="22">
        <v>10958</v>
      </c>
      <c r="L330" s="22">
        <v>36374</v>
      </c>
      <c r="M330" s="22">
        <v>9555</v>
      </c>
      <c r="N330" s="22">
        <v>5128</v>
      </c>
      <c r="O330" s="25">
        <v>3384.44</v>
      </c>
      <c r="P330" s="24">
        <v>81.5</v>
      </c>
      <c r="Q330" s="22">
        <v>2959</v>
      </c>
      <c r="R330" s="23">
        <v>592</v>
      </c>
      <c r="U330" s="19">
        <v>305</v>
      </c>
      <c r="V330" s="19">
        <v>0</v>
      </c>
      <c r="W330" s="19">
        <v>22</v>
      </c>
      <c r="X330" s="19">
        <f t="shared" si="77"/>
        <v>-1.1548762434567663</v>
      </c>
      <c r="Y330" s="19">
        <f t="shared" si="78"/>
        <v>-0.31914615650199357</v>
      </c>
      <c r="Z330" s="19">
        <f t="shared" si="79"/>
        <v>-0.53917673664740573</v>
      </c>
      <c r="AA330" s="19">
        <f t="shared" si="80"/>
        <v>-0.46877232024074517</v>
      </c>
      <c r="AB330" s="19">
        <f t="shared" si="81"/>
        <v>-0.21328014128171593</v>
      </c>
      <c r="AC330" s="19">
        <f t="shared" si="82"/>
        <v>1.2398862347405413</v>
      </c>
      <c r="AD330" s="19">
        <f t="shared" si="83"/>
        <v>-0.17564834603782695</v>
      </c>
      <c r="AE330" s="19">
        <f t="shared" si="84"/>
        <v>-0.36938342583265699</v>
      </c>
      <c r="AF330" s="19">
        <f t="shared" si="85"/>
        <v>-0.37517055754434153</v>
      </c>
      <c r="AG330" s="19">
        <f t="shared" si="86"/>
        <v>-0.37709140227753618</v>
      </c>
      <c r="AH330" s="19">
        <f t="shared" si="87"/>
        <v>-0.24373924976019684</v>
      </c>
      <c r="AI330" s="19">
        <f t="shared" si="88"/>
        <v>-0.29980238667147363</v>
      </c>
      <c r="AJ330" s="19">
        <f t="shared" si="89"/>
        <v>-0.30292778628024825</v>
      </c>
      <c r="AK330" s="19">
        <f t="shared" si="90"/>
        <v>-0.37670426456162209</v>
      </c>
      <c r="AL330" s="19">
        <f t="shared" si="91"/>
        <v>-7.9977728233784087E-2</v>
      </c>
      <c r="BV330" s="16">
        <v>0</v>
      </c>
      <c r="BW330" s="18">
        <v>302</v>
      </c>
      <c r="BX330" s="48">
        <v>-1.3224666853308564</v>
      </c>
      <c r="BY330" s="48">
        <v>-0.37787032497423306</v>
      </c>
      <c r="BZ330" s="18" t="e">
        <f t="shared" si="92"/>
        <v>#N/A</v>
      </c>
    </row>
    <row r="331" spans="1:78" x14ac:dyDescent="0.3">
      <c r="A331" s="19">
        <v>306</v>
      </c>
      <c r="B331" s="19">
        <v>0</v>
      </c>
      <c r="C331" s="19">
        <v>22</v>
      </c>
      <c r="D331" s="19">
        <v>78.869035541831906</v>
      </c>
      <c r="E331" s="22">
        <v>29747</v>
      </c>
      <c r="F331" s="22">
        <v>2669</v>
      </c>
      <c r="G331" s="23">
        <v>14367</v>
      </c>
      <c r="H331" s="23">
        <v>12711</v>
      </c>
      <c r="I331" s="24">
        <v>9.1</v>
      </c>
      <c r="J331" s="24">
        <v>422.8</v>
      </c>
      <c r="K331" s="22">
        <v>23280</v>
      </c>
      <c r="L331" s="22">
        <v>72505</v>
      </c>
      <c r="M331" s="22">
        <v>19825</v>
      </c>
      <c r="N331" s="22">
        <v>10423</v>
      </c>
      <c r="O331" s="25">
        <v>3821.28</v>
      </c>
      <c r="P331" s="24">
        <v>92.1</v>
      </c>
      <c r="Q331" s="22">
        <v>14360</v>
      </c>
      <c r="R331" s="23">
        <v>2742</v>
      </c>
      <c r="U331" s="19">
        <v>306</v>
      </c>
      <c r="V331" s="19">
        <v>0</v>
      </c>
      <c r="W331" s="19">
        <v>22</v>
      </c>
      <c r="X331" s="19">
        <f t="shared" si="77"/>
        <v>0.65191986374056321</v>
      </c>
      <c r="Y331" s="19">
        <f t="shared" si="78"/>
        <v>1.1369676603510922E-3</v>
      </c>
      <c r="Z331" s="19">
        <f t="shared" si="79"/>
        <v>-0.65482723655546959</v>
      </c>
      <c r="AA331" s="19">
        <f t="shared" si="80"/>
        <v>0.67738527304138718</v>
      </c>
      <c r="AB331" s="19">
        <f t="shared" si="81"/>
        <v>-6.0353122324745129E-2</v>
      </c>
      <c r="AC331" s="19">
        <f t="shared" si="82"/>
        <v>-0.60153391162056602</v>
      </c>
      <c r="AD331" s="19">
        <f t="shared" si="83"/>
        <v>-1.3027856568693352E-2</v>
      </c>
      <c r="AE331" s="19">
        <f t="shared" si="84"/>
        <v>0.26237002828642969</v>
      </c>
      <c r="AF331" s="19">
        <f t="shared" si="85"/>
        <v>0.13082010355677998</v>
      </c>
      <c r="AG331" s="19">
        <f t="shared" si="86"/>
        <v>2.1645396063829198E-5</v>
      </c>
      <c r="AH331" s="19">
        <f t="shared" si="87"/>
        <v>-2.4330972379001385E-2</v>
      </c>
      <c r="AI331" s="19">
        <f t="shared" si="88"/>
        <v>0.58565407288656224</v>
      </c>
      <c r="AJ331" s="19">
        <f t="shared" si="89"/>
        <v>0.58889586752538392</v>
      </c>
      <c r="AK331" s="19">
        <f t="shared" si="90"/>
        <v>-0.12109156085956022</v>
      </c>
      <c r="AL331" s="19">
        <f t="shared" si="91"/>
        <v>1.0968855686035346</v>
      </c>
      <c r="BV331" s="16">
        <v>0</v>
      </c>
      <c r="BW331" s="18">
        <v>303</v>
      </c>
      <c r="BX331" s="48">
        <v>-0.39987023380190734</v>
      </c>
      <c r="BY331" s="48">
        <v>4.0481596965038733</v>
      </c>
      <c r="BZ331" s="18" t="e">
        <f t="shared" si="92"/>
        <v>#N/A</v>
      </c>
    </row>
    <row r="332" spans="1:78" x14ac:dyDescent="0.3">
      <c r="A332" s="19">
        <v>307</v>
      </c>
      <c r="B332" s="19">
        <v>0</v>
      </c>
      <c r="C332" s="19">
        <v>24</v>
      </c>
      <c r="D332" s="19">
        <v>14.9981146082112</v>
      </c>
      <c r="E332" s="22">
        <v>46503</v>
      </c>
      <c r="F332" s="22">
        <v>397</v>
      </c>
      <c r="G332" s="23">
        <v>14497</v>
      </c>
      <c r="H332" s="23">
        <v>31609</v>
      </c>
      <c r="I332" s="24">
        <v>11.4</v>
      </c>
      <c r="J332" s="24">
        <v>765.4</v>
      </c>
      <c r="K332" s="22">
        <v>29383</v>
      </c>
      <c r="L332" s="22">
        <v>128479</v>
      </c>
      <c r="M332" s="22">
        <v>49519</v>
      </c>
      <c r="N332" s="22">
        <v>23249</v>
      </c>
      <c r="O332" s="25">
        <v>3706.45</v>
      </c>
      <c r="P332" s="24">
        <v>89.3</v>
      </c>
      <c r="Q332" s="22">
        <v>164593</v>
      </c>
      <c r="R332" s="23">
        <v>0</v>
      </c>
      <c r="U332" s="19">
        <v>307</v>
      </c>
      <c r="V332" s="19">
        <v>0</v>
      </c>
      <c r="W332" s="19">
        <v>24</v>
      </c>
      <c r="X332" s="19">
        <f t="shared" si="77"/>
        <v>-1.3245211598505189</v>
      </c>
      <c r="Y332" s="19">
        <f t="shared" si="78"/>
        <v>0.31514223525524004</v>
      </c>
      <c r="Z332" s="19">
        <f t="shared" si="79"/>
        <v>-1.0719033251128047</v>
      </c>
      <c r="AA332" s="19">
        <f t="shared" si="80"/>
        <v>0.69121234126026954</v>
      </c>
      <c r="AB332" s="19">
        <f t="shared" si="81"/>
        <v>0.35577571917976669</v>
      </c>
      <c r="AC332" s="19">
        <f t="shared" si="82"/>
        <v>-0.16490851609164356</v>
      </c>
      <c r="AD332" s="19">
        <f t="shared" si="83"/>
        <v>0.24817129810606128</v>
      </c>
      <c r="AE332" s="19">
        <f t="shared" si="84"/>
        <v>0.57527307409788775</v>
      </c>
      <c r="AF332" s="19">
        <f t="shared" si="85"/>
        <v>0.91469880230506195</v>
      </c>
      <c r="AG332" s="19">
        <f t="shared" si="86"/>
        <v>1.0903814153687881</v>
      </c>
      <c r="AH332" s="19">
        <f t="shared" si="87"/>
        <v>0.50713844512642126</v>
      </c>
      <c r="AI332" s="19">
        <f t="shared" si="88"/>
        <v>0.35289845240526574</v>
      </c>
      <c r="AJ332" s="19">
        <f t="shared" si="89"/>
        <v>0.35331980802955665</v>
      </c>
      <c r="AK332" s="19">
        <f t="shared" si="90"/>
        <v>3.247162391887731</v>
      </c>
      <c r="AL332" s="19">
        <f t="shared" si="91"/>
        <v>-0.40402566857224581</v>
      </c>
      <c r="BV332" s="16">
        <v>1</v>
      </c>
      <c r="BW332" s="18">
        <v>304</v>
      </c>
      <c r="BX332" s="48">
        <v>0.4444178091845894</v>
      </c>
      <c r="BY332" s="48">
        <v>-0.10844644872713755</v>
      </c>
      <c r="BZ332" s="18">
        <f t="shared" si="92"/>
        <v>-0.10844644872713755</v>
      </c>
    </row>
    <row r="333" spans="1:78" x14ac:dyDescent="0.3">
      <c r="A333" s="19">
        <v>308</v>
      </c>
      <c r="B333" s="19">
        <v>0</v>
      </c>
      <c r="C333" s="19">
        <v>24</v>
      </c>
      <c r="D333" s="19">
        <v>78.2635922830423</v>
      </c>
      <c r="E333" s="22">
        <v>22072</v>
      </c>
      <c r="F333" s="22">
        <v>9125</v>
      </c>
      <c r="G333" s="23">
        <v>6922</v>
      </c>
      <c r="H333" s="23">
        <v>6025</v>
      </c>
      <c r="I333" s="24">
        <v>11.5</v>
      </c>
      <c r="J333" s="24">
        <v>97.1</v>
      </c>
      <c r="K333" s="22">
        <v>14827</v>
      </c>
      <c r="L333" s="22">
        <v>53762</v>
      </c>
      <c r="M333" s="22">
        <v>16667</v>
      </c>
      <c r="N333" s="22">
        <v>7158</v>
      </c>
      <c r="O333" s="25">
        <v>2978.56</v>
      </c>
      <c r="P333" s="24">
        <v>71.8</v>
      </c>
      <c r="Q333" s="22">
        <v>2600</v>
      </c>
      <c r="R333" s="23">
        <v>530</v>
      </c>
      <c r="U333" s="19">
        <v>308</v>
      </c>
      <c r="V333" s="19">
        <v>0</v>
      </c>
      <c r="W333" s="19">
        <v>24</v>
      </c>
      <c r="X333" s="19">
        <f t="shared" si="77"/>
        <v>0.63318484510239348</v>
      </c>
      <c r="Y333" s="19">
        <f t="shared" si="78"/>
        <v>-0.14269153728061171</v>
      </c>
      <c r="Z333" s="19">
        <f t="shared" si="79"/>
        <v>0.53031502916907036</v>
      </c>
      <c r="AA333" s="19">
        <f t="shared" si="80"/>
        <v>-0.11448028764768813</v>
      </c>
      <c r="AB333" s="19">
        <f t="shared" si="81"/>
        <v>-0.20757703143148479</v>
      </c>
      <c r="AC333" s="19">
        <f t="shared" si="82"/>
        <v>-0.14592480324256005</v>
      </c>
      <c r="AD333" s="19">
        <f t="shared" si="83"/>
        <v>-0.26134240612376514</v>
      </c>
      <c r="AE333" s="19">
        <f t="shared" si="84"/>
        <v>-0.17101837843882917</v>
      </c>
      <c r="AF333" s="19">
        <f t="shared" si="85"/>
        <v>-0.13166316457912328</v>
      </c>
      <c r="AG333" s="19">
        <f t="shared" si="86"/>
        <v>-0.11593969876686011</v>
      </c>
      <c r="AH333" s="19">
        <f t="shared" si="87"/>
        <v>-0.15962238421084335</v>
      </c>
      <c r="AI333" s="19">
        <f t="shared" si="88"/>
        <v>-1.1225042175601643</v>
      </c>
      <c r="AJ333" s="19">
        <f t="shared" si="89"/>
        <v>-1.1190305638193652</v>
      </c>
      <c r="AK333" s="19">
        <f t="shared" si="90"/>
        <v>-0.38475311647189664</v>
      </c>
      <c r="AL333" s="19">
        <f t="shared" si="91"/>
        <v>-0.11391518144490677</v>
      </c>
      <c r="BV333" s="16">
        <v>0</v>
      </c>
      <c r="BW333" s="18">
        <v>305</v>
      </c>
      <c r="BX333" s="48">
        <v>1.0928660386866533</v>
      </c>
      <c r="BY333" s="48">
        <v>-5.9718379312456389E-2</v>
      </c>
      <c r="BZ333" s="18" t="e">
        <f t="shared" si="92"/>
        <v>#N/A</v>
      </c>
    </row>
    <row r="334" spans="1:78" x14ac:dyDescent="0.3">
      <c r="A334" s="19">
        <v>309</v>
      </c>
      <c r="B334" s="19">
        <v>0</v>
      </c>
      <c r="C334" s="19">
        <v>24</v>
      </c>
      <c r="D334" s="19">
        <v>38.8740773592667</v>
      </c>
      <c r="E334" s="22">
        <v>25330</v>
      </c>
      <c r="F334" s="22">
        <v>4831</v>
      </c>
      <c r="G334" s="23">
        <v>10128</v>
      </c>
      <c r="H334" s="23">
        <v>10371</v>
      </c>
      <c r="I334" s="24">
        <v>8.5</v>
      </c>
      <c r="J334" s="24">
        <v>418</v>
      </c>
      <c r="K334" s="22">
        <v>20233</v>
      </c>
      <c r="L334" s="22">
        <v>73109</v>
      </c>
      <c r="M334" s="22">
        <v>21837</v>
      </c>
      <c r="N334" s="22">
        <v>9348</v>
      </c>
      <c r="O334" s="25">
        <v>3420.49</v>
      </c>
      <c r="P334" s="24">
        <v>82.4</v>
      </c>
      <c r="Q334" s="22">
        <v>38492</v>
      </c>
      <c r="R334" s="23">
        <v>1777</v>
      </c>
      <c r="U334" s="19">
        <v>309</v>
      </c>
      <c r="V334" s="19">
        <v>0</v>
      </c>
      <c r="W334" s="19">
        <v>24</v>
      </c>
      <c r="X334" s="19">
        <f t="shared" si="77"/>
        <v>-0.5856961739393034</v>
      </c>
      <c r="Y334" s="19">
        <f t="shared" si="78"/>
        <v>-8.1637039678311152E-2</v>
      </c>
      <c r="Z334" s="19">
        <f t="shared" si="79"/>
        <v>-0.25794409242652672</v>
      </c>
      <c r="AA334" s="19">
        <f t="shared" si="80"/>
        <v>0.22651648704259733</v>
      </c>
      <c r="AB334" s="19">
        <f t="shared" si="81"/>
        <v>-0.11187928853918885</v>
      </c>
      <c r="AC334" s="19">
        <f t="shared" si="82"/>
        <v>-0.71543618871506742</v>
      </c>
      <c r="AD334" s="19">
        <f t="shared" si="83"/>
        <v>-1.6687389383751219E-2</v>
      </c>
      <c r="AE334" s="19">
        <f t="shared" si="84"/>
        <v>0.10614922202925901</v>
      </c>
      <c r="AF334" s="19">
        <f t="shared" si="85"/>
        <v>0.13927872245205211</v>
      </c>
      <c r="AG334" s="19">
        <f t="shared" si="86"/>
        <v>7.3902020461232593E-2</v>
      </c>
      <c r="AH334" s="19">
        <f t="shared" si="87"/>
        <v>-6.8875617928535873E-2</v>
      </c>
      <c r="AI334" s="19">
        <f t="shared" si="88"/>
        <v>-0.22673054030422946</v>
      </c>
      <c r="AJ334" s="19">
        <f t="shared" si="89"/>
        <v>-0.22720691001373178</v>
      </c>
      <c r="AK334" s="19">
        <f t="shared" si="90"/>
        <v>0.4199527129531016</v>
      </c>
      <c r="AL334" s="19">
        <f t="shared" si="91"/>
        <v>0.56866553072073811</v>
      </c>
      <c r="BV334" s="16">
        <v>0</v>
      </c>
      <c r="BW334" s="18">
        <v>306</v>
      </c>
      <c r="BX334" s="48">
        <v>-0.52558772168298074</v>
      </c>
      <c r="BY334" s="48">
        <v>1.0505498659981041</v>
      </c>
      <c r="BZ334" s="18" t="e">
        <f t="shared" si="92"/>
        <v>#N/A</v>
      </c>
    </row>
    <row r="335" spans="1:78" x14ac:dyDescent="0.3">
      <c r="A335" s="19">
        <v>310</v>
      </c>
      <c r="B335" s="19">
        <v>0</v>
      </c>
      <c r="C335" s="19">
        <v>24</v>
      </c>
      <c r="D335" s="19">
        <v>52.152739552490999</v>
      </c>
      <c r="E335" s="22">
        <v>18034</v>
      </c>
      <c r="F335" s="22">
        <v>3844</v>
      </c>
      <c r="G335" s="23">
        <v>5987</v>
      </c>
      <c r="H335" s="23">
        <v>8203</v>
      </c>
      <c r="I335" s="24">
        <v>9.8000000000000007</v>
      </c>
      <c r="J335" s="24">
        <v>181.3</v>
      </c>
      <c r="K335" s="22">
        <v>13695</v>
      </c>
      <c r="L335" s="22">
        <v>49126</v>
      </c>
      <c r="M335" s="22">
        <v>14130</v>
      </c>
      <c r="N335" s="22">
        <v>6293</v>
      </c>
      <c r="O335" s="25">
        <v>3411.51</v>
      </c>
      <c r="P335" s="24">
        <v>82.2</v>
      </c>
      <c r="Q335" s="22">
        <v>10095</v>
      </c>
      <c r="R335" s="23">
        <v>71</v>
      </c>
      <c r="U335" s="19">
        <v>310</v>
      </c>
      <c r="V335" s="19">
        <v>0</v>
      </c>
      <c r="W335" s="19">
        <v>24</v>
      </c>
      <c r="X335" s="19">
        <f t="shared" si="77"/>
        <v>-0.17479724977361585</v>
      </c>
      <c r="Y335" s="19">
        <f t="shared" si="78"/>
        <v>-0.21836313375639121</v>
      </c>
      <c r="Z335" s="19">
        <f t="shared" si="79"/>
        <v>-0.43912987561582673</v>
      </c>
      <c r="AA335" s="19">
        <f t="shared" si="80"/>
        <v>-0.21392881676041953</v>
      </c>
      <c r="AB335" s="19">
        <f t="shared" si="81"/>
        <v>-0.15961806133957945</v>
      </c>
      <c r="AC335" s="19">
        <f t="shared" si="82"/>
        <v>-0.46864792167698072</v>
      </c>
      <c r="AD335" s="19">
        <f t="shared" si="83"/>
        <v>-0.19714810132629185</v>
      </c>
      <c r="AE335" s="19">
        <f t="shared" si="84"/>
        <v>-0.22905643314283874</v>
      </c>
      <c r="AF335" s="19">
        <f t="shared" si="85"/>
        <v>-0.1965872659011127</v>
      </c>
      <c r="AG335" s="19">
        <f t="shared" si="86"/>
        <v>-0.20909800470141934</v>
      </c>
      <c r="AH335" s="19">
        <f t="shared" si="87"/>
        <v>-0.19546528504837574</v>
      </c>
      <c r="AI335" s="19">
        <f t="shared" si="88"/>
        <v>-0.24493262575160327</v>
      </c>
      <c r="AJ335" s="19">
        <f t="shared" si="89"/>
        <v>-0.24403377140629112</v>
      </c>
      <c r="AK335" s="19">
        <f t="shared" si="90"/>
        <v>-0.21671371516964652</v>
      </c>
      <c r="AL335" s="19">
        <f t="shared" si="91"/>
        <v>-0.3651618108627343</v>
      </c>
      <c r="BV335" s="16">
        <v>0</v>
      </c>
      <c r="BW335" s="18">
        <v>307</v>
      </c>
      <c r="BX335" s="48">
        <v>-2.7834648466294358</v>
      </c>
      <c r="BY335" s="48">
        <v>0.58129200252723257</v>
      </c>
      <c r="BZ335" s="18" t="e">
        <f t="shared" si="92"/>
        <v>#N/A</v>
      </c>
    </row>
    <row r="336" spans="1:78" x14ac:dyDescent="0.3">
      <c r="A336" s="19">
        <v>311</v>
      </c>
      <c r="B336" s="19">
        <v>0</v>
      </c>
      <c r="C336" s="19">
        <v>24</v>
      </c>
      <c r="D336" s="19">
        <v>15.089011962295499</v>
      </c>
      <c r="E336" s="22">
        <v>28280</v>
      </c>
      <c r="F336" s="22">
        <v>1364</v>
      </c>
      <c r="G336" s="23">
        <v>14413</v>
      </c>
      <c r="H336" s="23">
        <v>12503</v>
      </c>
      <c r="I336" s="24">
        <v>5.9</v>
      </c>
      <c r="J336" s="24">
        <v>678.5</v>
      </c>
      <c r="K336" s="22">
        <v>18076</v>
      </c>
      <c r="L336" s="22">
        <v>60869</v>
      </c>
      <c r="M336" s="22">
        <v>17512</v>
      </c>
      <c r="N336" s="22">
        <v>9370</v>
      </c>
      <c r="O336" s="25">
        <v>3657.03</v>
      </c>
      <c r="P336" s="24">
        <v>88.1</v>
      </c>
      <c r="Q336" s="22">
        <v>18249</v>
      </c>
      <c r="R336" s="23">
        <v>106</v>
      </c>
      <c r="U336" s="19">
        <v>311</v>
      </c>
      <c r="V336" s="19">
        <v>0</v>
      </c>
      <c r="W336" s="19">
        <v>24</v>
      </c>
      <c r="X336" s="19">
        <f t="shared" si="77"/>
        <v>-1.3217084047356396</v>
      </c>
      <c r="Y336" s="19">
        <f t="shared" si="78"/>
        <v>-2.6354422143999714E-2</v>
      </c>
      <c r="Z336" s="19">
        <f t="shared" si="79"/>
        <v>-0.89438898636503039</v>
      </c>
      <c r="AA336" s="19">
        <f t="shared" si="80"/>
        <v>0.68227792794960707</v>
      </c>
      <c r="AB336" s="19">
        <f t="shared" si="81"/>
        <v>-6.4933225988251242E-2</v>
      </c>
      <c r="AC336" s="19">
        <f t="shared" si="82"/>
        <v>-1.2090127227912404</v>
      </c>
      <c r="AD336" s="19">
        <f t="shared" si="83"/>
        <v>0.18191850610011798</v>
      </c>
      <c r="AE336" s="19">
        <f t="shared" si="84"/>
        <v>-4.440958179706243E-3</v>
      </c>
      <c r="AF336" s="19">
        <f t="shared" si="85"/>
        <v>-3.2134349200482484E-2</v>
      </c>
      <c r="AG336" s="19">
        <f t="shared" si="86"/>
        <v>-8.4911410034222132E-2</v>
      </c>
      <c r="AH336" s="19">
        <f t="shared" si="87"/>
        <v>-6.7964006577754699E-2</v>
      </c>
      <c r="AI336" s="19">
        <f t="shared" si="88"/>
        <v>0.25272617369599515</v>
      </c>
      <c r="AJ336" s="19">
        <f t="shared" si="89"/>
        <v>0.2523586396742018</v>
      </c>
      <c r="AK336" s="19">
        <f t="shared" si="90"/>
        <v>-3.3899401864970383E-2</v>
      </c>
      <c r="AL336" s="19">
        <f t="shared" si="91"/>
        <v>-0.34600357114677799</v>
      </c>
      <c r="BV336" s="16">
        <v>0</v>
      </c>
      <c r="BW336" s="18">
        <v>308</v>
      </c>
      <c r="BX336" s="48">
        <v>0.98166388024334128</v>
      </c>
      <c r="BY336" s="48">
        <v>-1.3953043927192914</v>
      </c>
      <c r="BZ336" s="18" t="e">
        <f t="shared" si="92"/>
        <v>#N/A</v>
      </c>
    </row>
    <row r="337" spans="1:78" x14ac:dyDescent="0.3">
      <c r="A337" s="19">
        <v>312</v>
      </c>
      <c r="B337" s="19">
        <v>0</v>
      </c>
      <c r="C337" s="19">
        <v>24</v>
      </c>
      <c r="D337" s="19">
        <v>47.434329688274403</v>
      </c>
      <c r="E337" s="22">
        <v>14249</v>
      </c>
      <c r="F337" s="22">
        <v>3984</v>
      </c>
      <c r="G337" s="23">
        <v>4788</v>
      </c>
      <c r="H337" s="23">
        <v>5477</v>
      </c>
      <c r="I337" s="24">
        <v>13.8</v>
      </c>
      <c r="J337" s="24">
        <v>149.19999999999999</v>
      </c>
      <c r="K337" s="22">
        <v>12002</v>
      </c>
      <c r="L337" s="22">
        <v>44642</v>
      </c>
      <c r="M337" s="22">
        <v>15140</v>
      </c>
      <c r="N337" s="22">
        <v>7280</v>
      </c>
      <c r="O337" s="25">
        <v>3331.77</v>
      </c>
      <c r="P337" s="24">
        <v>80.3</v>
      </c>
      <c r="Q337" s="22">
        <v>7130</v>
      </c>
      <c r="R337" s="23">
        <v>111</v>
      </c>
      <c r="U337" s="19">
        <v>312</v>
      </c>
      <c r="V337" s="19">
        <v>0</v>
      </c>
      <c r="W337" s="19">
        <v>24</v>
      </c>
      <c r="X337" s="19">
        <f t="shared" si="77"/>
        <v>-0.32080514641012137</v>
      </c>
      <c r="Y337" s="19">
        <f t="shared" si="78"/>
        <v>-0.28929354303346538</v>
      </c>
      <c r="Z337" s="19">
        <f t="shared" si="79"/>
        <v>-0.4134297645251459</v>
      </c>
      <c r="AA337" s="19">
        <f t="shared" si="80"/>
        <v>-0.34145693056380455</v>
      </c>
      <c r="AB337" s="19">
        <f t="shared" si="81"/>
        <v>-0.21964384300649126</v>
      </c>
      <c r="AC337" s="19">
        <f t="shared" si="82"/>
        <v>0.29070059228636241</v>
      </c>
      <c r="AD337" s="19">
        <f t="shared" si="83"/>
        <v>-0.2216212270269913</v>
      </c>
      <c r="AE337" s="19">
        <f t="shared" si="84"/>
        <v>-0.31585716336712161</v>
      </c>
      <c r="AF337" s="19">
        <f t="shared" si="85"/>
        <v>-0.25938270816336473</v>
      </c>
      <c r="AG337" s="19">
        <f t="shared" si="86"/>
        <v>-0.17201093769554437</v>
      </c>
      <c r="AH337" s="19">
        <f t="shared" si="87"/>
        <v>-0.15456708490196594</v>
      </c>
      <c r="AI337" s="19">
        <f t="shared" si="88"/>
        <v>-0.40656227982439413</v>
      </c>
      <c r="AJ337" s="19">
        <f t="shared" si="89"/>
        <v>-0.40388895463560309</v>
      </c>
      <c r="AK337" s="19">
        <f t="shared" si="90"/>
        <v>-0.28318960908040991</v>
      </c>
      <c r="AL337" s="19">
        <f t="shared" si="91"/>
        <v>-0.34326667975878422</v>
      </c>
      <c r="BV337" s="16">
        <v>0</v>
      </c>
      <c r="BW337" s="18">
        <v>309</v>
      </c>
      <c r="BX337" s="48">
        <v>-0.26859450463456092</v>
      </c>
      <c r="BY337" s="48">
        <v>0.22608388417394917</v>
      </c>
      <c r="BZ337" s="18" t="e">
        <f t="shared" si="92"/>
        <v>#N/A</v>
      </c>
    </row>
    <row r="338" spans="1:78" x14ac:dyDescent="0.3">
      <c r="A338" s="19">
        <v>313</v>
      </c>
      <c r="B338" s="19">
        <v>0</v>
      </c>
      <c r="C338" s="19">
        <v>24</v>
      </c>
      <c r="D338" s="19">
        <v>25.670866607931799</v>
      </c>
      <c r="E338" s="22">
        <v>34869</v>
      </c>
      <c r="F338" s="22">
        <v>5030</v>
      </c>
      <c r="G338" s="23">
        <v>17189</v>
      </c>
      <c r="H338" s="23">
        <v>12650</v>
      </c>
      <c r="I338" s="24">
        <v>4.9000000000000004</v>
      </c>
      <c r="J338" s="24">
        <v>424.6</v>
      </c>
      <c r="K338" s="22">
        <v>22456</v>
      </c>
      <c r="L338" s="22">
        <v>70954</v>
      </c>
      <c r="M338" s="22">
        <v>16442</v>
      </c>
      <c r="N338" s="22">
        <v>11205</v>
      </c>
      <c r="O338" s="25">
        <v>3372.27</v>
      </c>
      <c r="P338" s="24">
        <v>81.2</v>
      </c>
      <c r="Q338" s="22">
        <v>2451</v>
      </c>
      <c r="R338" s="23">
        <v>4888</v>
      </c>
      <c r="U338" s="19">
        <v>313</v>
      </c>
      <c r="V338" s="19">
        <v>0</v>
      </c>
      <c r="W338" s="19">
        <v>24</v>
      </c>
      <c r="X338" s="19">
        <f t="shared" si="77"/>
        <v>-0.99426030595138648</v>
      </c>
      <c r="Y338" s="19">
        <f t="shared" si="78"/>
        <v>9.712258359619623E-2</v>
      </c>
      <c r="Z338" s="19">
        <f t="shared" si="79"/>
        <v>-0.22141322023334464</v>
      </c>
      <c r="AA338" s="19">
        <f t="shared" si="80"/>
        <v>0.9775390154543584</v>
      </c>
      <c r="AB338" s="19">
        <f t="shared" si="81"/>
        <v>-6.1696325802984904E-2</v>
      </c>
      <c r="AC338" s="19">
        <f t="shared" si="82"/>
        <v>-1.3988498512820762</v>
      </c>
      <c r="AD338" s="19">
        <f t="shared" si="83"/>
        <v>-1.1655531763046647E-2</v>
      </c>
      <c r="AE338" s="19">
        <f t="shared" si="84"/>
        <v>0.22012324641707995</v>
      </c>
      <c r="AF338" s="19">
        <f t="shared" si="85"/>
        <v>0.10909937854590733</v>
      </c>
      <c r="AG338" s="19">
        <f t="shared" si="86"/>
        <v>-0.12420166913945602</v>
      </c>
      <c r="AH338" s="19">
        <f t="shared" si="87"/>
        <v>8.0726674533111425E-3</v>
      </c>
      <c r="AI338" s="19">
        <f t="shared" si="88"/>
        <v>-0.32447046906507621</v>
      </c>
      <c r="AJ338" s="19">
        <f t="shared" si="89"/>
        <v>-0.32816807836908668</v>
      </c>
      <c r="AK338" s="19">
        <f t="shared" si="90"/>
        <v>-0.3880937263176652</v>
      </c>
      <c r="AL338" s="19">
        <f t="shared" si="91"/>
        <v>2.271559352330458</v>
      </c>
      <c r="BV338" s="16">
        <v>0</v>
      </c>
      <c r="BW338" s="18">
        <v>310</v>
      </c>
      <c r="BX338" s="48">
        <v>0.58582241129911305</v>
      </c>
      <c r="BY338" s="48">
        <v>0.18492086059124613</v>
      </c>
      <c r="BZ338" s="18" t="e">
        <f t="shared" si="92"/>
        <v>#N/A</v>
      </c>
    </row>
    <row r="339" spans="1:78" x14ac:dyDescent="0.3">
      <c r="A339" s="19">
        <v>314</v>
      </c>
      <c r="B339" s="19">
        <v>0</v>
      </c>
      <c r="C339" s="19">
        <v>24</v>
      </c>
      <c r="D339" s="19">
        <v>56.296473123065397</v>
      </c>
      <c r="E339" s="22">
        <v>27422</v>
      </c>
      <c r="F339" s="22">
        <v>4383</v>
      </c>
      <c r="G339" s="23">
        <v>9722</v>
      </c>
      <c r="H339" s="23">
        <v>13317</v>
      </c>
      <c r="I339" s="24">
        <v>6.7</v>
      </c>
      <c r="J339" s="24">
        <v>264</v>
      </c>
      <c r="K339" s="22">
        <v>17368</v>
      </c>
      <c r="L339" s="22">
        <v>70845</v>
      </c>
      <c r="M339" s="22">
        <v>20948</v>
      </c>
      <c r="N339" s="22">
        <v>8550</v>
      </c>
      <c r="O339" s="25">
        <v>3735.23</v>
      </c>
      <c r="P339" s="24">
        <v>90</v>
      </c>
      <c r="Q339" s="22">
        <v>12409</v>
      </c>
      <c r="R339" s="23">
        <v>288</v>
      </c>
      <c r="U339" s="19">
        <v>314</v>
      </c>
      <c r="V339" s="19">
        <v>0</v>
      </c>
      <c r="W339" s="19">
        <v>24</v>
      </c>
      <c r="X339" s="19">
        <f t="shared" si="77"/>
        <v>-4.6572309534750757E-2</v>
      </c>
      <c r="Y339" s="19">
        <f t="shared" si="78"/>
        <v>-4.2433230904826563E-2</v>
      </c>
      <c r="Z339" s="19">
        <f t="shared" si="79"/>
        <v>-0.34018444791670543</v>
      </c>
      <c r="AA339" s="19">
        <f t="shared" si="80"/>
        <v>0.18333348937439525</v>
      </c>
      <c r="AB339" s="19">
        <f t="shared" si="81"/>
        <v>-4.700916645895329E-2</v>
      </c>
      <c r="AC339" s="19">
        <f t="shared" si="82"/>
        <v>-1.0571430199985719</v>
      </c>
      <c r="AD339" s="19">
        <f t="shared" si="83"/>
        <v>-0.13409740053352417</v>
      </c>
      <c r="AE339" s="19">
        <f t="shared" si="84"/>
        <v>-4.0740377552885385E-2</v>
      </c>
      <c r="AF339" s="19">
        <f t="shared" si="85"/>
        <v>0.10757290593070094</v>
      </c>
      <c r="AG339" s="19">
        <f t="shared" si="86"/>
        <v>4.1258057522398084E-2</v>
      </c>
      <c r="AH339" s="19">
        <f t="shared" si="87"/>
        <v>-0.1019422478341438</v>
      </c>
      <c r="AI339" s="19">
        <f t="shared" si="88"/>
        <v>0.41123431200164073</v>
      </c>
      <c r="AJ339" s="19">
        <f t="shared" si="89"/>
        <v>0.41221382290351377</v>
      </c>
      <c r="AK339" s="19">
        <f t="shared" si="90"/>
        <v>-0.16483337165885176</v>
      </c>
      <c r="AL339" s="19">
        <f t="shared" si="91"/>
        <v>-0.24638072462380495</v>
      </c>
      <c r="BV339" s="16">
        <v>0</v>
      </c>
      <c r="BW339" s="18">
        <v>311</v>
      </c>
      <c r="BX339" s="48">
        <v>-0.53209523427765693</v>
      </c>
      <c r="BY339" s="48">
        <v>1.2257847288526094</v>
      </c>
      <c r="BZ339" s="18" t="e">
        <f t="shared" si="92"/>
        <v>#N/A</v>
      </c>
    </row>
    <row r="340" spans="1:78" x14ac:dyDescent="0.3">
      <c r="A340" s="19">
        <v>315</v>
      </c>
      <c r="B340" s="19">
        <v>0</v>
      </c>
      <c r="C340" s="19">
        <v>24</v>
      </c>
      <c r="D340" s="19">
        <v>25.598754999189801</v>
      </c>
      <c r="E340" s="22">
        <v>11217</v>
      </c>
      <c r="F340" s="22">
        <v>2651</v>
      </c>
      <c r="G340" s="23">
        <v>3897</v>
      </c>
      <c r="H340" s="23">
        <v>4669</v>
      </c>
      <c r="I340" s="24">
        <v>10.1</v>
      </c>
      <c r="J340" s="24">
        <v>159.5</v>
      </c>
      <c r="K340" s="22">
        <v>14794</v>
      </c>
      <c r="L340" s="22">
        <v>49303</v>
      </c>
      <c r="M340" s="22">
        <v>13334</v>
      </c>
      <c r="N340" s="22">
        <v>5376</v>
      </c>
      <c r="O340" s="25">
        <v>3624.92</v>
      </c>
      <c r="P340" s="24">
        <v>87.3</v>
      </c>
      <c r="Q340" s="22">
        <v>20012</v>
      </c>
      <c r="R340" s="23">
        <v>230</v>
      </c>
      <c r="U340" s="19">
        <v>315</v>
      </c>
      <c r="V340" s="19">
        <v>0</v>
      </c>
      <c r="W340" s="19">
        <v>24</v>
      </c>
      <c r="X340" s="19">
        <f t="shared" si="77"/>
        <v>-0.99649174930168605</v>
      </c>
      <c r="Y340" s="19">
        <f t="shared" si="78"/>
        <v>-0.3461128299365272</v>
      </c>
      <c r="Z340" s="19">
        <f t="shared" si="79"/>
        <v>-0.65813153655284284</v>
      </c>
      <c r="AA340" s="19">
        <f t="shared" si="80"/>
        <v>-0.43622552889476035</v>
      </c>
      <c r="AB340" s="19">
        <f t="shared" si="81"/>
        <v>-0.23743578416088038</v>
      </c>
      <c r="AC340" s="19">
        <f t="shared" si="82"/>
        <v>-0.41169678312973024</v>
      </c>
      <c r="AD340" s="19">
        <f t="shared" si="83"/>
        <v>-0.21376847952801298</v>
      </c>
      <c r="AE340" s="19">
        <f t="shared" si="84"/>
        <v>-0.172710300528257</v>
      </c>
      <c r="AF340" s="19">
        <f t="shared" si="85"/>
        <v>-0.19410849844339223</v>
      </c>
      <c r="AG340" s="19">
        <f t="shared" si="86"/>
        <v>-0.23832701988624755</v>
      </c>
      <c r="AH340" s="19">
        <f t="shared" si="87"/>
        <v>-0.23346290362411817</v>
      </c>
      <c r="AI340" s="19">
        <f t="shared" si="88"/>
        <v>0.18764054299274305</v>
      </c>
      <c r="AJ340" s="19">
        <f t="shared" si="89"/>
        <v>0.18505119410396562</v>
      </c>
      <c r="AK340" s="19">
        <f t="shared" si="90"/>
        <v>5.6274112765729153E-3</v>
      </c>
      <c r="AL340" s="19">
        <f t="shared" si="91"/>
        <v>-0.27812866472453263</v>
      </c>
      <c r="BV340" s="16">
        <v>0</v>
      </c>
      <c r="BW340" s="18">
        <v>312</v>
      </c>
      <c r="BX340" s="48">
        <v>0.86208137379249017</v>
      </c>
      <c r="BY340" s="48">
        <v>-0.17500224340915457</v>
      </c>
      <c r="BZ340" s="18" t="e">
        <f t="shared" si="92"/>
        <v>#N/A</v>
      </c>
    </row>
    <row r="341" spans="1:78" x14ac:dyDescent="0.3">
      <c r="A341" s="19">
        <v>316</v>
      </c>
      <c r="B341" s="19">
        <v>0</v>
      </c>
      <c r="C341" s="19">
        <v>24</v>
      </c>
      <c r="D341" s="19">
        <v>32.0112668869873</v>
      </c>
      <c r="E341" s="22">
        <v>33400</v>
      </c>
      <c r="F341" s="22">
        <v>2186</v>
      </c>
      <c r="G341" s="23">
        <v>11042</v>
      </c>
      <c r="H341" s="23">
        <v>20172</v>
      </c>
      <c r="I341" s="24">
        <v>9.3000000000000007</v>
      </c>
      <c r="J341" s="24">
        <v>324</v>
      </c>
      <c r="K341" s="22">
        <v>23217</v>
      </c>
      <c r="L341" s="22">
        <v>87012</v>
      </c>
      <c r="M341" s="22">
        <v>28608</v>
      </c>
      <c r="N341" s="22">
        <v>15251</v>
      </c>
      <c r="O341" s="25">
        <v>3569.46</v>
      </c>
      <c r="P341" s="24">
        <v>86</v>
      </c>
      <c r="Q341" s="22">
        <v>32094</v>
      </c>
      <c r="R341" s="23">
        <v>2593</v>
      </c>
      <c r="U341" s="19">
        <v>316</v>
      </c>
      <c r="V341" s="19">
        <v>0</v>
      </c>
      <c r="W341" s="19">
        <v>24</v>
      </c>
      <c r="X341" s="19">
        <f t="shared" si="77"/>
        <v>-0.79806104916382259</v>
      </c>
      <c r="Y341" s="19">
        <f t="shared" si="78"/>
        <v>6.9593714051144201E-2</v>
      </c>
      <c r="Z341" s="19">
        <f t="shared" si="79"/>
        <v>-0.7434926198183186</v>
      </c>
      <c r="AA341" s="19">
        <f t="shared" si="80"/>
        <v>0.3237314128276631</v>
      </c>
      <c r="AB341" s="19">
        <f t="shared" si="81"/>
        <v>0.10393607687438508</v>
      </c>
      <c r="AC341" s="19">
        <f t="shared" si="82"/>
        <v>-0.56356648592239866</v>
      </c>
      <c r="AD341" s="19">
        <f t="shared" si="83"/>
        <v>-8.8353240345300954E-2</v>
      </c>
      <c r="AE341" s="19">
        <f t="shared" si="84"/>
        <v>0.25913999520661291</v>
      </c>
      <c r="AF341" s="19">
        <f t="shared" si="85"/>
        <v>0.33398100473842374</v>
      </c>
      <c r="AG341" s="19">
        <f t="shared" si="86"/>
        <v>0.32253224887388554</v>
      </c>
      <c r="AH341" s="19">
        <f t="shared" si="87"/>
        <v>0.17572628223788467</v>
      </c>
      <c r="AI341" s="19">
        <f t="shared" si="88"/>
        <v>7.5225436209736263E-2</v>
      </c>
      <c r="AJ341" s="19">
        <f t="shared" si="89"/>
        <v>7.5676595052331652E-2</v>
      </c>
      <c r="AK341" s="19">
        <f t="shared" si="90"/>
        <v>0.27650827138781858</v>
      </c>
      <c r="AL341" s="19">
        <f t="shared" si="91"/>
        <v>1.0153262052413203</v>
      </c>
      <c r="BV341" s="16">
        <v>0</v>
      </c>
      <c r="BW341" s="18">
        <v>313</v>
      </c>
      <c r="BX341" s="48">
        <v>-0.38751098422456642</v>
      </c>
      <c r="BY341" s="48">
        <v>0.5579167627889976</v>
      </c>
      <c r="BZ341" s="18" t="e">
        <f t="shared" si="92"/>
        <v>#N/A</v>
      </c>
    </row>
    <row r="342" spans="1:78" x14ac:dyDescent="0.3">
      <c r="A342" s="19">
        <v>317</v>
      </c>
      <c r="B342" s="19">
        <v>0</v>
      </c>
      <c r="C342" s="19">
        <v>24</v>
      </c>
      <c r="D342" s="19">
        <v>18.658205272802601</v>
      </c>
      <c r="E342" s="22">
        <v>19171</v>
      </c>
      <c r="F342" s="22">
        <v>946</v>
      </c>
      <c r="G342" s="23">
        <v>12762</v>
      </c>
      <c r="H342" s="23">
        <v>5463</v>
      </c>
      <c r="I342" s="24">
        <v>4</v>
      </c>
      <c r="J342" s="24">
        <v>219.6</v>
      </c>
      <c r="K342" s="22">
        <v>11319</v>
      </c>
      <c r="L342" s="22">
        <v>38155</v>
      </c>
      <c r="M342" s="22">
        <v>9499</v>
      </c>
      <c r="N342" s="22">
        <v>4591</v>
      </c>
      <c r="O342" s="25">
        <v>3657.77</v>
      </c>
      <c r="P342" s="24">
        <v>88.1</v>
      </c>
      <c r="Q342" s="22">
        <v>15583</v>
      </c>
      <c r="R342" s="23">
        <v>77</v>
      </c>
      <c r="U342" s="19">
        <v>317</v>
      </c>
      <c r="V342" s="19">
        <v>0</v>
      </c>
      <c r="W342" s="19">
        <v>24</v>
      </c>
      <c r="X342" s="19">
        <f t="shared" si="77"/>
        <v>-1.2112622114304823</v>
      </c>
      <c r="Y342" s="19">
        <f t="shared" si="78"/>
        <v>-0.19705590116774305</v>
      </c>
      <c r="Z342" s="19">
        <f t="shared" si="79"/>
        <v>-0.97112217519292043</v>
      </c>
      <c r="AA342" s="19">
        <f t="shared" si="80"/>
        <v>0.50667416156980005</v>
      </c>
      <c r="AB342" s="19">
        <f t="shared" si="81"/>
        <v>-0.21995211921461186</v>
      </c>
      <c r="AC342" s="19">
        <f t="shared" si="82"/>
        <v>-1.5697032669238284</v>
      </c>
      <c r="AD342" s="19">
        <f t="shared" si="83"/>
        <v>-0.16794807907280937</v>
      </c>
      <c r="AE342" s="19">
        <f t="shared" si="84"/>
        <v>-0.35087482358164329</v>
      </c>
      <c r="AF342" s="19">
        <f t="shared" si="85"/>
        <v>-0.3502288352720242</v>
      </c>
      <c r="AG342" s="19">
        <f t="shared" si="86"/>
        <v>-0.37914771490360449</v>
      </c>
      <c r="AH342" s="19">
        <f t="shared" si="87"/>
        <v>-0.26599085409517359</v>
      </c>
      <c r="AI342" s="19">
        <f t="shared" si="88"/>
        <v>0.25422612283085627</v>
      </c>
      <c r="AJ342" s="19">
        <f t="shared" si="89"/>
        <v>0.2523586396742018</v>
      </c>
      <c r="AK342" s="19">
        <f t="shared" si="90"/>
        <v>-9.367165588388951E-2</v>
      </c>
      <c r="AL342" s="19">
        <f t="shared" si="91"/>
        <v>-0.36187754119714183</v>
      </c>
      <c r="BV342" s="16">
        <v>0</v>
      </c>
      <c r="BW342" s="18">
        <v>314</v>
      </c>
      <c r="BX342" s="48">
        <v>-0.23314626964658372</v>
      </c>
      <c r="BY342" s="48">
        <v>0.91131976778705548</v>
      </c>
      <c r="BZ342" s="18" t="e">
        <f t="shared" si="92"/>
        <v>#N/A</v>
      </c>
    </row>
    <row r="343" spans="1:78" x14ac:dyDescent="0.3">
      <c r="A343" s="19">
        <v>318</v>
      </c>
      <c r="B343" s="19">
        <v>0</v>
      </c>
      <c r="C343" s="19">
        <v>24</v>
      </c>
      <c r="D343" s="19">
        <v>47.971884107513397</v>
      </c>
      <c r="E343" s="22">
        <v>32974</v>
      </c>
      <c r="F343" s="22">
        <v>3141</v>
      </c>
      <c r="G343" s="23">
        <v>14463</v>
      </c>
      <c r="H343" s="23">
        <v>15370</v>
      </c>
      <c r="I343" s="24">
        <v>9.6999999999999993</v>
      </c>
      <c r="J343" s="24">
        <v>400.7</v>
      </c>
      <c r="K343" s="22">
        <v>28272</v>
      </c>
      <c r="L343" s="22">
        <v>98661</v>
      </c>
      <c r="M343" s="22">
        <v>30898</v>
      </c>
      <c r="N343" s="22">
        <v>11226</v>
      </c>
      <c r="O343" s="25">
        <v>3211.61</v>
      </c>
      <c r="P343" s="24">
        <v>77.400000000000006</v>
      </c>
      <c r="Q343" s="22">
        <v>21625</v>
      </c>
      <c r="R343" s="23">
        <v>114</v>
      </c>
      <c r="U343" s="19">
        <v>318</v>
      </c>
      <c r="V343" s="19">
        <v>0</v>
      </c>
      <c r="W343" s="19">
        <v>24</v>
      </c>
      <c r="X343" s="19">
        <f t="shared" si="77"/>
        <v>-0.3041709004799461</v>
      </c>
      <c r="Y343" s="19">
        <f t="shared" si="78"/>
        <v>6.1610529281782615E-2</v>
      </c>
      <c r="Z343" s="19">
        <f t="shared" si="79"/>
        <v>-0.56818114773545991</v>
      </c>
      <c r="AA343" s="19">
        <f t="shared" si="80"/>
        <v>0.68759603111071566</v>
      </c>
      <c r="AB343" s="19">
        <f t="shared" si="81"/>
        <v>-1.8026625109819306E-3</v>
      </c>
      <c r="AC343" s="19">
        <f t="shared" si="82"/>
        <v>-0.48763163452606462</v>
      </c>
      <c r="AD343" s="19">
        <f t="shared" si="83"/>
        <v>-2.9876955571355591E-2</v>
      </c>
      <c r="AE343" s="19">
        <f t="shared" si="84"/>
        <v>0.51831169708715041</v>
      </c>
      <c r="AF343" s="19">
        <f t="shared" si="85"/>
        <v>0.49711751386263742</v>
      </c>
      <c r="AG343" s="19">
        <f t="shared" si="86"/>
        <v>0.40662074733275061</v>
      </c>
      <c r="AH343" s="19">
        <f t="shared" si="87"/>
        <v>8.9428419245113511E-3</v>
      </c>
      <c r="AI343" s="19">
        <f t="shared" si="88"/>
        <v>-0.65012158799327391</v>
      </c>
      <c r="AJ343" s="19">
        <f t="shared" si="89"/>
        <v>-0.6478784448277094</v>
      </c>
      <c r="AK343" s="19">
        <f t="shared" si="90"/>
        <v>4.1791194372040492E-2</v>
      </c>
      <c r="AL343" s="19">
        <f t="shared" si="91"/>
        <v>-0.34162454492598798</v>
      </c>
      <c r="BV343" s="16">
        <v>0</v>
      </c>
      <c r="BW343" s="18">
        <v>315</v>
      </c>
      <c r="BX343" s="48">
        <v>0.44782853257045185</v>
      </c>
      <c r="BY343" s="48">
        <v>0.91117755019086721</v>
      </c>
      <c r="BZ343" s="18" t="e">
        <f t="shared" si="92"/>
        <v>#N/A</v>
      </c>
    </row>
    <row r="344" spans="1:78" x14ac:dyDescent="0.3">
      <c r="A344" s="19">
        <v>319</v>
      </c>
      <c r="B344" s="19">
        <v>0</v>
      </c>
      <c r="C344" s="19">
        <v>24</v>
      </c>
      <c r="D344" s="19">
        <v>54.714735388496003</v>
      </c>
      <c r="E344" s="22">
        <v>27010</v>
      </c>
      <c r="F344" s="22">
        <v>8045</v>
      </c>
      <c r="G344" s="23">
        <v>8287</v>
      </c>
      <c r="H344" s="23">
        <v>10678</v>
      </c>
      <c r="I344" s="24">
        <v>13.6</v>
      </c>
      <c r="J344" s="24">
        <v>247.2</v>
      </c>
      <c r="K344" s="22">
        <v>19125</v>
      </c>
      <c r="L344" s="22">
        <v>74023</v>
      </c>
      <c r="M344" s="22">
        <v>27122</v>
      </c>
      <c r="N344" s="22">
        <v>10992</v>
      </c>
      <c r="O344" s="25">
        <v>3681.04</v>
      </c>
      <c r="P344" s="24">
        <v>88.7</v>
      </c>
      <c r="Q344" s="22">
        <v>19087</v>
      </c>
      <c r="R344" s="23">
        <v>0</v>
      </c>
      <c r="U344" s="19">
        <v>319</v>
      </c>
      <c r="V344" s="19">
        <v>0</v>
      </c>
      <c r="W344" s="19">
        <v>24</v>
      </c>
      <c r="X344" s="19">
        <f t="shared" si="77"/>
        <v>-9.5518078618211419E-2</v>
      </c>
      <c r="Y344" s="19">
        <f t="shared" si="78"/>
        <v>-5.0154057489279549E-2</v>
      </c>
      <c r="Z344" s="19">
        <f t="shared" si="79"/>
        <v>0.33205702932667519</v>
      </c>
      <c r="AA344" s="19">
        <f t="shared" si="80"/>
        <v>3.0703928650577521E-2</v>
      </c>
      <c r="AB344" s="19">
        <f t="shared" si="81"/>
        <v>-0.10511923168968705</v>
      </c>
      <c r="AC344" s="19">
        <f t="shared" si="82"/>
        <v>0.25273316658819506</v>
      </c>
      <c r="AD344" s="19">
        <f t="shared" si="83"/>
        <v>-0.14690576538622668</v>
      </c>
      <c r="AE344" s="19">
        <f t="shared" si="84"/>
        <v>4.9341656117560591E-2</v>
      </c>
      <c r="AF344" s="19">
        <f t="shared" si="85"/>
        <v>0.1520786854823149</v>
      </c>
      <c r="AG344" s="19">
        <f t="shared" si="86"/>
        <v>0.26796652454642989</v>
      </c>
      <c r="AH344" s="19">
        <f t="shared" si="87"/>
        <v>-7.533878974338307E-4</v>
      </c>
      <c r="AI344" s="19">
        <f t="shared" si="88"/>
        <v>0.3013934422473829</v>
      </c>
      <c r="AJ344" s="19">
        <f t="shared" si="89"/>
        <v>0.30283922385187984</v>
      </c>
      <c r="AK344" s="19">
        <f t="shared" si="90"/>
        <v>-1.5111274007560693E-2</v>
      </c>
      <c r="AL344" s="19">
        <f t="shared" si="91"/>
        <v>-0.40402566857224581</v>
      </c>
      <c r="BV344" s="16">
        <v>0</v>
      </c>
      <c r="BW344" s="18">
        <v>316</v>
      </c>
      <c r="BX344" s="48">
        <v>-0.742019485245488</v>
      </c>
      <c r="BY344" s="48">
        <v>0.63871542654141655</v>
      </c>
      <c r="BZ344" s="18" t="e">
        <f t="shared" si="92"/>
        <v>#N/A</v>
      </c>
    </row>
    <row r="345" spans="1:78" x14ac:dyDescent="0.3">
      <c r="A345" s="19">
        <v>320</v>
      </c>
      <c r="B345" s="19">
        <v>0</v>
      </c>
      <c r="C345" s="19">
        <v>24</v>
      </c>
      <c r="D345" s="19">
        <v>67.940075423898094</v>
      </c>
      <c r="E345" s="22">
        <v>35493</v>
      </c>
      <c r="F345" s="22">
        <v>8248</v>
      </c>
      <c r="G345" s="23">
        <v>13748</v>
      </c>
      <c r="H345" s="23">
        <v>13497</v>
      </c>
      <c r="I345" s="24">
        <v>10.4</v>
      </c>
      <c r="J345" s="24">
        <v>339.5</v>
      </c>
      <c r="K345" s="22">
        <v>28763</v>
      </c>
      <c r="L345" s="22">
        <v>95850</v>
      </c>
      <c r="M345" s="22">
        <v>28434</v>
      </c>
      <c r="N345" s="22">
        <v>13813</v>
      </c>
      <c r="O345" s="25">
        <v>4059.16</v>
      </c>
      <c r="P345" s="24">
        <v>97.8</v>
      </c>
      <c r="Q345" s="22">
        <v>5125</v>
      </c>
      <c r="R345" s="23">
        <v>510</v>
      </c>
      <c r="U345" s="19">
        <v>320</v>
      </c>
      <c r="V345" s="19">
        <v>0</v>
      </c>
      <c r="W345" s="19">
        <v>24</v>
      </c>
      <c r="X345" s="19">
        <f t="shared" si="77"/>
        <v>0.31373082862826279</v>
      </c>
      <c r="Y345" s="19">
        <f t="shared" si="78"/>
        <v>0.1088162626949794</v>
      </c>
      <c r="Z345" s="19">
        <f t="shared" si="79"/>
        <v>0.36932219040816239</v>
      </c>
      <c r="AA345" s="19">
        <f t="shared" si="80"/>
        <v>0.61154715590686226</v>
      </c>
      <c r="AB345" s="19">
        <f t="shared" si="81"/>
        <v>-4.3045615211688384E-2</v>
      </c>
      <c r="AC345" s="19">
        <f t="shared" si="82"/>
        <v>-0.35474564458247931</v>
      </c>
      <c r="AD345" s="19">
        <f t="shared" si="83"/>
        <v>-7.6535998963343274E-2</v>
      </c>
      <c r="AE345" s="19">
        <f t="shared" si="84"/>
        <v>0.54348544696318279</v>
      </c>
      <c r="AF345" s="19">
        <f t="shared" si="85"/>
        <v>0.45775132559341558</v>
      </c>
      <c r="AG345" s="19">
        <f t="shared" si="86"/>
        <v>0.31614299178574473</v>
      </c>
      <c r="AH345" s="19">
        <f t="shared" si="87"/>
        <v>0.11614004940046085</v>
      </c>
      <c r="AI345" s="19">
        <f t="shared" si="88"/>
        <v>1.0678269109958591</v>
      </c>
      <c r="AJ345" s="19">
        <f t="shared" si="89"/>
        <v>1.0684614172133187</v>
      </c>
      <c r="AK345" s="19">
        <f t="shared" si="90"/>
        <v>-0.32814211069628874</v>
      </c>
      <c r="AL345" s="19">
        <f t="shared" si="91"/>
        <v>-0.12486274699688182</v>
      </c>
      <c r="BV345" s="16">
        <v>0</v>
      </c>
      <c r="BW345" s="18">
        <v>317</v>
      </c>
      <c r="BX345" s="48">
        <v>8.7727633925802448E-2</v>
      </c>
      <c r="BY345" s="48">
        <v>1.5545800877747844</v>
      </c>
      <c r="BZ345" s="18" t="e">
        <f t="shared" si="92"/>
        <v>#N/A</v>
      </c>
    </row>
    <row r="346" spans="1:78" x14ac:dyDescent="0.3">
      <c r="A346" s="19">
        <v>321</v>
      </c>
      <c r="B346" s="19">
        <v>0</v>
      </c>
      <c r="C346" s="19">
        <v>24</v>
      </c>
      <c r="D346" s="19">
        <v>37.8428583207183</v>
      </c>
      <c r="E346" s="22">
        <v>29909</v>
      </c>
      <c r="F346" s="22">
        <v>1738</v>
      </c>
      <c r="G346" s="23">
        <v>17332</v>
      </c>
      <c r="H346" s="23">
        <v>10839</v>
      </c>
      <c r="I346" s="24">
        <v>8.3000000000000007</v>
      </c>
      <c r="J346" s="24">
        <v>459</v>
      </c>
      <c r="K346" s="22">
        <v>15709</v>
      </c>
      <c r="L346" s="22">
        <v>55155</v>
      </c>
      <c r="M346" s="22">
        <v>19419</v>
      </c>
      <c r="N346" s="22">
        <v>5934</v>
      </c>
      <c r="O346" s="25">
        <v>6182.71</v>
      </c>
      <c r="P346" s="24">
        <v>148.9</v>
      </c>
      <c r="Q346" s="22">
        <v>50611</v>
      </c>
      <c r="R346" s="23">
        <v>0</v>
      </c>
      <c r="U346" s="19">
        <v>321</v>
      </c>
      <c r="V346" s="19">
        <v>0</v>
      </c>
      <c r="W346" s="19">
        <v>24</v>
      </c>
      <c r="X346" s="19">
        <f t="shared" si="77"/>
        <v>-0.61760652660532178</v>
      </c>
      <c r="Y346" s="19">
        <f t="shared" si="78"/>
        <v>4.1728266571505676E-3</v>
      </c>
      <c r="Z346" s="19">
        <f t="shared" si="79"/>
        <v>-0.82573297530849732</v>
      </c>
      <c r="AA346" s="19">
        <f t="shared" si="80"/>
        <v>0.9927487904951291</v>
      </c>
      <c r="AB346" s="19">
        <f t="shared" si="81"/>
        <v>-0.10157405529630012</v>
      </c>
      <c r="AC346" s="19">
        <f t="shared" si="82"/>
        <v>-0.75340361441323445</v>
      </c>
      <c r="AD346" s="19">
        <f t="shared" si="83"/>
        <v>1.4571120078201322E-2</v>
      </c>
      <c r="AE346" s="19">
        <f t="shared" si="84"/>
        <v>-0.12579791532139414</v>
      </c>
      <c r="AF346" s="19">
        <f t="shared" si="85"/>
        <v>-0.11215512464350394</v>
      </c>
      <c r="AG346" s="19">
        <f t="shared" si="86"/>
        <v>-1.4886621142931459E-2</v>
      </c>
      <c r="AH346" s="19">
        <f t="shared" si="87"/>
        <v>-0.21034112481794121</v>
      </c>
      <c r="AI346" s="19">
        <f t="shared" si="88"/>
        <v>5.3721741884760954</v>
      </c>
      <c r="AJ346" s="19">
        <f t="shared" si="89"/>
        <v>5.3677245030121714</v>
      </c>
      <c r="AK346" s="19">
        <f t="shared" si="90"/>
        <v>0.69166312047571266</v>
      </c>
      <c r="AL346" s="19">
        <f t="shared" si="91"/>
        <v>-0.40402566857224581</v>
      </c>
      <c r="BV346" s="16">
        <v>0</v>
      </c>
      <c r="BW346" s="18">
        <v>318</v>
      </c>
      <c r="BX346" s="48">
        <v>-0.5650308401031876</v>
      </c>
      <c r="BY346" s="48">
        <v>-0.51455018917277684</v>
      </c>
      <c r="BZ346" s="18" t="e">
        <f t="shared" si="92"/>
        <v>#N/A</v>
      </c>
    </row>
    <row r="347" spans="1:78" x14ac:dyDescent="0.3">
      <c r="A347" s="19">
        <v>322</v>
      </c>
      <c r="B347" s="19">
        <v>0</v>
      </c>
      <c r="C347" s="19">
        <v>24</v>
      </c>
      <c r="D347" s="19">
        <v>11.5243384174501</v>
      </c>
      <c r="E347" s="22">
        <v>27878</v>
      </c>
      <c r="F347" s="22">
        <v>167</v>
      </c>
      <c r="G347" s="23">
        <v>8401</v>
      </c>
      <c r="H347" s="23">
        <v>19310</v>
      </c>
      <c r="I347" s="24">
        <v>8.9</v>
      </c>
      <c r="J347" s="24">
        <v>490</v>
      </c>
      <c r="K347" s="22">
        <v>18543</v>
      </c>
      <c r="L347" s="22">
        <v>66975</v>
      </c>
      <c r="M347" s="22">
        <v>24239</v>
      </c>
      <c r="N347" s="22">
        <v>11347</v>
      </c>
      <c r="O347" s="25">
        <v>3754.13</v>
      </c>
      <c r="P347" s="24">
        <v>90.4</v>
      </c>
      <c r="Q347" s="22">
        <v>85080</v>
      </c>
      <c r="R347" s="23">
        <v>0</v>
      </c>
      <c r="U347" s="19">
        <v>322</v>
      </c>
      <c r="V347" s="19">
        <v>0</v>
      </c>
      <c r="W347" s="19">
        <v>24</v>
      </c>
      <c r="X347" s="19">
        <f t="shared" ref="X347:X405" si="93">(D347-D$23)/D$24</f>
        <v>-1.4320147370502205</v>
      </c>
      <c r="Y347" s="19">
        <f t="shared" ref="Y347:Y405" si="94">(E347-E$23)/E$24</f>
        <v>-3.3887850024946563E-2</v>
      </c>
      <c r="Z347" s="19">
        <f t="shared" ref="Z347:Z405" si="95">(F347-F$23)/F$24</f>
        <v>-1.1141249361903518</v>
      </c>
      <c r="AA347" s="19">
        <f t="shared" ref="AA347:AA405" si="96">(G347-G$23)/G$24</f>
        <v>4.2829203857905201E-2</v>
      </c>
      <c r="AB347" s="19">
        <f t="shared" ref="AB347:AB405" si="97">(H347-H$23)/H$24</f>
        <v>8.4955070345816494E-2</v>
      </c>
      <c r="AC347" s="19">
        <f t="shared" ref="AC347:AC405" si="98">(I347-I$23)/I$24</f>
        <v>-0.63950133731873304</v>
      </c>
      <c r="AD347" s="19">
        <f t="shared" ref="AD347:AD405" si="99">(J347-J$23)/J$24</f>
        <v>3.8205602842116659E-2</v>
      </c>
      <c r="AE347" s="19">
        <f t="shared" ref="AE347:AE405" si="100">(K347-K$23)/K$24</f>
        <v>1.9502302904015025E-2</v>
      </c>
      <c r="AF347" s="19">
        <f t="shared" ref="AF347:AF405" si="101">(L347-L$23)/L$24</f>
        <v>5.3376125922914262E-2</v>
      </c>
      <c r="AG347" s="19">
        <f t="shared" ref="AG347:AG405" si="102">(M347-M$23)/M$24</f>
        <v>0.16210314417223429</v>
      </c>
      <c r="AH347" s="19">
        <f t="shared" ref="AH347:AH405" si="103">(N347-N$23)/N$24</f>
        <v>1.3956704353807791E-2</v>
      </c>
      <c r="AI347" s="19">
        <f t="shared" ref="AI347:AI405" si="104">(O347-O$23)/O$24</f>
        <v>0.44954382368932261</v>
      </c>
      <c r="AJ347" s="19">
        <f t="shared" ref="AJ347:AJ405" si="105">(P347-P$23)/P$24</f>
        <v>0.44586754568863246</v>
      </c>
      <c r="AK347" s="19">
        <f t="shared" ref="AK347:AK405" si="106">(Q347-Q$23)/Q$24</f>
        <v>1.4644650048636061</v>
      </c>
      <c r="AL347" s="19">
        <f t="shared" ref="AL347:AL405" si="107">(R347-R$23)/R$24</f>
        <v>-0.40402566857224581</v>
      </c>
      <c r="BV347" s="16">
        <v>0</v>
      </c>
      <c r="BW347" s="18">
        <v>319</v>
      </c>
      <c r="BX347" s="48">
        <v>-0.13449010230288611</v>
      </c>
      <c r="BY347" s="48">
        <v>9.2906817766661334E-2</v>
      </c>
      <c r="BZ347" s="18" t="e">
        <f t="shared" si="92"/>
        <v>#N/A</v>
      </c>
    </row>
    <row r="348" spans="1:78" x14ac:dyDescent="0.3">
      <c r="A348" s="19">
        <v>323</v>
      </c>
      <c r="B348" s="19">
        <v>0</v>
      </c>
      <c r="C348" s="19">
        <v>24</v>
      </c>
      <c r="D348" s="19">
        <v>44.1111602878686</v>
      </c>
      <c r="E348" s="22">
        <v>75957</v>
      </c>
      <c r="F348" s="22">
        <v>726</v>
      </c>
      <c r="G348" s="23">
        <v>32258</v>
      </c>
      <c r="H348" s="23">
        <v>42973</v>
      </c>
      <c r="I348" s="24">
        <v>4.3</v>
      </c>
      <c r="J348" s="24">
        <v>1229.4000000000001</v>
      </c>
      <c r="K348" s="22">
        <v>29178</v>
      </c>
      <c r="L348" s="22">
        <v>104028</v>
      </c>
      <c r="M348" s="22">
        <v>39385</v>
      </c>
      <c r="N348" s="22">
        <v>25902</v>
      </c>
      <c r="O348" s="25">
        <v>4071.65</v>
      </c>
      <c r="P348" s="24">
        <v>98.1</v>
      </c>
      <c r="Q348" s="22">
        <v>69414</v>
      </c>
      <c r="R348" s="23">
        <v>0</v>
      </c>
      <c r="U348" s="19">
        <v>323</v>
      </c>
      <c r="V348" s="19">
        <v>0</v>
      </c>
      <c r="W348" s="19">
        <v>24</v>
      </c>
      <c r="X348" s="19">
        <f t="shared" si="93"/>
        <v>-0.42363830170673283</v>
      </c>
      <c r="Y348" s="19">
        <f t="shared" si="94"/>
        <v>0.86710637656222611</v>
      </c>
      <c r="Z348" s="19">
        <f t="shared" si="95"/>
        <v>-1.0115080640497047</v>
      </c>
      <c r="AA348" s="19">
        <f t="shared" si="96"/>
        <v>2.5803089461492776</v>
      </c>
      <c r="AB348" s="19">
        <f t="shared" si="97"/>
        <v>0.60600792125709091</v>
      </c>
      <c r="AC348" s="19">
        <f t="shared" si="98"/>
        <v>-1.5127521283765777</v>
      </c>
      <c r="AD348" s="19">
        <f t="shared" si="99"/>
        <v>0.60192613689498764</v>
      </c>
      <c r="AE348" s="19">
        <f t="shared" si="100"/>
        <v>0.56476264899689654</v>
      </c>
      <c r="AF348" s="19">
        <f t="shared" si="101"/>
        <v>0.57227878474165317</v>
      </c>
      <c r="AG348" s="19">
        <f t="shared" si="102"/>
        <v>0.71826226978706831</v>
      </c>
      <c r="AH348" s="19">
        <f t="shared" si="103"/>
        <v>0.6170704866547142</v>
      </c>
      <c r="AI348" s="19">
        <f t="shared" si="104"/>
        <v>1.093143620042375</v>
      </c>
      <c r="AJ348" s="19">
        <f t="shared" si="105"/>
        <v>1.093701709302157</v>
      </c>
      <c r="AK348" s="19">
        <f t="shared" si="106"/>
        <v>1.1132301468514578</v>
      </c>
      <c r="AL348" s="19">
        <f t="shared" si="107"/>
        <v>-0.40402566857224581</v>
      </c>
      <c r="BV348" s="16">
        <v>0</v>
      </c>
      <c r="BW348" s="18">
        <v>320</v>
      </c>
      <c r="BX348" s="48">
        <v>-0.94157952362958808</v>
      </c>
      <c r="BY348" s="48">
        <v>0.9245297384907738</v>
      </c>
      <c r="BZ348" s="18" t="e">
        <f t="shared" si="92"/>
        <v>#N/A</v>
      </c>
    </row>
    <row r="349" spans="1:78" x14ac:dyDescent="0.3">
      <c r="A349" s="19">
        <v>324</v>
      </c>
      <c r="B349" s="19">
        <v>0</v>
      </c>
      <c r="C349" s="19">
        <v>24</v>
      </c>
      <c r="D349" s="19">
        <v>14</v>
      </c>
      <c r="E349" s="22">
        <v>29051</v>
      </c>
      <c r="F349" s="22">
        <v>331</v>
      </c>
      <c r="G349" s="23">
        <v>8894</v>
      </c>
      <c r="H349" s="23">
        <v>19826</v>
      </c>
      <c r="I349" s="24">
        <v>18.5</v>
      </c>
      <c r="J349" s="24">
        <v>216.9</v>
      </c>
      <c r="K349" s="22">
        <v>27027</v>
      </c>
      <c r="L349" s="22">
        <v>106548</v>
      </c>
      <c r="M349" s="22">
        <v>37186</v>
      </c>
      <c r="N349" s="22">
        <v>16578</v>
      </c>
      <c r="O349" s="25">
        <v>4050.32</v>
      </c>
      <c r="P349" s="24">
        <v>97.6</v>
      </c>
      <c r="Q349" s="22">
        <v>96413</v>
      </c>
      <c r="R349" s="23">
        <v>0</v>
      </c>
      <c r="U349" s="19">
        <v>324</v>
      </c>
      <c r="V349" s="19">
        <v>0</v>
      </c>
      <c r="W349" s="19">
        <v>24</v>
      </c>
      <c r="X349" s="19">
        <f t="shared" si="93"/>
        <v>-1.3554071190488268</v>
      </c>
      <c r="Y349" s="19">
        <f t="shared" si="94"/>
        <v>-1.1905982103676284E-2</v>
      </c>
      <c r="Z349" s="19">
        <f t="shared" si="95"/>
        <v>-1.0840190917698398</v>
      </c>
      <c r="AA349" s="19">
        <f t="shared" si="96"/>
        <v>9.5265701026436306E-2</v>
      </c>
      <c r="AB349" s="19">
        <f t="shared" si="97"/>
        <v>9.6317250587975869E-2</v>
      </c>
      <c r="AC349" s="19">
        <f t="shared" si="98"/>
        <v>1.1829350961932905</v>
      </c>
      <c r="AD349" s="19">
        <f t="shared" si="99"/>
        <v>-0.17000656628127941</v>
      </c>
      <c r="AE349" s="19">
        <f t="shared" si="100"/>
        <v>0.45448009098600911</v>
      </c>
      <c r="AF349" s="19">
        <f t="shared" si="101"/>
        <v>0.60756971125835146</v>
      </c>
      <c r="AG349" s="19">
        <f t="shared" si="102"/>
        <v>0.63751527934556429</v>
      </c>
      <c r="AH349" s="19">
        <f t="shared" si="103"/>
        <v>0.23071302144182165</v>
      </c>
      <c r="AI349" s="19">
        <f t="shared" si="104"/>
        <v>1.0499085997091344</v>
      </c>
      <c r="AJ349" s="19">
        <f t="shared" si="105"/>
        <v>1.0516345558207594</v>
      </c>
      <c r="AK349" s="19">
        <f t="shared" si="106"/>
        <v>1.7185531349447802</v>
      </c>
      <c r="AL349" s="19">
        <f t="shared" si="107"/>
        <v>-0.40402566857224581</v>
      </c>
      <c r="BV349" s="16">
        <v>0</v>
      </c>
      <c r="BW349" s="18">
        <v>321</v>
      </c>
      <c r="BX349" s="48">
        <v>-2.4405895338350785</v>
      </c>
      <c r="BY349" s="48">
        <v>6.7093303692203676</v>
      </c>
      <c r="BZ349" s="18" t="e">
        <f t="shared" si="92"/>
        <v>#N/A</v>
      </c>
    </row>
    <row r="350" spans="1:78" x14ac:dyDescent="0.3">
      <c r="A350" s="19">
        <v>325</v>
      </c>
      <c r="B350" s="19">
        <v>0</v>
      </c>
      <c r="C350" s="19">
        <v>24</v>
      </c>
      <c r="D350" s="19">
        <v>24.153662799536001</v>
      </c>
      <c r="E350" s="22">
        <v>40235</v>
      </c>
      <c r="F350" s="22">
        <v>496</v>
      </c>
      <c r="G350" s="23">
        <v>21389</v>
      </c>
      <c r="H350" s="23">
        <v>18350</v>
      </c>
      <c r="I350" s="24">
        <v>9.1</v>
      </c>
      <c r="J350" s="24">
        <v>790.3</v>
      </c>
      <c r="K350" s="22">
        <v>18846</v>
      </c>
      <c r="L350" s="22">
        <v>77226</v>
      </c>
      <c r="M350" s="22">
        <v>26640</v>
      </c>
      <c r="N350" s="22">
        <v>12430</v>
      </c>
      <c r="O350" s="25">
        <v>4613.2299999999996</v>
      </c>
      <c r="P350" s="24">
        <v>111.1</v>
      </c>
      <c r="Q350" s="22">
        <v>26574</v>
      </c>
      <c r="R350" s="23">
        <v>0</v>
      </c>
      <c r="U350" s="19">
        <v>325</v>
      </c>
      <c r="V350" s="19">
        <v>0</v>
      </c>
      <c r="W350" s="19">
        <v>24</v>
      </c>
      <c r="X350" s="19">
        <f t="shared" si="93"/>
        <v>-1.0412091177773271</v>
      </c>
      <c r="Y350" s="19">
        <f t="shared" si="94"/>
        <v>0.1976807278975912</v>
      </c>
      <c r="Z350" s="19">
        <f t="shared" si="95"/>
        <v>-1.0537296751272518</v>
      </c>
      <c r="AA350" s="19">
        <f t="shared" si="96"/>
        <v>1.4242596809874835</v>
      </c>
      <c r="AB350" s="19">
        <f t="shared" si="97"/>
        <v>6.3816130360403678E-2</v>
      </c>
      <c r="AC350" s="19">
        <f t="shared" si="98"/>
        <v>-0.60153391162056602</v>
      </c>
      <c r="AD350" s="19">
        <f t="shared" si="99"/>
        <v>0.2671551245841739</v>
      </c>
      <c r="AE350" s="19">
        <f t="shared" si="100"/>
        <v>3.5037223906943388E-2</v>
      </c>
      <c r="AF350" s="19">
        <f t="shared" si="101"/>
        <v>0.19693457343191198</v>
      </c>
      <c r="AG350" s="19">
        <f t="shared" si="102"/>
        <v>0.2502675480149133</v>
      </c>
      <c r="AH350" s="19">
        <f t="shared" si="103"/>
        <v>5.8832844939989977E-2</v>
      </c>
      <c r="AI350" s="19">
        <f t="shared" si="104"/>
        <v>2.1909036909320383</v>
      </c>
      <c r="AJ350" s="19">
        <f t="shared" si="105"/>
        <v>2.1874476998184988</v>
      </c>
      <c r="AK350" s="19">
        <f t="shared" si="106"/>
        <v>0.15274876569223209</v>
      </c>
      <c r="AL350" s="19">
        <f t="shared" si="107"/>
        <v>-0.40402566857224581</v>
      </c>
      <c r="BV350" s="16">
        <v>0</v>
      </c>
      <c r="BW350" s="18">
        <v>322</v>
      </c>
      <c r="BX350" s="48">
        <v>-0.95352644963710564</v>
      </c>
      <c r="BY350" s="48">
        <v>1.2893368614368579</v>
      </c>
      <c r="BZ350" s="18" t="e">
        <f t="shared" ref="BZ350:BZ408" si="108">IF(BV350=1,BY350,NA())</f>
        <v>#N/A</v>
      </c>
    </row>
    <row r="351" spans="1:78" x14ac:dyDescent="0.3">
      <c r="A351" s="19">
        <v>326</v>
      </c>
      <c r="B351" s="19">
        <v>0</v>
      </c>
      <c r="C351" s="19">
        <v>24</v>
      </c>
      <c r="D351" s="19">
        <v>64.867001094580999</v>
      </c>
      <c r="E351" s="22">
        <v>73802</v>
      </c>
      <c r="F351" s="22">
        <v>1872</v>
      </c>
      <c r="G351" s="23">
        <v>27348</v>
      </c>
      <c r="H351" s="23">
        <v>44582</v>
      </c>
      <c r="I351" s="24">
        <v>8.5</v>
      </c>
      <c r="J351" s="24">
        <v>667.7</v>
      </c>
      <c r="K351" s="22">
        <v>34511</v>
      </c>
      <c r="L351" s="22">
        <v>139722</v>
      </c>
      <c r="M351" s="22">
        <v>53946</v>
      </c>
      <c r="N351" s="22">
        <v>26744</v>
      </c>
      <c r="O351" s="25">
        <v>3644.53</v>
      </c>
      <c r="P351" s="24">
        <v>87.8</v>
      </c>
      <c r="Q351" s="22">
        <v>75770</v>
      </c>
      <c r="R351" s="23">
        <v>0</v>
      </c>
      <c r="U351" s="19">
        <v>326</v>
      </c>
      <c r="V351" s="19">
        <v>0</v>
      </c>
      <c r="W351" s="19">
        <v>24</v>
      </c>
      <c r="X351" s="19">
        <f t="shared" si="93"/>
        <v>0.2186366905725545</v>
      </c>
      <c r="Y351" s="19">
        <f t="shared" si="94"/>
        <v>0.82672195595665288</v>
      </c>
      <c r="Z351" s="19">
        <f t="shared" si="95"/>
        <v>-0.80113429755027421</v>
      </c>
      <c r="AA351" s="19">
        <f t="shared" si="96"/>
        <v>2.0580712157284102</v>
      </c>
      <c r="AB351" s="19">
        <f t="shared" si="97"/>
        <v>0.6414376654618088</v>
      </c>
      <c r="AC351" s="19">
        <f t="shared" si="98"/>
        <v>-0.71543618871506742</v>
      </c>
      <c r="AD351" s="19">
        <f t="shared" si="99"/>
        <v>0.17368455726623783</v>
      </c>
      <c r="AE351" s="19">
        <f t="shared" si="100"/>
        <v>0.838187512721705</v>
      </c>
      <c r="AF351" s="19">
        <f t="shared" si="101"/>
        <v>1.0721495510460297</v>
      </c>
      <c r="AG351" s="19">
        <f t="shared" si="102"/>
        <v>1.2529402724331531</v>
      </c>
      <c r="AH351" s="19">
        <f t="shared" si="103"/>
        <v>0.65196033926188457</v>
      </c>
      <c r="AI351" s="19">
        <f t="shared" si="104"/>
        <v>0.22738919506657601</v>
      </c>
      <c r="AJ351" s="19">
        <f t="shared" si="105"/>
        <v>0.22711834758536337</v>
      </c>
      <c r="AK351" s="19">
        <f t="shared" si="106"/>
        <v>1.2557329400038397</v>
      </c>
      <c r="AL351" s="19">
        <f t="shared" si="107"/>
        <v>-0.40402566857224581</v>
      </c>
      <c r="BV351" s="16">
        <v>0</v>
      </c>
      <c r="BW351" s="18">
        <v>323</v>
      </c>
      <c r="BX351" s="48">
        <v>-3.2492333040617756</v>
      </c>
      <c r="BY351" s="48">
        <v>1.6278305626175607</v>
      </c>
      <c r="BZ351" s="18" t="e">
        <f t="shared" si="108"/>
        <v>#N/A</v>
      </c>
    </row>
    <row r="352" spans="1:78" x14ac:dyDescent="0.3">
      <c r="A352" s="19">
        <v>327</v>
      </c>
      <c r="B352" s="19">
        <v>0</v>
      </c>
      <c r="C352" s="19">
        <v>24</v>
      </c>
      <c r="D352" s="19">
        <v>28.633746385959199</v>
      </c>
      <c r="E352" s="22">
        <v>80909</v>
      </c>
      <c r="F352" s="22">
        <v>655</v>
      </c>
      <c r="G352" s="23">
        <v>32105</v>
      </c>
      <c r="H352" s="23">
        <v>48149</v>
      </c>
      <c r="I352" s="24">
        <v>5.5</v>
      </c>
      <c r="J352" s="24">
        <v>2343.8000000000002</v>
      </c>
      <c r="K352" s="22">
        <v>28894</v>
      </c>
      <c r="L352" s="22">
        <v>114133</v>
      </c>
      <c r="M352" s="22">
        <v>40365</v>
      </c>
      <c r="N352" s="22">
        <v>24065</v>
      </c>
      <c r="O352" s="25">
        <v>4726.43</v>
      </c>
      <c r="P352" s="24">
        <v>113.9</v>
      </c>
      <c r="Q352" s="22">
        <v>92558</v>
      </c>
      <c r="R352" s="23">
        <v>0</v>
      </c>
      <c r="U352" s="19">
        <v>327</v>
      </c>
      <c r="V352" s="19">
        <v>0</v>
      </c>
      <c r="W352" s="19">
        <v>24</v>
      </c>
      <c r="X352" s="19">
        <f t="shared" si="93"/>
        <v>-0.90257606129570467</v>
      </c>
      <c r="Y352" s="19">
        <f t="shared" si="94"/>
        <v>0.95990621453846692</v>
      </c>
      <c r="Z352" s="19">
        <f t="shared" si="95"/>
        <v>-1.0245416918171213</v>
      </c>
      <c r="AA352" s="19">
        <f t="shared" si="96"/>
        <v>2.5640355504762855</v>
      </c>
      <c r="AB352" s="19">
        <f t="shared" si="97"/>
        <v>0.71998203934510829</v>
      </c>
      <c r="AC352" s="19">
        <f t="shared" si="98"/>
        <v>-1.2849475741875747</v>
      </c>
      <c r="AD352" s="19">
        <f t="shared" si="99"/>
        <v>1.451547672124254</v>
      </c>
      <c r="AE352" s="19">
        <f t="shared" si="100"/>
        <v>0.55020186495454793</v>
      </c>
      <c r="AF352" s="19">
        <f t="shared" si="101"/>
        <v>0.71379259920642946</v>
      </c>
      <c r="AG352" s="19">
        <f t="shared" si="102"/>
        <v>0.75424774074326384</v>
      </c>
      <c r="AH352" s="19">
        <f t="shared" si="103"/>
        <v>0.54095093886448653</v>
      </c>
      <c r="AI352" s="19">
        <f t="shared" si="104"/>
        <v>2.4203553694000592</v>
      </c>
      <c r="AJ352" s="19">
        <f t="shared" si="105"/>
        <v>2.4230237593143276</v>
      </c>
      <c r="AK352" s="19">
        <f t="shared" si="106"/>
        <v>1.6321232627606341</v>
      </c>
      <c r="AL352" s="19">
        <f t="shared" si="107"/>
        <v>-0.40402566857224581</v>
      </c>
      <c r="BV352" s="16">
        <v>0</v>
      </c>
      <c r="BW352" s="18">
        <v>324</v>
      </c>
      <c r="BX352" s="48">
        <v>-1.5182750546774748</v>
      </c>
      <c r="BY352" s="48">
        <v>1.1975402210688508</v>
      </c>
      <c r="BZ352" s="18" t="e">
        <f t="shared" si="108"/>
        <v>#N/A</v>
      </c>
    </row>
    <row r="353" spans="1:78" x14ac:dyDescent="0.3">
      <c r="A353" s="19">
        <v>328</v>
      </c>
      <c r="B353" s="19">
        <v>0</v>
      </c>
      <c r="C353" s="19">
        <v>24</v>
      </c>
      <c r="D353" s="19">
        <v>17.469251539500799</v>
      </c>
      <c r="E353" s="22">
        <v>11343</v>
      </c>
      <c r="F353" s="22">
        <v>164</v>
      </c>
      <c r="G353" s="23">
        <v>4185</v>
      </c>
      <c r="H353" s="23">
        <v>6994</v>
      </c>
      <c r="I353" s="24">
        <v>12.2</v>
      </c>
      <c r="J353" s="24">
        <v>87.6</v>
      </c>
      <c r="K353" s="22">
        <v>9178</v>
      </c>
      <c r="L353" s="22">
        <v>35388</v>
      </c>
      <c r="M353" s="22">
        <v>11808</v>
      </c>
      <c r="N353" s="22">
        <v>4327</v>
      </c>
      <c r="O353" s="25">
        <v>3958.91</v>
      </c>
      <c r="P353" s="24">
        <v>95.4</v>
      </c>
      <c r="Q353" s="22">
        <v>42818</v>
      </c>
      <c r="R353" s="23">
        <v>0</v>
      </c>
      <c r="U353" s="19">
        <v>328</v>
      </c>
      <c r="V353" s="19">
        <v>0</v>
      </c>
      <c r="W353" s="19">
        <v>24</v>
      </c>
      <c r="X353" s="19">
        <f t="shared" si="93"/>
        <v>-1.248053554021137</v>
      </c>
      <c r="Y353" s="19">
        <f t="shared" si="94"/>
        <v>-0.3437516062723498</v>
      </c>
      <c r="Z353" s="19">
        <f t="shared" si="95"/>
        <v>-1.1146756528565807</v>
      </c>
      <c r="AA353" s="19">
        <f t="shared" si="96"/>
        <v>-0.4055932546867746</v>
      </c>
      <c r="AB353" s="19">
        <f t="shared" si="97"/>
        <v>-0.18623991388370872</v>
      </c>
      <c r="AC353" s="19">
        <f t="shared" si="98"/>
        <v>-1.3038813298975131E-2</v>
      </c>
      <c r="AD353" s="19">
        <f t="shared" si="99"/>
        <v>-0.26858523148690044</v>
      </c>
      <c r="AE353" s="19">
        <f t="shared" si="100"/>
        <v>-0.46064467792906783</v>
      </c>
      <c r="AF353" s="19">
        <f t="shared" si="101"/>
        <v>-0.3889788327607957</v>
      </c>
      <c r="AG353" s="19">
        <f t="shared" si="102"/>
        <v>-0.29436153894660916</v>
      </c>
      <c r="AH353" s="19">
        <f t="shared" si="103"/>
        <v>-0.27693019030454763</v>
      </c>
      <c r="AI353" s="19">
        <f t="shared" si="104"/>
        <v>0.86462434238791774</v>
      </c>
      <c r="AJ353" s="19">
        <f t="shared" si="105"/>
        <v>0.86653908050261008</v>
      </c>
      <c r="AK353" s="19">
        <f t="shared" si="106"/>
        <v>0.51694249948192539</v>
      </c>
      <c r="AL353" s="19">
        <f t="shared" si="107"/>
        <v>-0.40402566857224581</v>
      </c>
      <c r="BV353" s="16">
        <v>0</v>
      </c>
      <c r="BW353" s="18">
        <v>325</v>
      </c>
      <c r="BX353" s="48">
        <v>-1.8016880559513047</v>
      </c>
      <c r="BY353" s="48">
        <v>3.0960055874172747</v>
      </c>
      <c r="BZ353" s="18" t="e">
        <f t="shared" si="108"/>
        <v>#N/A</v>
      </c>
    </row>
    <row r="354" spans="1:78" x14ac:dyDescent="0.3">
      <c r="A354" s="19">
        <v>329</v>
      </c>
      <c r="B354" s="19">
        <v>1</v>
      </c>
      <c r="C354" s="19">
        <v>24</v>
      </c>
      <c r="D354" s="19">
        <v>0</v>
      </c>
      <c r="E354" s="22">
        <v>163729</v>
      </c>
      <c r="F354" s="22">
        <v>598</v>
      </c>
      <c r="G354" s="23">
        <v>34752</v>
      </c>
      <c r="H354" s="23">
        <v>128379</v>
      </c>
      <c r="I354" s="24">
        <v>3.8</v>
      </c>
      <c r="J354" s="24">
        <v>1922.5</v>
      </c>
      <c r="K354" s="22">
        <v>43062</v>
      </c>
      <c r="L354" s="22">
        <v>185081</v>
      </c>
      <c r="M354" s="22">
        <v>71767</v>
      </c>
      <c r="N354" s="22">
        <v>46547</v>
      </c>
      <c r="O354" s="25">
        <v>5262.02</v>
      </c>
      <c r="P354" s="24">
        <v>126.8</v>
      </c>
      <c r="Q354" s="22">
        <v>94649</v>
      </c>
      <c r="R354" s="23">
        <v>0</v>
      </c>
      <c r="U354" s="19">
        <v>329</v>
      </c>
      <c r="V354" s="19">
        <v>1</v>
      </c>
      <c r="W354" s="19">
        <v>24</v>
      </c>
      <c r="X354" s="19">
        <f t="shared" si="93"/>
        <v>-1.7886273376680637</v>
      </c>
      <c r="Y354" s="19">
        <f t="shared" si="94"/>
        <v>2.5119422769763222</v>
      </c>
      <c r="Z354" s="19">
        <f t="shared" si="95"/>
        <v>-1.03500530847547</v>
      </c>
      <c r="AA354" s="19">
        <f t="shared" si="96"/>
        <v>2.8455759318253762</v>
      </c>
      <c r="AB354" s="19">
        <f t="shared" si="97"/>
        <v>2.4866249091676811</v>
      </c>
      <c r="AC354" s="19">
        <f t="shared" si="98"/>
        <v>-1.6076706926219957</v>
      </c>
      <c r="AD354" s="19">
        <f t="shared" si="99"/>
        <v>1.1303474273359464</v>
      </c>
      <c r="AE354" s="19">
        <f t="shared" si="100"/>
        <v>1.276600415348901</v>
      </c>
      <c r="AF354" s="19">
        <f t="shared" si="101"/>
        <v>1.7073722240106797</v>
      </c>
      <c r="AG354" s="19">
        <f t="shared" si="102"/>
        <v>1.9073250458110718</v>
      </c>
      <c r="AH354" s="19">
        <f t="shared" si="103"/>
        <v>1.4725348656036812</v>
      </c>
      <c r="AI354" s="19">
        <f t="shared" si="104"/>
        <v>3.5059739601305062</v>
      </c>
      <c r="AJ354" s="19">
        <f t="shared" si="105"/>
        <v>3.5083563191343892</v>
      </c>
      <c r="AK354" s="19">
        <f t="shared" si="106"/>
        <v>1.6790039016029297</v>
      </c>
      <c r="AL354" s="19">
        <f t="shared" si="107"/>
        <v>-0.40402566857224581</v>
      </c>
      <c r="BV354" s="16">
        <v>0</v>
      </c>
      <c r="BW354" s="18">
        <v>326</v>
      </c>
      <c r="BX354" s="48">
        <v>-2.966970382303717</v>
      </c>
      <c r="BY354" s="48">
        <v>7.4613394376869938E-2</v>
      </c>
      <c r="BZ354" s="18" t="e">
        <f t="shared" si="108"/>
        <v>#N/A</v>
      </c>
    </row>
    <row r="355" spans="1:78" x14ac:dyDescent="0.3">
      <c r="A355" s="19">
        <v>330</v>
      </c>
      <c r="B355" s="19">
        <v>0</v>
      </c>
      <c r="C355" s="19">
        <v>24</v>
      </c>
      <c r="D355" s="19">
        <v>20.5917808795509</v>
      </c>
      <c r="E355" s="22">
        <v>21230</v>
      </c>
      <c r="F355" s="22">
        <v>337</v>
      </c>
      <c r="G355" s="23">
        <v>9781</v>
      </c>
      <c r="H355" s="23">
        <v>11112</v>
      </c>
      <c r="I355" s="24">
        <v>6.9</v>
      </c>
      <c r="J355" s="24">
        <v>1227.0999999999999</v>
      </c>
      <c r="K355" s="22">
        <v>14819</v>
      </c>
      <c r="L355" s="22">
        <v>59410</v>
      </c>
      <c r="M355" s="22">
        <v>18618</v>
      </c>
      <c r="N355" s="22">
        <v>8337</v>
      </c>
      <c r="O355" s="25">
        <v>5333.82</v>
      </c>
      <c r="P355" s="24">
        <v>128.5</v>
      </c>
      <c r="Q355" s="22">
        <v>46352</v>
      </c>
      <c r="R355" s="23">
        <v>0</v>
      </c>
      <c r="U355" s="19">
        <v>330</v>
      </c>
      <c r="V355" s="19">
        <v>0</v>
      </c>
      <c r="W355" s="19">
        <v>24</v>
      </c>
      <c r="X355" s="19">
        <f t="shared" si="93"/>
        <v>-1.1514290652110306</v>
      </c>
      <c r="Y355" s="19">
        <f t="shared" si="94"/>
        <v>-0.15847050811582875</v>
      </c>
      <c r="Z355" s="19">
        <f t="shared" si="95"/>
        <v>-1.0829176584373821</v>
      </c>
      <c r="AA355" s="19">
        <f t="shared" si="96"/>
        <v>0.18960885110450343</v>
      </c>
      <c r="AB355" s="19">
        <f t="shared" si="97"/>
        <v>-9.5562669237948344E-2</v>
      </c>
      <c r="AC355" s="19">
        <f t="shared" si="98"/>
        <v>-1.0191755943004046</v>
      </c>
      <c r="AD355" s="19">
        <f t="shared" si="99"/>
        <v>0.60017261075443895</v>
      </c>
      <c r="AE355" s="19">
        <f t="shared" si="100"/>
        <v>-0.17142854136959954</v>
      </c>
      <c r="AF355" s="19">
        <f t="shared" si="101"/>
        <v>-5.2566675306777257E-2</v>
      </c>
      <c r="AG355" s="19">
        <f t="shared" si="102"/>
        <v>-4.4299235669372904E-2</v>
      </c>
      <c r="AH355" s="19">
        <f t="shared" si="103"/>
        <v>-0.11076830318488877</v>
      </c>
      <c r="AI355" s="19">
        <f t="shared" si="104"/>
        <v>3.651509565377888</v>
      </c>
      <c r="AJ355" s="19">
        <f t="shared" si="105"/>
        <v>3.6513846409711417</v>
      </c>
      <c r="AK355" s="19">
        <f t="shared" si="106"/>
        <v>0.59617548736746939</v>
      </c>
      <c r="AL355" s="19">
        <f t="shared" si="107"/>
        <v>-0.40402566857224581</v>
      </c>
      <c r="BV355" s="16">
        <v>0</v>
      </c>
      <c r="BW355" s="18">
        <v>327</v>
      </c>
      <c r="BX355" s="48">
        <v>-4.2472030998837784</v>
      </c>
      <c r="BY355" s="48">
        <v>3.0270384930120859</v>
      </c>
      <c r="BZ355" s="18" t="e">
        <f t="shared" si="108"/>
        <v>#N/A</v>
      </c>
    </row>
    <row r="356" spans="1:78" x14ac:dyDescent="0.3">
      <c r="A356" s="19">
        <v>331</v>
      </c>
      <c r="B356" s="19">
        <v>0</v>
      </c>
      <c r="C356" s="19">
        <v>24</v>
      </c>
      <c r="D356" s="19">
        <v>11.4893995629093</v>
      </c>
      <c r="E356" s="22">
        <v>19831</v>
      </c>
      <c r="F356" s="22">
        <v>361</v>
      </c>
      <c r="G356" s="23">
        <v>10543</v>
      </c>
      <c r="H356" s="23">
        <v>8927</v>
      </c>
      <c r="I356" s="24">
        <v>7.9</v>
      </c>
      <c r="J356" s="24">
        <v>349.1</v>
      </c>
      <c r="K356" s="22">
        <v>13020</v>
      </c>
      <c r="L356" s="22">
        <v>47876</v>
      </c>
      <c r="M356" s="22">
        <v>13955</v>
      </c>
      <c r="N356" s="22">
        <v>7176</v>
      </c>
      <c r="O356" s="25">
        <v>3787.8</v>
      </c>
      <c r="P356" s="24">
        <v>91.3</v>
      </c>
      <c r="Q356" s="22">
        <v>22378</v>
      </c>
      <c r="R356" s="23">
        <v>0</v>
      </c>
      <c r="U356" s="19">
        <v>331</v>
      </c>
      <c r="V356" s="19">
        <v>0</v>
      </c>
      <c r="W356" s="19">
        <v>24</v>
      </c>
      <c r="X356" s="19">
        <f t="shared" si="93"/>
        <v>-1.4330958954932544</v>
      </c>
      <c r="Y356" s="19">
        <f t="shared" si="94"/>
        <v>-0.18468758673633778</v>
      </c>
      <c r="Z356" s="19">
        <f t="shared" si="95"/>
        <v>-1.0785119251075512</v>
      </c>
      <c r="AA356" s="19">
        <f t="shared" si="96"/>
        <v>0.27065674327979899</v>
      </c>
      <c r="AB356" s="19">
        <f t="shared" si="97"/>
        <v>-0.14367577743391396</v>
      </c>
      <c r="AC356" s="19">
        <f t="shared" si="98"/>
        <v>-0.82933846580956883</v>
      </c>
      <c r="AD356" s="19">
        <f t="shared" si="99"/>
        <v>-6.9216933333227551E-2</v>
      </c>
      <c r="AE356" s="19">
        <f t="shared" si="100"/>
        <v>-0.26366393042659003</v>
      </c>
      <c r="AF356" s="19">
        <f t="shared" si="101"/>
        <v>-0.21409268580026861</v>
      </c>
      <c r="AG356" s="19">
        <f t="shared" si="102"/>
        <v>-0.21552398165788283</v>
      </c>
      <c r="AH356" s="19">
        <f t="shared" si="103"/>
        <v>-0.15887652037838601</v>
      </c>
      <c r="AI356" s="19">
        <f t="shared" si="104"/>
        <v>0.51779150932552609</v>
      </c>
      <c r="AJ356" s="19">
        <f t="shared" si="105"/>
        <v>0.52158842195514776</v>
      </c>
      <c r="AK356" s="19">
        <f t="shared" si="106"/>
        <v>5.8673605203340605E-2</v>
      </c>
      <c r="AL356" s="19">
        <f t="shared" si="107"/>
        <v>-0.40402566857224581</v>
      </c>
      <c r="BV356" s="16">
        <v>0</v>
      </c>
      <c r="BW356" s="18">
        <v>328</v>
      </c>
      <c r="BX356" s="48">
        <v>0.24048239044571187</v>
      </c>
      <c r="BY356" s="48">
        <v>1.8318027506717365</v>
      </c>
      <c r="BZ356" s="18" t="e">
        <f t="shared" si="108"/>
        <v>#N/A</v>
      </c>
    </row>
    <row r="357" spans="1:78" x14ac:dyDescent="0.3">
      <c r="A357" s="19">
        <v>332</v>
      </c>
      <c r="B357" s="19">
        <v>0</v>
      </c>
      <c r="C357" s="19">
        <v>24</v>
      </c>
      <c r="D357" s="19">
        <v>35.900956214977299</v>
      </c>
      <c r="E357" s="22">
        <v>40327</v>
      </c>
      <c r="F357" s="22">
        <v>656</v>
      </c>
      <c r="G357" s="23">
        <v>17865</v>
      </c>
      <c r="H357" s="23">
        <v>21806</v>
      </c>
      <c r="I357" s="24">
        <v>6.9</v>
      </c>
      <c r="J357" s="24">
        <v>1093.4000000000001</v>
      </c>
      <c r="K357" s="22">
        <v>25002</v>
      </c>
      <c r="L357" s="22">
        <v>88267</v>
      </c>
      <c r="M357" s="22">
        <v>26326</v>
      </c>
      <c r="N357" s="22">
        <v>13735</v>
      </c>
      <c r="O357" s="25">
        <v>3762.4</v>
      </c>
      <c r="P357" s="24">
        <v>90.6</v>
      </c>
      <c r="Q357" s="22">
        <v>43962</v>
      </c>
      <c r="R357" s="23">
        <v>0</v>
      </c>
      <c r="U357" s="19">
        <v>332</v>
      </c>
      <c r="V357" s="19">
        <v>0</v>
      </c>
      <c r="W357" s="19">
        <v>24</v>
      </c>
      <c r="X357" s="19">
        <f t="shared" si="93"/>
        <v>-0.67769733051862691</v>
      </c>
      <c r="Y357" s="19">
        <f t="shared" si="94"/>
        <v>0.1994047959698477</v>
      </c>
      <c r="Z357" s="19">
        <f t="shared" si="95"/>
        <v>-1.0243581195950451</v>
      </c>
      <c r="AA357" s="19">
        <f t="shared" si="96"/>
        <v>1.0494397701925471</v>
      </c>
      <c r="AB357" s="19">
        <f t="shared" si="97"/>
        <v>0.13991631430788981</v>
      </c>
      <c r="AC357" s="19">
        <f t="shared" si="98"/>
        <v>-1.0191755943004046</v>
      </c>
      <c r="AD357" s="19">
        <f t="shared" si="99"/>
        <v>0.49823937380168171</v>
      </c>
      <c r="AE357" s="19">
        <f t="shared" si="100"/>
        <v>0.35065759913475525</v>
      </c>
      <c r="AF357" s="19">
        <f t="shared" si="101"/>
        <v>0.35155644631717625</v>
      </c>
      <c r="AG357" s="19">
        <f t="shared" si="102"/>
        <v>0.23873750936160168</v>
      </c>
      <c r="AH357" s="19">
        <f t="shared" si="103"/>
        <v>0.11290797279314579</v>
      </c>
      <c r="AI357" s="19">
        <f t="shared" si="104"/>
        <v>0.46630676875054627</v>
      </c>
      <c r="AJ357" s="19">
        <f t="shared" si="105"/>
        <v>0.46269440708119064</v>
      </c>
      <c r="AK357" s="19">
        <f t="shared" si="106"/>
        <v>0.54259120863332955</v>
      </c>
      <c r="AL357" s="19">
        <f t="shared" si="107"/>
        <v>-0.40402566857224581</v>
      </c>
      <c r="BV357" s="16">
        <v>1</v>
      </c>
      <c r="BW357" s="18">
        <v>329</v>
      </c>
      <c r="BX357" s="48">
        <v>-7.0461619761813568</v>
      </c>
      <c r="BY357" s="48">
        <v>3.6358860760421923</v>
      </c>
      <c r="BZ357" s="18">
        <f t="shared" si="108"/>
        <v>3.6358860760421923</v>
      </c>
    </row>
    <row r="358" spans="1:78" x14ac:dyDescent="0.3">
      <c r="A358" s="19">
        <v>333</v>
      </c>
      <c r="B358" s="19">
        <v>0</v>
      </c>
      <c r="C358" s="19">
        <v>32</v>
      </c>
      <c r="D358" s="19">
        <v>65.613174323045101</v>
      </c>
      <c r="E358" s="22">
        <v>9934</v>
      </c>
      <c r="F358" s="22">
        <v>2094</v>
      </c>
      <c r="G358" s="23">
        <v>2957</v>
      </c>
      <c r="H358" s="23">
        <v>4883</v>
      </c>
      <c r="I358" s="24">
        <v>14.8</v>
      </c>
      <c r="J358" s="24">
        <v>173.9</v>
      </c>
      <c r="K358" s="22">
        <v>9916</v>
      </c>
      <c r="L358" s="22">
        <v>34435</v>
      </c>
      <c r="M358" s="22">
        <v>9856</v>
      </c>
      <c r="N358" s="22">
        <v>5756</v>
      </c>
      <c r="O358" s="25">
        <v>3447.21</v>
      </c>
      <c r="P358" s="24">
        <v>83</v>
      </c>
      <c r="Q358" s="22">
        <v>5455</v>
      </c>
      <c r="R358" s="23">
        <v>120</v>
      </c>
      <c r="U358" s="19">
        <v>333</v>
      </c>
      <c r="V358" s="19">
        <v>0</v>
      </c>
      <c r="W358" s="19">
        <v>32</v>
      </c>
      <c r="X358" s="19">
        <f t="shared" si="93"/>
        <v>0.24172649979848593</v>
      </c>
      <c r="Y358" s="19">
        <f t="shared" si="94"/>
        <v>-0.37015608359636498</v>
      </c>
      <c r="Z358" s="19">
        <f t="shared" si="95"/>
        <v>-0.76038126424933739</v>
      </c>
      <c r="AA358" s="19">
        <f t="shared" si="96"/>
        <v>-0.53620586832360262</v>
      </c>
      <c r="AB358" s="19">
        <f t="shared" si="97"/>
        <v>-0.23272356212246545</v>
      </c>
      <c r="AC358" s="19">
        <f t="shared" si="98"/>
        <v>0.4805377207771982</v>
      </c>
      <c r="AD358" s="19">
        <f t="shared" si="99"/>
        <v>-0.20278988108283941</v>
      </c>
      <c r="AE358" s="19">
        <f t="shared" si="100"/>
        <v>-0.4228071475654997</v>
      </c>
      <c r="AF358" s="19">
        <f t="shared" si="101"/>
        <v>-0.40232496489191216</v>
      </c>
      <c r="AG358" s="19">
        <f t="shared" si="102"/>
        <v>-0.36603872191241899</v>
      </c>
      <c r="AH358" s="19">
        <f t="shared" si="103"/>
        <v>-0.21771688938335251</v>
      </c>
      <c r="AI358" s="19">
        <f t="shared" si="104"/>
        <v>-0.17257021478598264</v>
      </c>
      <c r="AJ358" s="19">
        <f t="shared" si="105"/>
        <v>-0.17672632583605494</v>
      </c>
      <c r="AK358" s="19">
        <f t="shared" si="106"/>
        <v>-0.32074344459492216</v>
      </c>
      <c r="AL358" s="19">
        <f t="shared" si="107"/>
        <v>-0.33834027526039545</v>
      </c>
      <c r="BV358" s="16">
        <v>0</v>
      </c>
      <c r="BW358" s="18">
        <v>330</v>
      </c>
      <c r="BX358" s="48">
        <v>-1.7839315065435732</v>
      </c>
      <c r="BY358" s="48">
        <v>4.9886694455824934</v>
      </c>
      <c r="BZ358" s="18" t="e">
        <f t="shared" si="108"/>
        <v>#N/A</v>
      </c>
    </row>
    <row r="359" spans="1:78" x14ac:dyDescent="0.3">
      <c r="A359" s="19">
        <v>334</v>
      </c>
      <c r="B359" s="19">
        <v>0</v>
      </c>
      <c r="C359" s="19">
        <v>32</v>
      </c>
      <c r="D359" s="19">
        <v>17.500770621893398</v>
      </c>
      <c r="E359" s="22">
        <v>22280</v>
      </c>
      <c r="F359" s="22">
        <v>4081</v>
      </c>
      <c r="G359" s="23">
        <v>7392</v>
      </c>
      <c r="H359" s="23">
        <v>10807</v>
      </c>
      <c r="I359" s="24">
        <v>14.4</v>
      </c>
      <c r="J359" s="24">
        <v>239.9</v>
      </c>
      <c r="K359" s="22">
        <v>21550</v>
      </c>
      <c r="L359" s="22">
        <v>76600</v>
      </c>
      <c r="M359" s="22">
        <v>22272</v>
      </c>
      <c r="N359" s="22">
        <v>12294</v>
      </c>
      <c r="O359" s="25">
        <v>3523.62</v>
      </c>
      <c r="P359" s="24">
        <v>84.9</v>
      </c>
      <c r="Q359" s="22">
        <v>17135</v>
      </c>
      <c r="R359" s="23">
        <v>751</v>
      </c>
      <c r="U359" s="19">
        <v>334</v>
      </c>
      <c r="V359" s="19">
        <v>0</v>
      </c>
      <c r="W359" s="19">
        <v>32</v>
      </c>
      <c r="X359" s="19">
        <f t="shared" si="93"/>
        <v>-1.2470782180379367</v>
      </c>
      <c r="Y359" s="19">
        <f t="shared" si="94"/>
        <v>-0.13879364424768398</v>
      </c>
      <c r="Z359" s="19">
        <f t="shared" si="95"/>
        <v>-0.39562325898374556</v>
      </c>
      <c r="AA359" s="19">
        <f t="shared" si="96"/>
        <v>-6.4490117933266991E-2</v>
      </c>
      <c r="AB359" s="19">
        <f t="shared" si="97"/>
        <v>-0.1022786866291472</v>
      </c>
      <c r="AC359" s="19">
        <f t="shared" si="98"/>
        <v>0.40460286938086382</v>
      </c>
      <c r="AD359" s="19">
        <f t="shared" si="99"/>
        <v>-0.15247130487579383</v>
      </c>
      <c r="AE359" s="19">
        <f t="shared" si="100"/>
        <v>0.17367229450733376</v>
      </c>
      <c r="AF359" s="19">
        <f t="shared" si="101"/>
        <v>0.18816785914641471</v>
      </c>
      <c r="AG359" s="19">
        <f t="shared" si="102"/>
        <v>8.9875163181584686E-2</v>
      </c>
      <c r="AH359" s="19">
        <f t="shared" si="103"/>
        <v>5.31974293169791E-2</v>
      </c>
      <c r="AI359" s="19">
        <f t="shared" si="104"/>
        <v>-1.7690331820069797E-2</v>
      </c>
      <c r="AJ359" s="19">
        <f t="shared" si="105"/>
        <v>-1.687114260674295E-2</v>
      </c>
      <c r="AK359" s="19">
        <f t="shared" si="106"/>
        <v>-5.8875505007159393E-2</v>
      </c>
      <c r="AL359" s="19">
        <f t="shared" si="107"/>
        <v>7.0554179044176185E-3</v>
      </c>
      <c r="BV359" s="16">
        <v>0</v>
      </c>
      <c r="BW359" s="18">
        <v>331</v>
      </c>
      <c r="BX359" s="48">
        <v>-0.12767603061084765</v>
      </c>
      <c r="BY359" s="48">
        <v>1.6170500341657583</v>
      </c>
      <c r="BZ359" s="18" t="e">
        <f t="shared" si="108"/>
        <v>#N/A</v>
      </c>
    </row>
    <row r="360" spans="1:78" x14ac:dyDescent="0.3">
      <c r="A360" s="19">
        <v>335</v>
      </c>
      <c r="B360" s="19">
        <v>0</v>
      </c>
      <c r="C360" s="19">
        <v>2</v>
      </c>
      <c r="D360" s="19">
        <v>78.252031784281002</v>
      </c>
      <c r="E360" s="22">
        <v>8670</v>
      </c>
      <c r="F360" s="22">
        <v>2804</v>
      </c>
      <c r="G360" s="23">
        <v>2212</v>
      </c>
      <c r="H360" s="23">
        <v>3654</v>
      </c>
      <c r="I360" s="24">
        <v>21.2</v>
      </c>
      <c r="J360" s="24">
        <v>70.8</v>
      </c>
      <c r="K360" s="22">
        <v>7600</v>
      </c>
      <c r="L360" s="22">
        <v>28956</v>
      </c>
      <c r="M360" s="22">
        <v>8042</v>
      </c>
      <c r="N360" s="22">
        <v>4689</v>
      </c>
      <c r="O360" s="25">
        <v>3826.13</v>
      </c>
      <c r="P360" s="24">
        <v>92.2</v>
      </c>
      <c r="Q360" s="22">
        <v>14186</v>
      </c>
      <c r="R360" s="23">
        <v>69</v>
      </c>
      <c r="U360" s="19">
        <v>335</v>
      </c>
      <c r="V360" s="19">
        <v>0</v>
      </c>
      <c r="W360" s="19">
        <v>2</v>
      </c>
      <c r="X360" s="19">
        <f t="shared" si="93"/>
        <v>0.63282711354519949</v>
      </c>
      <c r="Y360" s="19">
        <f t="shared" si="94"/>
        <v>-0.39384327971954114</v>
      </c>
      <c r="Z360" s="19">
        <f t="shared" si="95"/>
        <v>-0.63004498657517027</v>
      </c>
      <c r="AA360" s="19">
        <f t="shared" si="96"/>
        <v>-0.61544560542412119</v>
      </c>
      <c r="AB360" s="19">
        <f t="shared" si="97"/>
        <v>-0.25978580924962413</v>
      </c>
      <c r="AC360" s="19">
        <f t="shared" si="98"/>
        <v>1.6954953431185469</v>
      </c>
      <c r="AD360" s="19">
        <f t="shared" si="99"/>
        <v>-0.28139359633960298</v>
      </c>
      <c r="AE360" s="19">
        <f t="shared" si="100"/>
        <v>-0.54154931602352641</v>
      </c>
      <c r="AF360" s="19">
        <f t="shared" si="101"/>
        <v>-0.47905472139389232</v>
      </c>
      <c r="AG360" s="19">
        <f t="shared" si="102"/>
        <v>-0.43264856304970334</v>
      </c>
      <c r="AH360" s="19">
        <f t="shared" si="103"/>
        <v>-0.26193003989623931</v>
      </c>
      <c r="AI360" s="19">
        <f t="shared" si="104"/>
        <v>0.5954848205947767</v>
      </c>
      <c r="AJ360" s="19">
        <f t="shared" si="105"/>
        <v>0.59730929822166423</v>
      </c>
      <c r="AK360" s="19">
        <f t="shared" si="106"/>
        <v>-0.12499267571300805</v>
      </c>
      <c r="AL360" s="19">
        <f t="shared" si="107"/>
        <v>-0.36625656741793183</v>
      </c>
      <c r="BV360" s="16">
        <v>0</v>
      </c>
      <c r="BW360" s="18">
        <v>332</v>
      </c>
      <c r="BX360" s="48">
        <v>-1.4731884335903289</v>
      </c>
      <c r="BY360" s="48">
        <v>1.10007073801816</v>
      </c>
      <c r="BZ360" s="18" t="e">
        <f t="shared" si="108"/>
        <v>#N/A</v>
      </c>
    </row>
    <row r="361" spans="1:78" x14ac:dyDescent="0.3">
      <c r="A361" s="19">
        <v>336</v>
      </c>
      <c r="B361" s="19">
        <v>0</v>
      </c>
      <c r="C361" s="19">
        <v>2</v>
      </c>
      <c r="D361" s="19">
        <v>64.601111485909996</v>
      </c>
      <c r="E361" s="22">
        <v>33684</v>
      </c>
      <c r="F361" s="22">
        <v>338</v>
      </c>
      <c r="G361" s="23">
        <v>11260</v>
      </c>
      <c r="H361" s="23">
        <v>22086</v>
      </c>
      <c r="I361" s="24">
        <v>7.1</v>
      </c>
      <c r="J361" s="24">
        <v>446.8</v>
      </c>
      <c r="K361" s="22">
        <v>16325</v>
      </c>
      <c r="L361" s="22">
        <v>62999</v>
      </c>
      <c r="M361" s="22">
        <v>21562</v>
      </c>
      <c r="N361" s="22">
        <v>13714</v>
      </c>
      <c r="O361" s="25">
        <v>3582.11</v>
      </c>
      <c r="P361" s="24">
        <v>86.3</v>
      </c>
      <c r="Q361" s="22">
        <v>101191</v>
      </c>
      <c r="R361" s="23">
        <v>0</v>
      </c>
      <c r="U361" s="19">
        <v>336</v>
      </c>
      <c r="V361" s="19">
        <v>0</v>
      </c>
      <c r="W361" s="19">
        <v>2</v>
      </c>
      <c r="X361" s="19">
        <f t="shared" si="93"/>
        <v>0.21040892240133768</v>
      </c>
      <c r="Y361" s="19">
        <f t="shared" si="94"/>
        <v>7.4915837230718596E-2</v>
      </c>
      <c r="Z361" s="19">
        <f t="shared" si="95"/>
        <v>-1.0827340862153059</v>
      </c>
      <c r="AA361" s="19">
        <f t="shared" si="96"/>
        <v>0.34691834261009674</v>
      </c>
      <c r="AB361" s="19">
        <f t="shared" si="97"/>
        <v>0.14608183847030187</v>
      </c>
      <c r="AC361" s="19">
        <f t="shared" si="98"/>
        <v>-0.98120816860223758</v>
      </c>
      <c r="AD361" s="19">
        <f t="shared" si="99"/>
        <v>5.2698075065959402E-3</v>
      </c>
      <c r="AE361" s="19">
        <f t="shared" si="100"/>
        <v>-9.4215369652074429E-2</v>
      </c>
      <c r="AF361" s="19">
        <f t="shared" si="101"/>
        <v>-2.3051136923208288E-3</v>
      </c>
      <c r="AG361" s="19">
        <f t="shared" si="102"/>
        <v>6.3804056672504258E-2</v>
      </c>
      <c r="AH361" s="19">
        <f t="shared" si="103"/>
        <v>0.11203779832194559</v>
      </c>
      <c r="AI361" s="19">
        <f t="shared" si="104"/>
        <v>0.1008664585827086</v>
      </c>
      <c r="AJ361" s="19">
        <f t="shared" si="105"/>
        <v>0.10091688714117007</v>
      </c>
      <c r="AK361" s="19">
        <f t="shared" si="106"/>
        <v>1.8256768520124456</v>
      </c>
      <c r="AL361" s="19">
        <f t="shared" si="107"/>
        <v>-0.40402566857224581</v>
      </c>
      <c r="BV361" s="16">
        <v>0</v>
      </c>
      <c r="BW361" s="18">
        <v>333</v>
      </c>
      <c r="BX361" s="48">
        <v>1.0915763315856322</v>
      </c>
      <c r="BY361" s="48">
        <v>0.1148411389251347</v>
      </c>
      <c r="BZ361" s="18" t="e">
        <f t="shared" si="108"/>
        <v>#N/A</v>
      </c>
    </row>
    <row r="362" spans="1:78" x14ac:dyDescent="0.3">
      <c r="A362" s="19">
        <v>337</v>
      </c>
      <c r="B362" s="19">
        <v>0</v>
      </c>
      <c r="C362" s="19">
        <v>2</v>
      </c>
      <c r="D362" s="19">
        <v>89.950185482662604</v>
      </c>
      <c r="E362" s="22">
        <v>11220</v>
      </c>
      <c r="F362" s="22">
        <v>1423</v>
      </c>
      <c r="G362" s="23">
        <v>4195</v>
      </c>
      <c r="H362" s="23">
        <v>5602</v>
      </c>
      <c r="I362" s="24">
        <v>12.9</v>
      </c>
      <c r="J362" s="24">
        <v>119.3</v>
      </c>
      <c r="K362" s="22">
        <v>10297</v>
      </c>
      <c r="L362" s="22">
        <v>41286</v>
      </c>
      <c r="M362" s="22">
        <v>13016</v>
      </c>
      <c r="N362" s="22">
        <v>11226</v>
      </c>
      <c r="O362" s="25">
        <v>3413.66</v>
      </c>
      <c r="P362" s="24">
        <v>82.2</v>
      </c>
      <c r="Q362" s="22">
        <v>4206</v>
      </c>
      <c r="R362" s="23">
        <v>595</v>
      </c>
      <c r="U362" s="19">
        <v>337</v>
      </c>
      <c r="V362" s="19">
        <v>0</v>
      </c>
      <c r="W362" s="19">
        <v>2</v>
      </c>
      <c r="X362" s="19">
        <f t="shared" si="93"/>
        <v>0.99481830659193604</v>
      </c>
      <c r="Y362" s="19">
        <f t="shared" si="94"/>
        <v>-0.34605661032547536</v>
      </c>
      <c r="Z362" s="19">
        <f t="shared" si="95"/>
        <v>-0.88355822526252925</v>
      </c>
      <c r="AA362" s="19">
        <f t="shared" si="96"/>
        <v>-0.40452963405455289</v>
      </c>
      <c r="AB362" s="19">
        <f t="shared" si="97"/>
        <v>-0.2168913768625573</v>
      </c>
      <c r="AC362" s="19">
        <f t="shared" si="98"/>
        <v>0.11984717664461011</v>
      </c>
      <c r="AD362" s="19">
        <f t="shared" si="99"/>
        <v>-0.24441706685412254</v>
      </c>
      <c r="AE362" s="19">
        <f t="shared" si="100"/>
        <v>-0.40327313798756009</v>
      </c>
      <c r="AF362" s="19">
        <f t="shared" si="101"/>
        <v>-0.3063812595086185</v>
      </c>
      <c r="AG362" s="19">
        <f t="shared" si="102"/>
        <v>-0.25000393801284976</v>
      </c>
      <c r="AH362" s="19">
        <f t="shared" si="103"/>
        <v>8.9428419245113511E-3</v>
      </c>
      <c r="AI362" s="19">
        <f t="shared" si="104"/>
        <v>-0.2405746654273439</v>
      </c>
      <c r="AJ362" s="19">
        <f t="shared" si="105"/>
        <v>-0.24403377140629112</v>
      </c>
      <c r="AK362" s="19">
        <f t="shared" si="106"/>
        <v>-0.34874627477857928</v>
      </c>
      <c r="AL362" s="19">
        <f t="shared" si="107"/>
        <v>-7.8335593400987835E-2</v>
      </c>
      <c r="BV362" s="16">
        <v>0</v>
      </c>
      <c r="BW362" s="18">
        <v>334</v>
      </c>
      <c r="BX362" s="48">
        <v>-4.3293510877253499E-2</v>
      </c>
      <c r="BY362" s="48">
        <v>0.21485789589828558</v>
      </c>
      <c r="BZ362" s="18" t="e">
        <f t="shared" si="108"/>
        <v>#N/A</v>
      </c>
    </row>
    <row r="363" spans="1:78" x14ac:dyDescent="0.3">
      <c r="A363" s="19">
        <v>338</v>
      </c>
      <c r="B363" s="19">
        <v>0</v>
      </c>
      <c r="C363" s="19">
        <v>2</v>
      </c>
      <c r="D363" s="19">
        <v>43.669361263271199</v>
      </c>
      <c r="E363" s="22">
        <v>25110</v>
      </c>
      <c r="F363" s="22">
        <v>5591</v>
      </c>
      <c r="G363" s="23">
        <v>10147</v>
      </c>
      <c r="H363" s="23">
        <v>9372</v>
      </c>
      <c r="I363" s="24">
        <v>9.8000000000000007</v>
      </c>
      <c r="J363" s="24">
        <v>205</v>
      </c>
      <c r="K363" s="22">
        <v>19675</v>
      </c>
      <c r="L363" s="22">
        <v>67347</v>
      </c>
      <c r="M363" s="22">
        <v>19464</v>
      </c>
      <c r="N363" s="22">
        <v>10010</v>
      </c>
      <c r="O363" s="25">
        <v>3456.5</v>
      </c>
      <c r="P363" s="24">
        <v>83.3</v>
      </c>
      <c r="Q363" s="22">
        <v>17786</v>
      </c>
      <c r="R363" s="23">
        <v>80</v>
      </c>
      <c r="U363" s="19">
        <v>338</v>
      </c>
      <c r="V363" s="19">
        <v>0</v>
      </c>
      <c r="W363" s="19">
        <v>2</v>
      </c>
      <c r="X363" s="19">
        <f t="shared" si="93"/>
        <v>-0.43730946385115077</v>
      </c>
      <c r="Y363" s="19">
        <f t="shared" si="94"/>
        <v>-8.5759811155446244E-2</v>
      </c>
      <c r="Z363" s="19">
        <f t="shared" si="95"/>
        <v>-0.11842920364854494</v>
      </c>
      <c r="AA363" s="19">
        <f t="shared" si="96"/>
        <v>0.22853736624381862</v>
      </c>
      <c r="AB363" s="19">
        <f t="shared" si="97"/>
        <v>-0.13387699796150906</v>
      </c>
      <c r="AC363" s="19">
        <f t="shared" si="98"/>
        <v>-0.46864792167698072</v>
      </c>
      <c r="AD363" s="19">
        <f t="shared" si="99"/>
        <v>-0.17907915805194369</v>
      </c>
      <c r="AE363" s="19">
        <f t="shared" si="100"/>
        <v>7.7540357608024607E-2</v>
      </c>
      <c r="AF363" s="19">
        <f t="shared" si="101"/>
        <v>5.8585738884903059E-2</v>
      </c>
      <c r="AG363" s="19">
        <f t="shared" si="102"/>
        <v>-1.3234227068412277E-2</v>
      </c>
      <c r="AH363" s="19">
        <f t="shared" si="103"/>
        <v>-4.1444403645938821E-2</v>
      </c>
      <c r="AI363" s="19">
        <f t="shared" si="104"/>
        <v>-0.15373977226859845</v>
      </c>
      <c r="AJ363" s="19">
        <f t="shared" si="105"/>
        <v>-0.15148603374721653</v>
      </c>
      <c r="AK363" s="19">
        <f t="shared" si="106"/>
        <v>-4.4279954607190773E-2</v>
      </c>
      <c r="AL363" s="19">
        <f t="shared" si="107"/>
        <v>-0.36023540636434553</v>
      </c>
      <c r="BV363" s="16">
        <v>0</v>
      </c>
      <c r="BW363" s="18">
        <v>335</v>
      </c>
      <c r="BX363" s="48">
        <v>1.1023796577267162</v>
      </c>
      <c r="BY363" s="48">
        <v>0.54277119522636619</v>
      </c>
      <c r="BZ363" s="18" t="e">
        <f t="shared" si="108"/>
        <v>#N/A</v>
      </c>
    </row>
    <row r="364" spans="1:78" x14ac:dyDescent="0.3">
      <c r="A364" s="19">
        <v>339</v>
      </c>
      <c r="B364" s="19">
        <v>0</v>
      </c>
      <c r="C364" s="19">
        <v>2</v>
      </c>
      <c r="D364" s="19">
        <v>108.53150019920901</v>
      </c>
      <c r="E364" s="22">
        <v>22661</v>
      </c>
      <c r="F364" s="22">
        <v>4391</v>
      </c>
      <c r="G364" s="23">
        <v>9633</v>
      </c>
      <c r="H364" s="23">
        <v>8637</v>
      </c>
      <c r="I364" s="24">
        <v>7.6</v>
      </c>
      <c r="J364" s="24">
        <v>281.8</v>
      </c>
      <c r="K364" s="22">
        <v>16049</v>
      </c>
      <c r="L364" s="22">
        <v>57119</v>
      </c>
      <c r="M364" s="22">
        <v>17031</v>
      </c>
      <c r="N364" s="22">
        <v>8338</v>
      </c>
      <c r="O364" s="25">
        <v>3548.69</v>
      </c>
      <c r="P364" s="24">
        <v>85.5</v>
      </c>
      <c r="Q364" s="22">
        <v>12698</v>
      </c>
      <c r="R364" s="23">
        <v>90</v>
      </c>
      <c r="U364" s="19">
        <v>339</v>
      </c>
      <c r="V364" s="19">
        <v>0</v>
      </c>
      <c r="W364" s="19">
        <v>2</v>
      </c>
      <c r="X364" s="19">
        <f t="shared" si="93"/>
        <v>1.5698041082872984</v>
      </c>
      <c r="Y364" s="19">
        <f t="shared" si="94"/>
        <v>-0.13165375364410004</v>
      </c>
      <c r="Z364" s="19">
        <f t="shared" si="95"/>
        <v>-0.33871587014009513</v>
      </c>
      <c r="AA364" s="19">
        <f t="shared" si="96"/>
        <v>0.17386726574762187</v>
      </c>
      <c r="AB364" s="19">
        <f t="shared" si="97"/>
        <v>-0.15006149888784076</v>
      </c>
      <c r="AC364" s="19">
        <f t="shared" si="98"/>
        <v>-0.88628960435681969</v>
      </c>
      <c r="AD364" s="19">
        <f t="shared" si="99"/>
        <v>-0.12052663301101794</v>
      </c>
      <c r="AE364" s="19">
        <f t="shared" si="100"/>
        <v>-0.10836599076365273</v>
      </c>
      <c r="AF364" s="19">
        <f t="shared" si="101"/>
        <v>-8.4650608897950189E-2</v>
      </c>
      <c r="AG364" s="19">
        <f t="shared" si="102"/>
        <v>-0.10257366669741606</v>
      </c>
      <c r="AH364" s="19">
        <f t="shared" si="103"/>
        <v>-0.11072686630530781</v>
      </c>
      <c r="AI364" s="19">
        <f t="shared" si="104"/>
        <v>3.3125512519093507E-2</v>
      </c>
      <c r="AJ364" s="19">
        <f t="shared" si="105"/>
        <v>3.3609441570933887E-2</v>
      </c>
      <c r="AK364" s="19">
        <f t="shared" si="106"/>
        <v>-0.1583539337700792</v>
      </c>
      <c r="AL364" s="19">
        <f t="shared" si="107"/>
        <v>-0.354761623588358</v>
      </c>
      <c r="BV364" s="16">
        <v>0</v>
      </c>
      <c r="BW364" s="18">
        <v>336</v>
      </c>
      <c r="BX364" s="48">
        <v>-0.94985694133888698</v>
      </c>
      <c r="BY364" s="48">
        <v>0.70201640797120024</v>
      </c>
      <c r="BZ364" s="18" t="e">
        <f t="shared" si="108"/>
        <v>#N/A</v>
      </c>
    </row>
    <row r="365" spans="1:78" x14ac:dyDescent="0.3">
      <c r="A365" s="19">
        <v>340</v>
      </c>
      <c r="B365" s="19">
        <v>0</v>
      </c>
      <c r="C365" s="19">
        <v>2</v>
      </c>
      <c r="D365" s="19">
        <v>73.564341149931593</v>
      </c>
      <c r="E365" s="22">
        <v>30174</v>
      </c>
      <c r="F365" s="22">
        <v>5309</v>
      </c>
      <c r="G365" s="23">
        <v>7408</v>
      </c>
      <c r="H365" s="23">
        <v>17457</v>
      </c>
      <c r="I365" s="24">
        <v>19.899999999999999</v>
      </c>
      <c r="J365" s="24">
        <v>209.2</v>
      </c>
      <c r="K365" s="22">
        <v>25132</v>
      </c>
      <c r="L365" s="22">
        <v>101738</v>
      </c>
      <c r="M365" s="22">
        <v>35595</v>
      </c>
      <c r="N365" s="22">
        <v>17678</v>
      </c>
      <c r="O365" s="25">
        <v>3410.23</v>
      </c>
      <c r="P365" s="24">
        <v>82.2</v>
      </c>
      <c r="Q365" s="22">
        <v>44189</v>
      </c>
      <c r="R365" s="23">
        <v>696</v>
      </c>
      <c r="U365" s="19">
        <v>340</v>
      </c>
      <c r="V365" s="19">
        <v>0</v>
      </c>
      <c r="W365" s="19">
        <v>2</v>
      </c>
      <c r="X365" s="19">
        <f t="shared" si="93"/>
        <v>0.48776980201432801</v>
      </c>
      <c r="Y365" s="19">
        <f t="shared" si="94"/>
        <v>9.1388923000632893E-3</v>
      </c>
      <c r="Z365" s="19">
        <f t="shared" si="95"/>
        <v>-0.17019657027405924</v>
      </c>
      <c r="AA365" s="19">
        <f t="shared" si="96"/>
        <v>-6.2788324921712227E-2</v>
      </c>
      <c r="AB365" s="19">
        <f t="shared" si="97"/>
        <v>4.4152512228139464E-2</v>
      </c>
      <c r="AC365" s="19">
        <f t="shared" si="98"/>
        <v>1.4487070760804603</v>
      </c>
      <c r="AD365" s="19">
        <f t="shared" si="99"/>
        <v>-0.17587706683876808</v>
      </c>
      <c r="AE365" s="19">
        <f t="shared" si="100"/>
        <v>0.35732274675977399</v>
      </c>
      <c r="AF365" s="19">
        <f t="shared" si="101"/>
        <v>0.54020885548639952</v>
      </c>
      <c r="AG365" s="19">
        <f t="shared" si="102"/>
        <v>0.57909396884423059</v>
      </c>
      <c r="AH365" s="19">
        <f t="shared" si="103"/>
        <v>0.27629358898088019</v>
      </c>
      <c r="AI365" s="19">
        <f t="shared" si="104"/>
        <v>-0.24752713236325619</v>
      </c>
      <c r="AJ365" s="19">
        <f t="shared" si="105"/>
        <v>-0.24403377140629112</v>
      </c>
      <c r="AK365" s="19">
        <f t="shared" si="106"/>
        <v>0.54768059410305747</v>
      </c>
      <c r="AL365" s="19">
        <f t="shared" si="107"/>
        <v>-2.3050387363513791E-2</v>
      </c>
      <c r="BV365" s="16">
        <v>0</v>
      </c>
      <c r="BW365" s="18">
        <v>337</v>
      </c>
      <c r="BX365" s="48">
        <v>0.94026786766320702</v>
      </c>
      <c r="BY365" s="48">
        <v>2.4165297653174565E-2</v>
      </c>
      <c r="BZ365" s="18" t="e">
        <f t="shared" si="108"/>
        <v>#N/A</v>
      </c>
    </row>
    <row r="366" spans="1:78" x14ac:dyDescent="0.3">
      <c r="A366" s="19">
        <v>341</v>
      </c>
      <c r="B366" s="19">
        <v>0</v>
      </c>
      <c r="C366" s="19">
        <v>4</v>
      </c>
      <c r="D366" s="19">
        <v>66.024331433380993</v>
      </c>
      <c r="E366" s="22">
        <v>12612</v>
      </c>
      <c r="F366" s="22">
        <v>4917</v>
      </c>
      <c r="G366" s="23">
        <v>3572</v>
      </c>
      <c r="H366" s="23">
        <v>4123</v>
      </c>
      <c r="I366" s="24">
        <v>16.7</v>
      </c>
      <c r="J366" s="24">
        <v>119.7</v>
      </c>
      <c r="K366" s="22">
        <v>8923</v>
      </c>
      <c r="L366" s="22">
        <v>28656</v>
      </c>
      <c r="M366" s="22">
        <v>7763</v>
      </c>
      <c r="N366" s="22">
        <v>3520</v>
      </c>
      <c r="O366" s="25">
        <v>3492.49</v>
      </c>
      <c r="P366" s="24">
        <v>84.1</v>
      </c>
      <c r="Q366" s="22">
        <v>3414</v>
      </c>
      <c r="R366" s="23">
        <v>0</v>
      </c>
      <c r="U366" s="19">
        <v>341</v>
      </c>
      <c r="V366" s="19">
        <v>0</v>
      </c>
      <c r="W366" s="19">
        <v>4</v>
      </c>
      <c r="X366" s="19">
        <f t="shared" si="93"/>
        <v>0.25444946931466944</v>
      </c>
      <c r="Y366" s="19">
        <f t="shared" si="94"/>
        <v>-0.31997071079742057</v>
      </c>
      <c r="Z366" s="19">
        <f t="shared" si="95"/>
        <v>-0.24215688132796562</v>
      </c>
      <c r="AA366" s="19">
        <f t="shared" si="96"/>
        <v>-0.47079319944196646</v>
      </c>
      <c r="AB366" s="19">
        <f t="shared" si="97"/>
        <v>-0.24945855627758393</v>
      </c>
      <c r="AC366" s="19">
        <f t="shared" si="98"/>
        <v>0.84122826490978586</v>
      </c>
      <c r="AD366" s="19">
        <f t="shared" si="99"/>
        <v>-0.24411210578620104</v>
      </c>
      <c r="AE366" s="19">
        <f t="shared" si="100"/>
        <v>-0.47371862134737386</v>
      </c>
      <c r="AF366" s="19">
        <f t="shared" si="101"/>
        <v>-0.48325602216968977</v>
      </c>
      <c r="AG366" s="19">
        <f t="shared" si="102"/>
        <v>-0.4428934063117223</v>
      </c>
      <c r="AH366" s="19">
        <f t="shared" si="103"/>
        <v>-0.31036975212638424</v>
      </c>
      <c r="AI366" s="19">
        <f t="shared" si="104"/>
        <v>-8.0789543398775379E-2</v>
      </c>
      <c r="AJ366" s="19">
        <f t="shared" si="105"/>
        <v>-8.4178588176980332E-2</v>
      </c>
      <c r="AK366" s="19">
        <f t="shared" si="106"/>
        <v>-0.36650307342185912</v>
      </c>
      <c r="AL366" s="19">
        <f t="shared" si="107"/>
        <v>-0.40402566857224581</v>
      </c>
      <c r="BV366" s="16">
        <v>0</v>
      </c>
      <c r="BW366" s="18">
        <v>338</v>
      </c>
      <c r="BX366" s="48">
        <v>4.2635367073306542E-3</v>
      </c>
      <c r="BY366" s="48">
        <v>9.7402916457543037E-2</v>
      </c>
      <c r="BZ366" s="18" t="e">
        <f t="shared" si="108"/>
        <v>#N/A</v>
      </c>
    </row>
    <row r="367" spans="1:78" x14ac:dyDescent="0.3">
      <c r="A367" s="19">
        <v>342</v>
      </c>
      <c r="B367" s="19">
        <v>0</v>
      </c>
      <c r="C367" s="19">
        <v>2</v>
      </c>
      <c r="D367" s="19">
        <v>118.32633852232</v>
      </c>
      <c r="E367" s="22">
        <v>10983</v>
      </c>
      <c r="F367" s="22">
        <v>2669</v>
      </c>
      <c r="G367" s="23">
        <v>3043</v>
      </c>
      <c r="H367" s="23">
        <v>5271</v>
      </c>
      <c r="I367" s="24">
        <v>14.2</v>
      </c>
      <c r="J367" s="24">
        <v>128.69999999999999</v>
      </c>
      <c r="K367" s="22">
        <v>9226</v>
      </c>
      <c r="L367" s="22">
        <v>35053</v>
      </c>
      <c r="M367" s="22">
        <v>11254</v>
      </c>
      <c r="N367" s="22">
        <v>5842</v>
      </c>
      <c r="O367" s="25">
        <v>3313.97</v>
      </c>
      <c r="P367" s="24">
        <v>79.8</v>
      </c>
      <c r="Q367" s="22">
        <v>7324</v>
      </c>
      <c r="R367" s="23">
        <v>0</v>
      </c>
      <c r="U367" s="19">
        <v>342</v>
      </c>
      <c r="V367" s="19">
        <v>0</v>
      </c>
      <c r="W367" s="19">
        <v>2</v>
      </c>
      <c r="X367" s="19">
        <f t="shared" si="93"/>
        <v>1.8728985368357429</v>
      </c>
      <c r="Y367" s="19">
        <f t="shared" si="94"/>
        <v>-0.35049795959857089</v>
      </c>
      <c r="Z367" s="19">
        <f t="shared" si="95"/>
        <v>-0.65482723655546959</v>
      </c>
      <c r="AA367" s="19">
        <f t="shared" si="96"/>
        <v>-0.5270587308864958</v>
      </c>
      <c r="AB367" s="19">
        <f t="shared" si="97"/>
        <v>-0.22417990721169442</v>
      </c>
      <c r="AC367" s="19">
        <f t="shared" si="98"/>
        <v>0.36663544368269646</v>
      </c>
      <c r="AD367" s="19">
        <f t="shared" si="99"/>
        <v>-0.23725048175796756</v>
      </c>
      <c r="AE367" s="19">
        <f t="shared" si="100"/>
        <v>-0.4581837003444455</v>
      </c>
      <c r="AF367" s="19">
        <f t="shared" si="101"/>
        <v>-0.39367028529376952</v>
      </c>
      <c r="AG367" s="19">
        <f t="shared" si="102"/>
        <v>-0.31470434599735642</v>
      </c>
      <c r="AH367" s="19">
        <f t="shared" si="103"/>
        <v>-0.21415331773938975</v>
      </c>
      <c r="AI367" s="19">
        <f t="shared" si="104"/>
        <v>-0.44264213739268732</v>
      </c>
      <c r="AJ367" s="19">
        <f t="shared" si="105"/>
        <v>-0.44595610811700087</v>
      </c>
      <c r="AK367" s="19">
        <f t="shared" si="106"/>
        <v>-0.27884009022081868</v>
      </c>
      <c r="AL367" s="19">
        <f t="shared" si="107"/>
        <v>-0.40402566857224581</v>
      </c>
      <c r="BV367" s="16">
        <v>0</v>
      </c>
      <c r="BW367" s="18">
        <v>339</v>
      </c>
      <c r="BX367" s="48">
        <v>0.23085168300954714</v>
      </c>
      <c r="BY367" s="48">
        <v>0.19879625920085986</v>
      </c>
      <c r="BZ367" s="18" t="e">
        <f t="shared" si="108"/>
        <v>#N/A</v>
      </c>
    </row>
    <row r="368" spans="1:78" x14ac:dyDescent="0.3">
      <c r="A368" s="19">
        <v>343</v>
      </c>
      <c r="B368" s="19">
        <v>0</v>
      </c>
      <c r="C368" s="19">
        <v>2</v>
      </c>
      <c r="D368" s="19">
        <v>38.497441869028997</v>
      </c>
      <c r="E368" s="22">
        <v>18378</v>
      </c>
      <c r="F368" s="22">
        <v>5315</v>
      </c>
      <c r="G368" s="23">
        <v>5710</v>
      </c>
      <c r="H368" s="23">
        <v>7353</v>
      </c>
      <c r="I368" s="24">
        <v>9</v>
      </c>
      <c r="J368" s="24">
        <v>340.4</v>
      </c>
      <c r="K368" s="22">
        <v>15768</v>
      </c>
      <c r="L368" s="22">
        <v>53389</v>
      </c>
      <c r="M368" s="22">
        <v>14542</v>
      </c>
      <c r="N368" s="22">
        <v>8885</v>
      </c>
      <c r="O368" s="25">
        <v>3323.99</v>
      </c>
      <c r="P368" s="24">
        <v>80.099999999999994</v>
      </c>
      <c r="Q368" s="22">
        <v>9099</v>
      </c>
      <c r="R368" s="23">
        <v>110</v>
      </c>
      <c r="U368" s="19">
        <v>343</v>
      </c>
      <c r="V368" s="19">
        <v>0</v>
      </c>
      <c r="W368" s="19">
        <v>2</v>
      </c>
      <c r="X368" s="19">
        <f t="shared" si="93"/>
        <v>-0.59735089604077063</v>
      </c>
      <c r="Y368" s="19">
        <f t="shared" si="94"/>
        <v>-0.21191661835577999</v>
      </c>
      <c r="Z368" s="19">
        <f t="shared" si="95"/>
        <v>-0.16909513694160147</v>
      </c>
      <c r="AA368" s="19">
        <f t="shared" si="96"/>
        <v>-0.24339110827296137</v>
      </c>
      <c r="AB368" s="19">
        <f t="shared" si="97"/>
        <v>-0.1783348311183304</v>
      </c>
      <c r="AC368" s="19">
        <f t="shared" si="98"/>
        <v>-0.62051762446964953</v>
      </c>
      <c r="AD368" s="19">
        <f t="shared" si="99"/>
        <v>-7.5849836560519954E-2</v>
      </c>
      <c r="AE368" s="19">
        <f t="shared" si="100"/>
        <v>-0.12277296370696253</v>
      </c>
      <c r="AF368" s="19">
        <f t="shared" si="101"/>
        <v>-0.1368867818770314</v>
      </c>
      <c r="AG368" s="19">
        <f t="shared" si="102"/>
        <v>-0.19396941895248815</v>
      </c>
      <c r="AH368" s="19">
        <f t="shared" si="103"/>
        <v>-8.8060893174521426E-2</v>
      </c>
      <c r="AI368" s="19">
        <f t="shared" si="104"/>
        <v>-0.42233201532334502</v>
      </c>
      <c r="AJ368" s="19">
        <f t="shared" si="105"/>
        <v>-0.42071581602816244</v>
      </c>
      <c r="AK368" s="19">
        <f t="shared" si="106"/>
        <v>-0.2390442346755893</v>
      </c>
      <c r="AL368" s="19">
        <f t="shared" si="107"/>
        <v>-0.34381405803638299</v>
      </c>
      <c r="BV368" s="16">
        <v>0</v>
      </c>
      <c r="BW368" s="18">
        <v>340</v>
      </c>
      <c r="BX368" s="48">
        <v>-0.37895886314257049</v>
      </c>
      <c r="BY368" s="48">
        <v>-0.9505667888513778</v>
      </c>
      <c r="BZ368" s="18" t="e">
        <f t="shared" si="108"/>
        <v>#N/A</v>
      </c>
    </row>
    <row r="369" spans="1:78" x14ac:dyDescent="0.3">
      <c r="A369" s="19">
        <v>344</v>
      </c>
      <c r="B369" s="19">
        <v>0</v>
      </c>
      <c r="C369" s="19">
        <v>2</v>
      </c>
      <c r="D369" s="19">
        <v>82</v>
      </c>
      <c r="E369" s="22">
        <v>30661</v>
      </c>
      <c r="F369" s="22">
        <v>304</v>
      </c>
      <c r="G369" s="23">
        <v>12021</v>
      </c>
      <c r="H369" s="23">
        <v>18336</v>
      </c>
      <c r="I369" s="24">
        <v>10.4</v>
      </c>
      <c r="J369" s="24">
        <v>379.3</v>
      </c>
      <c r="K369" s="22">
        <v>16808</v>
      </c>
      <c r="L369" s="22">
        <v>71364</v>
      </c>
      <c r="M369" s="22">
        <v>27281</v>
      </c>
      <c r="N369" s="22">
        <v>13995</v>
      </c>
      <c r="O369" s="25">
        <v>4036.65</v>
      </c>
      <c r="P369" s="24">
        <v>97.2</v>
      </c>
      <c r="Q369" s="22">
        <v>54105</v>
      </c>
      <c r="R369" s="23">
        <v>0</v>
      </c>
      <c r="U369" s="19">
        <v>344</v>
      </c>
      <c r="V369" s="19">
        <v>0</v>
      </c>
      <c r="W369" s="19">
        <v>2</v>
      </c>
      <c r="X369" s="19">
        <f t="shared" si="93"/>
        <v>0.74880537138746628</v>
      </c>
      <c r="Y369" s="19">
        <f t="shared" si="94"/>
        <v>1.826520916081233E-2</v>
      </c>
      <c r="Z369" s="19">
        <f t="shared" si="95"/>
        <v>-1.0889755417658997</v>
      </c>
      <c r="AA369" s="19">
        <f t="shared" si="96"/>
        <v>0.42785987272217013</v>
      </c>
      <c r="AB369" s="19">
        <f t="shared" si="97"/>
        <v>6.3507854152283078E-2</v>
      </c>
      <c r="AC369" s="19">
        <f t="shared" si="98"/>
        <v>-0.35474564458247931</v>
      </c>
      <c r="AD369" s="19">
        <f t="shared" si="99"/>
        <v>-4.6192372705155194E-2</v>
      </c>
      <c r="AE369" s="19">
        <f t="shared" si="100"/>
        <v>-6.945178270681239E-2</v>
      </c>
      <c r="AF369" s="19">
        <f t="shared" si="101"/>
        <v>0.11484115627283047</v>
      </c>
      <c r="AG369" s="19">
        <f t="shared" si="102"/>
        <v>0.27380498360973099</v>
      </c>
      <c r="AH369" s="19">
        <f t="shared" si="103"/>
        <v>0.123681561484196</v>
      </c>
      <c r="AI369" s="19">
        <f t="shared" si="104"/>
        <v>1.0222000798800015</v>
      </c>
      <c r="AJ369" s="19">
        <f t="shared" si="105"/>
        <v>1.0179808330356419</v>
      </c>
      <c r="AK369" s="19">
        <f t="shared" si="106"/>
        <v>0.7699993003489698</v>
      </c>
      <c r="AL369" s="19">
        <f t="shared" si="107"/>
        <v>-0.40402566857224581</v>
      </c>
      <c r="BV369" s="16">
        <v>0</v>
      </c>
      <c r="BW369" s="18">
        <v>341</v>
      </c>
      <c r="BX369" s="48">
        <v>1.2146709192002456</v>
      </c>
      <c r="BY369" s="48">
        <v>-4.7815378781422141E-2</v>
      </c>
      <c r="BZ369" s="18" t="e">
        <f t="shared" si="108"/>
        <v>#N/A</v>
      </c>
    </row>
    <row r="370" spans="1:78" x14ac:dyDescent="0.3">
      <c r="A370" s="19">
        <v>345</v>
      </c>
      <c r="B370" s="19">
        <v>0</v>
      </c>
      <c r="C370" s="19">
        <v>4</v>
      </c>
      <c r="D370" s="19">
        <v>60.874360971690002</v>
      </c>
      <c r="E370" s="22">
        <v>10179</v>
      </c>
      <c r="F370" s="22">
        <v>4705</v>
      </c>
      <c r="G370" s="23">
        <v>2847</v>
      </c>
      <c r="H370" s="23">
        <v>2627</v>
      </c>
      <c r="I370" s="24">
        <v>16.5</v>
      </c>
      <c r="J370" s="24">
        <v>101.8</v>
      </c>
      <c r="K370" s="22">
        <v>8440</v>
      </c>
      <c r="L370" s="22">
        <v>25545</v>
      </c>
      <c r="M370" s="22">
        <v>6361</v>
      </c>
      <c r="N370" s="22">
        <v>2892</v>
      </c>
      <c r="O370" s="25">
        <v>3403.47</v>
      </c>
      <c r="P370" s="24">
        <v>82</v>
      </c>
      <c r="Q370" s="22">
        <v>1030</v>
      </c>
      <c r="R370" s="23">
        <v>510</v>
      </c>
      <c r="U370" s="19">
        <v>345</v>
      </c>
      <c r="V370" s="19">
        <v>0</v>
      </c>
      <c r="W370" s="19">
        <v>4</v>
      </c>
      <c r="X370" s="19">
        <f t="shared" si="93"/>
        <v>9.508723150778492E-2</v>
      </c>
      <c r="Y370" s="19">
        <f t="shared" si="94"/>
        <v>-0.36556481536046453</v>
      </c>
      <c r="Z370" s="19">
        <f t="shared" si="95"/>
        <v>-0.28107419240813947</v>
      </c>
      <c r="AA370" s="19">
        <f t="shared" si="96"/>
        <v>-0.54790569527804156</v>
      </c>
      <c r="AB370" s="19">
        <f t="shared" si="97"/>
        <v>-0.28240007108818554</v>
      </c>
      <c r="AC370" s="19">
        <f t="shared" si="98"/>
        <v>0.80326083921161884</v>
      </c>
      <c r="AD370" s="19">
        <f t="shared" si="99"/>
        <v>-0.25775911357568765</v>
      </c>
      <c r="AE370" s="19">
        <f t="shared" si="100"/>
        <v>-0.4984822082926359</v>
      </c>
      <c r="AF370" s="19">
        <f t="shared" si="101"/>
        <v>-0.52682351121470894</v>
      </c>
      <c r="AG370" s="19">
        <f t="shared" si="102"/>
        <v>-0.49437466170007549</v>
      </c>
      <c r="AH370" s="19">
        <f t="shared" si="103"/>
        <v>-0.33639211250322859</v>
      </c>
      <c r="AI370" s="19">
        <f t="shared" si="104"/>
        <v>-0.26122937040604649</v>
      </c>
      <c r="AJ370" s="19">
        <f t="shared" si="105"/>
        <v>-0.26086063279885047</v>
      </c>
      <c r="AK370" s="19">
        <f t="shared" si="106"/>
        <v>-0.41995283095415586</v>
      </c>
      <c r="AL370" s="19">
        <f t="shared" si="107"/>
        <v>-0.12486274699688182</v>
      </c>
      <c r="BV370" s="16">
        <v>0</v>
      </c>
      <c r="BW370" s="18">
        <v>342</v>
      </c>
      <c r="BX370" s="48">
        <v>1.2695244239227648</v>
      </c>
      <c r="BY370" s="48">
        <v>-0.50579307360106984</v>
      </c>
      <c r="BZ370" s="18" t="e">
        <f t="shared" si="108"/>
        <v>#N/A</v>
      </c>
    </row>
    <row r="371" spans="1:78" x14ac:dyDescent="0.3">
      <c r="A371" s="19">
        <v>346</v>
      </c>
      <c r="B371" s="19">
        <v>0</v>
      </c>
      <c r="C371" s="19">
        <v>4</v>
      </c>
      <c r="D371" s="19">
        <v>44.395227800679002</v>
      </c>
      <c r="E371" s="22">
        <v>21171</v>
      </c>
      <c r="F371" s="22">
        <v>11841</v>
      </c>
      <c r="G371" s="23">
        <v>3089</v>
      </c>
      <c r="H371" s="23">
        <v>6241</v>
      </c>
      <c r="I371" s="24">
        <v>23.3</v>
      </c>
      <c r="J371" s="24">
        <v>313.89999999999998</v>
      </c>
      <c r="K371" s="22">
        <v>15760</v>
      </c>
      <c r="L371" s="22">
        <v>55299</v>
      </c>
      <c r="M371" s="22">
        <v>15699</v>
      </c>
      <c r="N371" s="22">
        <v>5992</v>
      </c>
      <c r="O371" s="25">
        <v>3137.4</v>
      </c>
      <c r="P371" s="24">
        <v>75.599999999999994</v>
      </c>
      <c r="Q371" s="22">
        <v>748</v>
      </c>
      <c r="R371" s="23">
        <v>1009</v>
      </c>
      <c r="U371" s="19">
        <v>346</v>
      </c>
      <c r="V371" s="19">
        <v>0</v>
      </c>
      <c r="W371" s="19">
        <v>4</v>
      </c>
      <c r="X371" s="19">
        <f t="shared" si="93"/>
        <v>-0.41484803099227957</v>
      </c>
      <c r="Y371" s="19">
        <f t="shared" si="94"/>
        <v>-0.15957616046651496</v>
      </c>
      <c r="Z371" s="19">
        <f t="shared" si="95"/>
        <v>1.0288971843282788</v>
      </c>
      <c r="AA371" s="19">
        <f t="shared" si="96"/>
        <v>-0.5221660759782758</v>
      </c>
      <c r="AB371" s="19">
        <f t="shared" si="97"/>
        <v>-0.20282076993476689</v>
      </c>
      <c r="AC371" s="19">
        <f t="shared" si="98"/>
        <v>2.0941533129493024</v>
      </c>
      <c r="AD371" s="19">
        <f t="shared" si="99"/>
        <v>-9.6053507310318545E-2</v>
      </c>
      <c r="AE371" s="19">
        <f t="shared" si="100"/>
        <v>-0.12318312663773293</v>
      </c>
      <c r="AF371" s="19">
        <f t="shared" si="101"/>
        <v>-0.11013850027112118</v>
      </c>
      <c r="AG371" s="19">
        <f t="shared" si="102"/>
        <v>-0.15148453130318384</v>
      </c>
      <c r="AH371" s="19">
        <f t="shared" si="103"/>
        <v>-0.2079377858022454</v>
      </c>
      <c r="AI371" s="19">
        <f t="shared" si="104"/>
        <v>-0.80054216272040934</v>
      </c>
      <c r="AJ371" s="19">
        <f t="shared" si="105"/>
        <v>-0.79932019736074233</v>
      </c>
      <c r="AK371" s="19">
        <f t="shared" si="106"/>
        <v>-0.42627532744077823</v>
      </c>
      <c r="AL371" s="19">
        <f t="shared" si="107"/>
        <v>0.14827901352489586</v>
      </c>
      <c r="BV371" s="16">
        <v>0</v>
      </c>
      <c r="BW371" s="18">
        <v>343</v>
      </c>
      <c r="BX371" s="48">
        <v>0.49862692756872701</v>
      </c>
      <c r="BY371" s="48">
        <v>-3.3926765260652483E-2</v>
      </c>
      <c r="BZ371" s="18" t="e">
        <f t="shared" si="108"/>
        <v>#N/A</v>
      </c>
    </row>
    <row r="372" spans="1:78" x14ac:dyDescent="0.3">
      <c r="A372" s="19">
        <v>347</v>
      </c>
      <c r="B372" s="19">
        <v>0</v>
      </c>
      <c r="C372" s="19">
        <v>2</v>
      </c>
      <c r="D372" s="19">
        <v>47.631346679258698</v>
      </c>
      <c r="E372" s="22">
        <v>11119</v>
      </c>
      <c r="F372" s="22">
        <v>2706</v>
      </c>
      <c r="G372" s="23">
        <v>3549</v>
      </c>
      <c r="H372" s="23">
        <v>4864</v>
      </c>
      <c r="I372" s="24">
        <v>15</v>
      </c>
      <c r="J372" s="24">
        <v>363</v>
      </c>
      <c r="K372" s="22">
        <v>7889</v>
      </c>
      <c r="L372" s="22">
        <v>30193</v>
      </c>
      <c r="M372" s="22">
        <v>9112</v>
      </c>
      <c r="N372" s="22">
        <v>3973</v>
      </c>
      <c r="O372" s="25">
        <v>4001.8</v>
      </c>
      <c r="P372" s="24">
        <v>96.4</v>
      </c>
      <c r="Q372" s="22">
        <v>16649</v>
      </c>
      <c r="R372" s="23">
        <v>3460</v>
      </c>
      <c r="U372" s="19">
        <v>347</v>
      </c>
      <c r="V372" s="19">
        <v>0</v>
      </c>
      <c r="W372" s="19">
        <v>2</v>
      </c>
      <c r="X372" s="19">
        <f t="shared" si="93"/>
        <v>-0.31470859327398421</v>
      </c>
      <c r="Y372" s="19">
        <f t="shared" si="94"/>
        <v>-0.34794933723088733</v>
      </c>
      <c r="Z372" s="19">
        <f t="shared" si="95"/>
        <v>-0.64803506433864677</v>
      </c>
      <c r="AA372" s="19">
        <f t="shared" si="96"/>
        <v>-0.4732395268960764</v>
      </c>
      <c r="AB372" s="19">
        <f t="shared" si="97"/>
        <v>-0.23314193697634339</v>
      </c>
      <c r="AC372" s="19">
        <f t="shared" si="98"/>
        <v>0.51850514647536516</v>
      </c>
      <c r="AD372" s="19">
        <f t="shared" si="99"/>
        <v>-5.8619536222955848E-2</v>
      </c>
      <c r="AE372" s="19">
        <f t="shared" si="100"/>
        <v>-0.52673218014944623</v>
      </c>
      <c r="AF372" s="19">
        <f t="shared" si="101"/>
        <v>-0.46173135786168767</v>
      </c>
      <c r="AG372" s="19">
        <f t="shared" si="102"/>
        <v>-0.39335830394446947</v>
      </c>
      <c r="AH372" s="19">
        <f t="shared" si="103"/>
        <v>-0.29159884567620831</v>
      </c>
      <c r="AI372" s="19">
        <f t="shared" si="104"/>
        <v>0.95156058346118122</v>
      </c>
      <c r="AJ372" s="19">
        <f t="shared" si="105"/>
        <v>0.95067338746540564</v>
      </c>
      <c r="AK372" s="19">
        <f t="shared" si="106"/>
        <v>-6.9771722356444729E-2</v>
      </c>
      <c r="AL372" s="19">
        <f t="shared" si="107"/>
        <v>1.4899031719194391</v>
      </c>
      <c r="BV372" s="16">
        <v>0</v>
      </c>
      <c r="BW372" s="18">
        <v>344</v>
      </c>
      <c r="BX372" s="48">
        <v>-0.92031033033394416</v>
      </c>
      <c r="BY372" s="48">
        <v>1.4217093660413036</v>
      </c>
      <c r="BZ372" s="18" t="e">
        <f t="shared" si="108"/>
        <v>#N/A</v>
      </c>
    </row>
    <row r="373" spans="1:78" x14ac:dyDescent="0.3">
      <c r="A373" s="19">
        <v>348</v>
      </c>
      <c r="B373" s="19">
        <v>0</v>
      </c>
      <c r="C373" s="19">
        <v>4</v>
      </c>
      <c r="D373" s="19">
        <v>61.063327143023599</v>
      </c>
      <c r="E373" s="22">
        <v>10188</v>
      </c>
      <c r="F373" s="22">
        <v>5667</v>
      </c>
      <c r="G373" s="23">
        <v>1070</v>
      </c>
      <c r="H373" s="23">
        <v>3451</v>
      </c>
      <c r="I373" s="24">
        <v>21.7</v>
      </c>
      <c r="J373" s="24">
        <v>63.8</v>
      </c>
      <c r="K373" s="22">
        <v>7125</v>
      </c>
      <c r="L373" s="22">
        <v>26296</v>
      </c>
      <c r="M373" s="22">
        <v>7952</v>
      </c>
      <c r="N373" s="22">
        <v>3122</v>
      </c>
      <c r="O373" s="25">
        <v>3095.39</v>
      </c>
      <c r="P373" s="24">
        <v>74.599999999999994</v>
      </c>
      <c r="Q373" s="22">
        <v>369</v>
      </c>
      <c r="R373" s="23">
        <v>124</v>
      </c>
      <c r="U373" s="19">
        <v>348</v>
      </c>
      <c r="V373" s="19">
        <v>0</v>
      </c>
      <c r="W373" s="19">
        <v>4</v>
      </c>
      <c r="X373" s="19">
        <f t="shared" si="93"/>
        <v>0.10093465765469785</v>
      </c>
      <c r="Y373" s="19">
        <f t="shared" si="94"/>
        <v>-0.36539615652730906</v>
      </c>
      <c r="Z373" s="19">
        <f t="shared" si="95"/>
        <v>-0.10447771477074677</v>
      </c>
      <c r="AA373" s="19">
        <f t="shared" si="96"/>
        <v>-0.73691108162384233</v>
      </c>
      <c r="AB373" s="19">
        <f t="shared" si="97"/>
        <v>-0.26425581426737288</v>
      </c>
      <c r="AC373" s="19">
        <f t="shared" si="98"/>
        <v>1.7904139073639649</v>
      </c>
      <c r="AD373" s="19">
        <f t="shared" si="99"/>
        <v>-0.28673041502822899</v>
      </c>
      <c r="AE373" s="19">
        <f t="shared" si="100"/>
        <v>-0.5659027400380181</v>
      </c>
      <c r="AF373" s="19">
        <f t="shared" si="101"/>
        <v>-0.51630625493929605</v>
      </c>
      <c r="AG373" s="19">
        <f t="shared" si="102"/>
        <v>-0.43595335119874173</v>
      </c>
      <c r="AH373" s="19">
        <f t="shared" si="103"/>
        <v>-0.32686163019960723</v>
      </c>
      <c r="AI373" s="19">
        <f t="shared" si="104"/>
        <v>-0.88569468049816158</v>
      </c>
      <c r="AJ373" s="19">
        <f t="shared" si="105"/>
        <v>-0.88345450432353789</v>
      </c>
      <c r="AK373" s="19">
        <f t="shared" si="106"/>
        <v>-0.43477258335719621</v>
      </c>
      <c r="AL373" s="19">
        <f t="shared" si="107"/>
        <v>-0.33615076215000045</v>
      </c>
      <c r="BV373" s="16">
        <v>0</v>
      </c>
      <c r="BW373" s="18">
        <v>345</v>
      </c>
      <c r="BX373" s="48">
        <v>1.3794040885757992</v>
      </c>
      <c r="BY373" s="48">
        <v>-0.13634836434537978</v>
      </c>
      <c r="BZ373" s="18" t="e">
        <f t="shared" si="108"/>
        <v>#N/A</v>
      </c>
    </row>
    <row r="374" spans="1:78" x14ac:dyDescent="0.3">
      <c r="A374" s="19">
        <v>349</v>
      </c>
      <c r="B374" s="19">
        <v>0</v>
      </c>
      <c r="C374" s="19">
        <v>2</v>
      </c>
      <c r="D374" s="19">
        <v>0</v>
      </c>
      <c r="E374" s="22">
        <v>48388</v>
      </c>
      <c r="F374" s="22">
        <v>6281</v>
      </c>
      <c r="G374" s="23">
        <v>19448</v>
      </c>
      <c r="H374" s="23">
        <v>22659</v>
      </c>
      <c r="I374" s="24">
        <v>3.4</v>
      </c>
      <c r="J374" s="24">
        <v>1169.0999999999999</v>
      </c>
      <c r="K374" s="22">
        <v>28086</v>
      </c>
      <c r="L374" s="22">
        <v>86098</v>
      </c>
      <c r="M374" s="22">
        <v>19961</v>
      </c>
      <c r="N374" s="22">
        <v>17327</v>
      </c>
      <c r="O374" s="25">
        <v>3706.59</v>
      </c>
      <c r="P374" s="24">
        <v>89.3</v>
      </c>
      <c r="Q374" s="22">
        <v>10084</v>
      </c>
      <c r="R374" s="23">
        <v>4602</v>
      </c>
      <c r="U374" s="19">
        <v>349</v>
      </c>
      <c r="V374" s="19">
        <v>0</v>
      </c>
      <c r="W374" s="19">
        <v>2</v>
      </c>
      <c r="X374" s="19">
        <f t="shared" si="93"/>
        <v>-1.7886273376680637</v>
      </c>
      <c r="Y374" s="19">
        <f t="shared" si="94"/>
        <v>0.35046689086614752</v>
      </c>
      <c r="Z374" s="19">
        <f t="shared" si="95"/>
        <v>8.2356295840964079E-3</v>
      </c>
      <c r="AA374" s="19">
        <f t="shared" si="96"/>
        <v>1.2178109162732464</v>
      </c>
      <c r="AB374" s="19">
        <f t="shared" si="97"/>
        <v>0.15869914327409515</v>
      </c>
      <c r="AC374" s="19">
        <f t="shared" si="98"/>
        <v>-1.6836055440183297</v>
      </c>
      <c r="AD374" s="19">
        <f t="shared" si="99"/>
        <v>0.55595325590582323</v>
      </c>
      <c r="AE374" s="19">
        <f t="shared" si="100"/>
        <v>0.50877540894673889</v>
      </c>
      <c r="AF374" s="19">
        <f t="shared" si="101"/>
        <v>0.32118104170816092</v>
      </c>
      <c r="AG374" s="19">
        <f t="shared" si="102"/>
        <v>5.0155474879440241E-3</v>
      </c>
      <c r="AH374" s="19">
        <f t="shared" si="103"/>
        <v>0.26174924424796242</v>
      </c>
      <c r="AI374" s="19">
        <f t="shared" si="104"/>
        <v>0.35318222656591591</v>
      </c>
      <c r="AJ374" s="19">
        <f t="shared" si="105"/>
        <v>0.35331980802955665</v>
      </c>
      <c r="AK374" s="19">
        <f t="shared" si="106"/>
        <v>-0.21696033737302542</v>
      </c>
      <c r="AL374" s="19">
        <f t="shared" si="107"/>
        <v>2.1150091649372147</v>
      </c>
      <c r="BV374" s="16">
        <v>0</v>
      </c>
      <c r="BW374" s="18">
        <v>346</v>
      </c>
      <c r="BX374" s="48">
        <v>1.1863103278801754</v>
      </c>
      <c r="BY374" s="48">
        <v>-1.6894849501015883</v>
      </c>
      <c r="BZ374" s="18" t="e">
        <f t="shared" si="108"/>
        <v>#N/A</v>
      </c>
    </row>
    <row r="375" spans="1:78" x14ac:dyDescent="0.3">
      <c r="A375" s="19">
        <v>350</v>
      </c>
      <c r="B375" s="19">
        <v>0</v>
      </c>
      <c r="C375" s="19">
        <v>2</v>
      </c>
      <c r="D375" s="19">
        <v>48.320043227175503</v>
      </c>
      <c r="E375" s="22">
        <v>14957</v>
      </c>
      <c r="F375" s="22">
        <v>4533</v>
      </c>
      <c r="G375" s="23">
        <v>4299</v>
      </c>
      <c r="H375" s="23">
        <v>6125</v>
      </c>
      <c r="I375" s="24">
        <v>14.9</v>
      </c>
      <c r="J375" s="24">
        <v>79.5</v>
      </c>
      <c r="K375" s="22">
        <v>10828</v>
      </c>
      <c r="L375" s="22">
        <v>42255</v>
      </c>
      <c r="M375" s="22">
        <v>13888</v>
      </c>
      <c r="N375" s="22">
        <v>6811</v>
      </c>
      <c r="O375" s="25">
        <v>3388.52</v>
      </c>
      <c r="P375" s="24">
        <v>81.599999999999994</v>
      </c>
      <c r="Q375" s="22">
        <v>14228</v>
      </c>
      <c r="R375" s="23">
        <v>0</v>
      </c>
      <c r="U375" s="19">
        <v>350</v>
      </c>
      <c r="V375" s="19">
        <v>0</v>
      </c>
      <c r="W375" s="19">
        <v>2</v>
      </c>
      <c r="X375" s="19">
        <f t="shared" si="93"/>
        <v>-0.29339735977035331</v>
      </c>
      <c r="Y375" s="19">
        <f t="shared" si="94"/>
        <v>-0.27602571482523064</v>
      </c>
      <c r="Z375" s="19">
        <f t="shared" si="95"/>
        <v>-0.31264861460526167</v>
      </c>
      <c r="AA375" s="19">
        <f t="shared" si="96"/>
        <v>-0.39346797947944695</v>
      </c>
      <c r="AB375" s="19">
        <f t="shared" si="97"/>
        <v>-0.20537505851633761</v>
      </c>
      <c r="AC375" s="19">
        <f t="shared" si="98"/>
        <v>0.49952143362628171</v>
      </c>
      <c r="AD375" s="19">
        <f t="shared" si="99"/>
        <v>-0.27476069311231061</v>
      </c>
      <c r="AE375" s="19">
        <f t="shared" si="100"/>
        <v>-0.37604857345767573</v>
      </c>
      <c r="AF375" s="19">
        <f t="shared" si="101"/>
        <v>-0.29281105800279283</v>
      </c>
      <c r="AG375" s="19">
        <f t="shared" si="102"/>
        <v>-0.21798421283550026</v>
      </c>
      <c r="AH375" s="19">
        <f t="shared" si="103"/>
        <v>-0.17400098142543727</v>
      </c>
      <c r="AI375" s="19">
        <f t="shared" si="104"/>
        <v>-0.29153239684683135</v>
      </c>
      <c r="AJ375" s="19">
        <f t="shared" si="105"/>
        <v>-0.29451435558396916</v>
      </c>
      <c r="AK375" s="19">
        <f t="shared" si="106"/>
        <v>-0.12405102730010685</v>
      </c>
      <c r="AL375" s="19">
        <f t="shared" si="107"/>
        <v>-0.40402566857224581</v>
      </c>
      <c r="BV375" s="16">
        <v>0</v>
      </c>
      <c r="BW375" s="18">
        <v>347</v>
      </c>
      <c r="BX375" s="48">
        <v>0.59714707405913492</v>
      </c>
      <c r="BY375" s="48">
        <v>1.6375592009018682</v>
      </c>
      <c r="BZ375" s="18" t="e">
        <f t="shared" si="108"/>
        <v>#N/A</v>
      </c>
    </row>
    <row r="376" spans="1:78" x14ac:dyDescent="0.3">
      <c r="A376" s="19">
        <v>351</v>
      </c>
      <c r="B376" s="19">
        <v>0</v>
      </c>
      <c r="C376" s="19">
        <v>4</v>
      </c>
      <c r="D376" s="19">
        <v>93.622737746132699</v>
      </c>
      <c r="E376" s="22">
        <v>22519</v>
      </c>
      <c r="F376" s="22">
        <v>6245</v>
      </c>
      <c r="G376" s="23">
        <v>9396</v>
      </c>
      <c r="H376" s="23">
        <v>6878</v>
      </c>
      <c r="I376" s="24">
        <v>11.4</v>
      </c>
      <c r="J376" s="24">
        <v>229.3</v>
      </c>
      <c r="K376" s="22">
        <v>16026</v>
      </c>
      <c r="L376" s="22">
        <v>49518</v>
      </c>
      <c r="M376" s="22">
        <v>12887</v>
      </c>
      <c r="N376" s="22">
        <v>5826</v>
      </c>
      <c r="O376" s="25">
        <v>3165.06</v>
      </c>
      <c r="P376" s="24">
        <v>76.3</v>
      </c>
      <c r="Q376" s="22">
        <v>7622</v>
      </c>
      <c r="R376" s="23">
        <v>1120</v>
      </c>
      <c r="U376" s="19">
        <v>351</v>
      </c>
      <c r="V376" s="19">
        <v>0</v>
      </c>
      <c r="W376" s="19">
        <v>4</v>
      </c>
      <c r="X376" s="19">
        <f t="shared" si="93"/>
        <v>1.108462870482728</v>
      </c>
      <c r="Y376" s="19">
        <f t="shared" si="94"/>
        <v>-0.13431481523388722</v>
      </c>
      <c r="Z376" s="19">
        <f t="shared" si="95"/>
        <v>1.6270295893499023E-3</v>
      </c>
      <c r="AA376" s="19">
        <f t="shared" si="96"/>
        <v>0.14865945676396697</v>
      </c>
      <c r="AB376" s="19">
        <f t="shared" si="97"/>
        <v>-0.18879420246527945</v>
      </c>
      <c r="AC376" s="19">
        <f t="shared" si="98"/>
        <v>-0.16490851609164356</v>
      </c>
      <c r="AD376" s="19">
        <f t="shared" si="99"/>
        <v>-0.16055277317571326</v>
      </c>
      <c r="AE376" s="19">
        <f t="shared" si="100"/>
        <v>-0.10954520918961759</v>
      </c>
      <c r="AF376" s="19">
        <f t="shared" si="101"/>
        <v>-0.1910975662207374</v>
      </c>
      <c r="AG376" s="19">
        <f t="shared" si="102"/>
        <v>-0.2547408010264714</v>
      </c>
      <c r="AH376" s="19">
        <f t="shared" si="103"/>
        <v>-0.21481630781268513</v>
      </c>
      <c r="AI376" s="19">
        <f t="shared" si="104"/>
        <v>-0.74447649640923108</v>
      </c>
      <c r="AJ376" s="19">
        <f t="shared" si="105"/>
        <v>-0.74042618248678527</v>
      </c>
      <c r="AK376" s="19">
        <f t="shared" si="106"/>
        <v>-0.27215887052928156</v>
      </c>
      <c r="AL376" s="19">
        <f t="shared" si="107"/>
        <v>0.20903800233835743</v>
      </c>
      <c r="BV376" s="16">
        <v>0</v>
      </c>
      <c r="BW376" s="18">
        <v>348</v>
      </c>
      <c r="BX376" s="48">
        <v>1.7951912518248707</v>
      </c>
      <c r="BY376" s="48">
        <v>-1.2201479252525695</v>
      </c>
      <c r="BZ376" s="18" t="e">
        <f t="shared" si="108"/>
        <v>#N/A</v>
      </c>
    </row>
    <row r="377" spans="1:78" x14ac:dyDescent="0.3">
      <c r="A377" s="19">
        <v>352</v>
      </c>
      <c r="B377" s="19">
        <v>0</v>
      </c>
      <c r="C377" s="19">
        <v>4</v>
      </c>
      <c r="D377" s="19">
        <v>3.9389197062296502</v>
      </c>
      <c r="E377" s="22">
        <v>25691</v>
      </c>
      <c r="F377" s="22">
        <v>4777</v>
      </c>
      <c r="G377" s="23">
        <v>10154</v>
      </c>
      <c r="H377" s="23">
        <v>10760</v>
      </c>
      <c r="I377" s="24">
        <v>8.9</v>
      </c>
      <c r="J377" s="24">
        <v>246.4</v>
      </c>
      <c r="K377" s="22">
        <v>23280</v>
      </c>
      <c r="L377" s="22">
        <v>72551</v>
      </c>
      <c r="M377" s="22">
        <v>17161</v>
      </c>
      <c r="N377" s="22">
        <v>12380</v>
      </c>
      <c r="O377" s="25">
        <v>3548.05</v>
      </c>
      <c r="P377" s="24">
        <v>85.5</v>
      </c>
      <c r="Q377" s="22">
        <v>2275</v>
      </c>
      <c r="R377" s="23">
        <v>3940</v>
      </c>
      <c r="U377" s="19">
        <v>352</v>
      </c>
      <c r="V377" s="19">
        <v>0</v>
      </c>
      <c r="W377" s="19">
        <v>4</v>
      </c>
      <c r="X377" s="19">
        <f t="shared" si="93"/>
        <v>-1.666740219364033</v>
      </c>
      <c r="Y377" s="19">
        <f t="shared" si="94"/>
        <v>-7.4871946481739476E-2</v>
      </c>
      <c r="Z377" s="19">
        <f t="shared" si="95"/>
        <v>-0.26785699241864647</v>
      </c>
      <c r="AA377" s="19">
        <f t="shared" si="96"/>
        <v>0.22928190068637383</v>
      </c>
      <c r="AB377" s="19">
        <f t="shared" si="97"/>
        <v>-0.10331361389926638</v>
      </c>
      <c r="AC377" s="19">
        <f t="shared" si="98"/>
        <v>-0.63950133731873304</v>
      </c>
      <c r="AD377" s="19">
        <f t="shared" si="99"/>
        <v>-0.14751568752206964</v>
      </c>
      <c r="AE377" s="19">
        <f t="shared" si="100"/>
        <v>0.26237002828642969</v>
      </c>
      <c r="AF377" s="19">
        <f t="shared" si="101"/>
        <v>0.13146430300906892</v>
      </c>
      <c r="AG377" s="19">
        <f t="shared" si="102"/>
        <v>-9.7800083815471756E-2</v>
      </c>
      <c r="AH377" s="19">
        <f t="shared" si="103"/>
        <v>5.676100096094186E-2</v>
      </c>
      <c r="AI377" s="19">
        <f t="shared" si="104"/>
        <v>3.1828259213267505E-2</v>
      </c>
      <c r="AJ377" s="19">
        <f t="shared" si="105"/>
        <v>3.3609441570933887E-2</v>
      </c>
      <c r="AK377" s="19">
        <f t="shared" si="106"/>
        <v>-0.39203968157172742</v>
      </c>
      <c r="AL377" s="19">
        <f t="shared" si="107"/>
        <v>1.7526447451668403</v>
      </c>
      <c r="BV377" s="16">
        <v>0</v>
      </c>
      <c r="BW377" s="18">
        <v>349</v>
      </c>
      <c r="BX377" s="48">
        <v>-1.4586234689705257</v>
      </c>
      <c r="BY377" s="48">
        <v>1.2331794753100436</v>
      </c>
      <c r="BZ377" s="18" t="e">
        <f t="shared" si="108"/>
        <v>#N/A</v>
      </c>
    </row>
    <row r="378" spans="1:78" x14ac:dyDescent="0.3">
      <c r="A378" s="19">
        <v>353</v>
      </c>
      <c r="B378" s="19">
        <v>0</v>
      </c>
      <c r="C378" s="19">
        <v>2</v>
      </c>
      <c r="D378" s="19">
        <v>23.994618553727399</v>
      </c>
      <c r="E378" s="22">
        <v>27125</v>
      </c>
      <c r="F378" s="22">
        <v>2662</v>
      </c>
      <c r="G378" s="23">
        <v>15151</v>
      </c>
      <c r="H378" s="23">
        <v>9312</v>
      </c>
      <c r="I378" s="24">
        <v>7.8</v>
      </c>
      <c r="J378" s="24">
        <v>465.1</v>
      </c>
      <c r="K378" s="22">
        <v>13970</v>
      </c>
      <c r="L378" s="22">
        <v>47646</v>
      </c>
      <c r="M378" s="22">
        <v>14448</v>
      </c>
      <c r="N378" s="22">
        <v>7516</v>
      </c>
      <c r="O378" s="25">
        <v>3738.78</v>
      </c>
      <c r="P378" s="24">
        <v>90.1</v>
      </c>
      <c r="Q378" s="22">
        <v>19208</v>
      </c>
      <c r="R378" s="23">
        <v>200</v>
      </c>
      <c r="U378" s="19">
        <v>353</v>
      </c>
      <c r="V378" s="19">
        <v>0</v>
      </c>
      <c r="W378" s="19">
        <v>2</v>
      </c>
      <c r="X378" s="19">
        <f t="shared" si="93"/>
        <v>-1.0461306308444223</v>
      </c>
      <c r="Y378" s="19">
        <f t="shared" si="94"/>
        <v>-4.7998972398958936E-2</v>
      </c>
      <c r="Z378" s="19">
        <f t="shared" si="95"/>
        <v>-0.65611224211000363</v>
      </c>
      <c r="AA378" s="19">
        <f t="shared" si="96"/>
        <v>0.76077313060757046</v>
      </c>
      <c r="AB378" s="19">
        <f t="shared" si="97"/>
        <v>-0.13519818171059736</v>
      </c>
      <c r="AC378" s="19">
        <f t="shared" si="98"/>
        <v>-0.84832217865865245</v>
      </c>
      <c r="AD378" s="19">
        <f t="shared" si="99"/>
        <v>1.9221776364004035E-2</v>
      </c>
      <c r="AE378" s="19">
        <f t="shared" si="100"/>
        <v>-0.21495708239760675</v>
      </c>
      <c r="AF378" s="19">
        <f t="shared" si="101"/>
        <v>-0.21731368306171328</v>
      </c>
      <c r="AG378" s="19">
        <f t="shared" si="102"/>
        <v>-0.19742108657481711</v>
      </c>
      <c r="AH378" s="19">
        <f t="shared" si="103"/>
        <v>-0.14478798132085882</v>
      </c>
      <c r="AI378" s="19">
        <f t="shared" si="104"/>
        <v>0.41843001393239609</v>
      </c>
      <c r="AJ378" s="19">
        <f t="shared" si="105"/>
        <v>0.42062725359979286</v>
      </c>
      <c r="AK378" s="19">
        <f t="shared" si="106"/>
        <v>-1.2398429770392945E-2</v>
      </c>
      <c r="AL378" s="19">
        <f t="shared" si="107"/>
        <v>-0.29455001305249523</v>
      </c>
      <c r="BV378" s="16">
        <v>0</v>
      </c>
      <c r="BW378" s="18">
        <v>350</v>
      </c>
      <c r="BX378" s="48">
        <v>0.87889965818520188</v>
      </c>
      <c r="BY378" s="48">
        <v>-0.13960965853494045</v>
      </c>
      <c r="BZ378" s="18" t="e">
        <f t="shared" si="108"/>
        <v>#N/A</v>
      </c>
    </row>
    <row r="379" spans="1:78" x14ac:dyDescent="0.3">
      <c r="A379" s="19">
        <v>354</v>
      </c>
      <c r="B379" s="19">
        <v>0</v>
      </c>
      <c r="C379" s="19">
        <v>2</v>
      </c>
      <c r="D379" s="19">
        <v>89.957419526703603</v>
      </c>
      <c r="E379" s="22">
        <v>33464</v>
      </c>
      <c r="F379" s="22">
        <v>2689</v>
      </c>
      <c r="G379" s="23">
        <v>22411</v>
      </c>
      <c r="H379" s="23">
        <v>8364</v>
      </c>
      <c r="I379" s="24">
        <v>6.3</v>
      </c>
      <c r="J379" s="24">
        <v>1365.9</v>
      </c>
      <c r="K379" s="22">
        <v>12170</v>
      </c>
      <c r="L379" s="22">
        <v>40425</v>
      </c>
      <c r="M379" s="22">
        <v>10462</v>
      </c>
      <c r="N379" s="22">
        <v>4656</v>
      </c>
      <c r="O379" s="25">
        <v>4430.87</v>
      </c>
      <c r="P379" s="24">
        <v>106.7</v>
      </c>
      <c r="Q379" s="22">
        <v>19546</v>
      </c>
      <c r="R379" s="23">
        <v>9059</v>
      </c>
      <c r="U379" s="19">
        <v>354</v>
      </c>
      <c r="V379" s="19">
        <v>0</v>
      </c>
      <c r="W379" s="19">
        <v>2</v>
      </c>
      <c r="X379" s="19">
        <f t="shared" si="93"/>
        <v>0.9950421590305748</v>
      </c>
      <c r="Y379" s="19">
        <f t="shared" si="94"/>
        <v>7.0793065753583503E-2</v>
      </c>
      <c r="Z379" s="19">
        <f t="shared" si="95"/>
        <v>-0.65115579211394381</v>
      </c>
      <c r="AA379" s="19">
        <f t="shared" si="96"/>
        <v>1.5329617096005439</v>
      </c>
      <c r="AB379" s="19">
        <f t="shared" si="97"/>
        <v>-0.15607288494619251</v>
      </c>
      <c r="AC379" s="19">
        <f t="shared" si="98"/>
        <v>-1.1330778713949061</v>
      </c>
      <c r="AD379" s="19">
        <f t="shared" si="99"/>
        <v>0.70599410132319551</v>
      </c>
      <c r="AE379" s="19">
        <f t="shared" si="100"/>
        <v>-0.30724374182094355</v>
      </c>
      <c r="AF379" s="19">
        <f t="shared" si="101"/>
        <v>-0.31843899273515708</v>
      </c>
      <c r="AG379" s="19">
        <f t="shared" si="102"/>
        <v>-0.34378648170889403</v>
      </c>
      <c r="AH379" s="19">
        <f t="shared" si="103"/>
        <v>-0.26329745692241102</v>
      </c>
      <c r="AI379" s="19">
        <f t="shared" si="104"/>
        <v>1.8212675771031694</v>
      </c>
      <c r="AJ379" s="19">
        <f t="shared" si="105"/>
        <v>1.8172567491821994</v>
      </c>
      <c r="AK379" s="19">
        <f t="shared" si="106"/>
        <v>-4.8204020665689887E-3</v>
      </c>
      <c r="AL379" s="19">
        <f t="shared" si="107"/>
        <v>4.5546741481948567</v>
      </c>
      <c r="BV379" s="16">
        <v>0</v>
      </c>
      <c r="BW379" s="18">
        <v>351</v>
      </c>
      <c r="BX379" s="48">
        <v>0.76703808927087236</v>
      </c>
      <c r="BY379" s="48">
        <v>-0.80857020293528636</v>
      </c>
      <c r="BZ379" s="18" t="e">
        <f t="shared" si="108"/>
        <v>#N/A</v>
      </c>
    </row>
    <row r="380" spans="1:78" x14ac:dyDescent="0.3">
      <c r="A380" s="19">
        <v>355</v>
      </c>
      <c r="B380" s="19">
        <v>0</v>
      </c>
      <c r="C380" s="19">
        <v>2</v>
      </c>
      <c r="D380" s="19">
        <v>20.3901730504098</v>
      </c>
      <c r="E380" s="22">
        <v>13367</v>
      </c>
      <c r="F380" s="22">
        <v>2893</v>
      </c>
      <c r="G380" s="23">
        <v>6430</v>
      </c>
      <c r="H380" s="23">
        <v>4044</v>
      </c>
      <c r="I380" s="24">
        <v>8.1999999999999993</v>
      </c>
      <c r="J380" s="24">
        <v>322.3</v>
      </c>
      <c r="K380" s="22">
        <v>9776</v>
      </c>
      <c r="L380" s="22">
        <v>34236</v>
      </c>
      <c r="M380" s="22">
        <v>8825</v>
      </c>
      <c r="N380" s="22">
        <v>5316</v>
      </c>
      <c r="O380" s="25">
        <v>3826.72</v>
      </c>
      <c r="P380" s="24">
        <v>92.2</v>
      </c>
      <c r="Q380" s="22">
        <v>2348</v>
      </c>
      <c r="R380" s="23">
        <v>178</v>
      </c>
      <c r="U380" s="19">
        <v>355</v>
      </c>
      <c r="V380" s="19">
        <v>0</v>
      </c>
      <c r="W380" s="19">
        <v>2</v>
      </c>
      <c r="X380" s="19">
        <f t="shared" si="93"/>
        <v>-1.157667678626449</v>
      </c>
      <c r="Y380" s="19">
        <f t="shared" si="94"/>
        <v>-0.30582210868270698</v>
      </c>
      <c r="Z380" s="19">
        <f t="shared" si="95"/>
        <v>-0.61370705881038023</v>
      </c>
      <c r="AA380" s="19">
        <f t="shared" si="96"/>
        <v>-0.16681042275299707</v>
      </c>
      <c r="AB380" s="19">
        <f t="shared" si="97"/>
        <v>-0.25119811488055016</v>
      </c>
      <c r="AC380" s="19">
        <f t="shared" si="98"/>
        <v>-0.77238732726231829</v>
      </c>
      <c r="AD380" s="19">
        <f t="shared" si="99"/>
        <v>-8.9649324883967263E-2</v>
      </c>
      <c r="AE380" s="19">
        <f t="shared" si="100"/>
        <v>-0.42998499885398145</v>
      </c>
      <c r="AF380" s="19">
        <f t="shared" si="101"/>
        <v>-0.40511182773985782</v>
      </c>
      <c r="AG380" s="19">
        <f t="shared" si="102"/>
        <v>-0.40389690615306961</v>
      </c>
      <c r="AH380" s="19">
        <f t="shared" si="103"/>
        <v>-0.23594911639897592</v>
      </c>
      <c r="AI380" s="19">
        <f t="shared" si="104"/>
        <v>0.59668072598608468</v>
      </c>
      <c r="AJ380" s="19">
        <f t="shared" si="105"/>
        <v>0.59730929822166423</v>
      </c>
      <c r="AK380" s="19">
        <f t="shared" si="106"/>
        <v>-0.39040300694930385</v>
      </c>
      <c r="AL380" s="19">
        <f t="shared" si="107"/>
        <v>-0.30659233515966777</v>
      </c>
      <c r="BV380" s="16">
        <v>0</v>
      </c>
      <c r="BW380" s="18">
        <v>352</v>
      </c>
      <c r="BX380" s="48">
        <v>-0.1732588311239327</v>
      </c>
      <c r="BY380" s="48">
        <v>0.81268477525712668</v>
      </c>
      <c r="BZ380" s="18" t="e">
        <f t="shared" si="108"/>
        <v>#N/A</v>
      </c>
    </row>
    <row r="381" spans="1:78" x14ac:dyDescent="0.3">
      <c r="A381" s="19">
        <v>356</v>
      </c>
      <c r="B381" s="19">
        <v>0</v>
      </c>
      <c r="C381" s="19">
        <v>2</v>
      </c>
      <c r="D381" s="19">
        <v>58.569881728189003</v>
      </c>
      <c r="E381" s="22">
        <v>8440</v>
      </c>
      <c r="F381" s="22">
        <v>2382</v>
      </c>
      <c r="G381" s="23">
        <v>2543</v>
      </c>
      <c r="H381" s="23">
        <v>3515</v>
      </c>
      <c r="I381" s="24">
        <v>12</v>
      </c>
      <c r="J381" s="24">
        <v>123.3</v>
      </c>
      <c r="K381" s="22">
        <v>7420</v>
      </c>
      <c r="L381" s="22">
        <v>22971</v>
      </c>
      <c r="M381" s="22">
        <v>6822</v>
      </c>
      <c r="N381" s="22">
        <v>3566</v>
      </c>
      <c r="O381" s="25">
        <v>3221.15</v>
      </c>
      <c r="P381" s="24">
        <v>77.599999999999994</v>
      </c>
      <c r="Q381" s="22">
        <v>5473</v>
      </c>
      <c r="R381" s="23">
        <v>85</v>
      </c>
      <c r="U381" s="19">
        <v>356</v>
      </c>
      <c r="V381" s="19">
        <v>0</v>
      </c>
      <c r="W381" s="19">
        <v>2</v>
      </c>
      <c r="X381" s="19">
        <f t="shared" si="93"/>
        <v>2.3776731388285167E-2</v>
      </c>
      <c r="Y381" s="19">
        <f t="shared" si="94"/>
        <v>-0.39815344990018237</v>
      </c>
      <c r="Z381" s="19">
        <f t="shared" si="95"/>
        <v>-0.70751246429136538</v>
      </c>
      <c r="AA381" s="19">
        <f t="shared" si="96"/>
        <v>-0.58023976249758213</v>
      </c>
      <c r="AB381" s="19">
        <f t="shared" si="97"/>
        <v>-0.26284655160167869</v>
      </c>
      <c r="AC381" s="19">
        <f t="shared" si="98"/>
        <v>-5.1006238997142156E-2</v>
      </c>
      <c r="AD381" s="19">
        <f t="shared" si="99"/>
        <v>-0.24136745617490765</v>
      </c>
      <c r="AE381" s="19">
        <f t="shared" si="100"/>
        <v>-0.55077798196586003</v>
      </c>
      <c r="AF381" s="19">
        <f t="shared" si="101"/>
        <v>-0.56287067187105078</v>
      </c>
      <c r="AG381" s="19">
        <f t="shared" si="102"/>
        <v>-0.47744680240333454</v>
      </c>
      <c r="AH381" s="19">
        <f t="shared" si="103"/>
        <v>-0.30846365566565997</v>
      </c>
      <c r="AI381" s="19">
        <f t="shared" si="104"/>
        <v>-0.63078440590330132</v>
      </c>
      <c r="AJ381" s="19">
        <f t="shared" si="105"/>
        <v>-0.63105158343515133</v>
      </c>
      <c r="AK381" s="19">
        <f t="shared" si="106"/>
        <v>-0.32033988098939303</v>
      </c>
      <c r="AL381" s="19">
        <f t="shared" si="107"/>
        <v>-0.35749851497635177</v>
      </c>
      <c r="BV381" s="16">
        <v>0</v>
      </c>
      <c r="BW381" s="18">
        <v>353</v>
      </c>
      <c r="BX381" s="48">
        <v>-0.28141100431195387</v>
      </c>
      <c r="BY381" s="48">
        <v>1.2781864311541531</v>
      </c>
      <c r="BZ381" s="18" t="e">
        <f t="shared" si="108"/>
        <v>#N/A</v>
      </c>
    </row>
    <row r="382" spans="1:78" x14ac:dyDescent="0.3">
      <c r="A382" s="19">
        <v>357</v>
      </c>
      <c r="B382" s="19">
        <v>0</v>
      </c>
      <c r="C382" s="19">
        <v>2</v>
      </c>
      <c r="D382" s="19">
        <v>27.8507811337528</v>
      </c>
      <c r="E382" s="22">
        <v>9971</v>
      </c>
      <c r="F382" s="22">
        <v>3256</v>
      </c>
      <c r="G382" s="23">
        <v>2549</v>
      </c>
      <c r="H382" s="23">
        <v>4166</v>
      </c>
      <c r="I382" s="24">
        <v>13.3</v>
      </c>
      <c r="J382" s="24">
        <v>113.5</v>
      </c>
      <c r="K382" s="22">
        <v>7713</v>
      </c>
      <c r="L382" s="22">
        <v>28024</v>
      </c>
      <c r="M382" s="22">
        <v>8428</v>
      </c>
      <c r="N382" s="22">
        <v>3833</v>
      </c>
      <c r="O382" s="25">
        <v>3595.32</v>
      </c>
      <c r="P382" s="24">
        <v>86.6</v>
      </c>
      <c r="Q382" s="22">
        <v>2071</v>
      </c>
      <c r="R382" s="23">
        <v>146</v>
      </c>
      <c r="U382" s="19">
        <v>357</v>
      </c>
      <c r="V382" s="19">
        <v>0</v>
      </c>
      <c r="W382" s="19">
        <v>2</v>
      </c>
      <c r="X382" s="19">
        <f t="shared" si="93"/>
        <v>-0.92680437399085625</v>
      </c>
      <c r="Y382" s="19">
        <f t="shared" si="94"/>
        <v>-0.36946270839339229</v>
      </c>
      <c r="Z382" s="19">
        <f t="shared" si="95"/>
        <v>-0.54707034219668638</v>
      </c>
      <c r="AA382" s="19">
        <f t="shared" si="96"/>
        <v>-0.57960159011824908</v>
      </c>
      <c r="AB382" s="19">
        <f t="shared" si="97"/>
        <v>-0.24851170792407062</v>
      </c>
      <c r="AC382" s="19">
        <f t="shared" si="98"/>
        <v>0.19578202804094449</v>
      </c>
      <c r="AD382" s="19">
        <f t="shared" si="99"/>
        <v>-0.24883900233898412</v>
      </c>
      <c r="AE382" s="19">
        <f t="shared" si="100"/>
        <v>-0.53575576462639474</v>
      </c>
      <c r="AF382" s="19">
        <f t="shared" si="101"/>
        <v>-0.49210676247070295</v>
      </c>
      <c r="AG382" s="19">
        <f t="shared" si="102"/>
        <v>-0.41847469387716107</v>
      </c>
      <c r="AH382" s="19">
        <f t="shared" si="103"/>
        <v>-0.29740000881754303</v>
      </c>
      <c r="AI382" s="19">
        <f t="shared" si="104"/>
        <v>0.12764257759827879</v>
      </c>
      <c r="AJ382" s="19">
        <f t="shared" si="105"/>
        <v>0.12615717923000849</v>
      </c>
      <c r="AK382" s="19">
        <f t="shared" si="106"/>
        <v>-0.39661340243439036</v>
      </c>
      <c r="AL382" s="19">
        <f t="shared" si="107"/>
        <v>-0.32410844004282785</v>
      </c>
      <c r="BV382" s="16">
        <v>0</v>
      </c>
      <c r="BW382" s="18">
        <v>354</v>
      </c>
      <c r="BX382" s="48">
        <v>-1.0009391305602602</v>
      </c>
      <c r="BY382" s="48">
        <v>3.0647234303966977</v>
      </c>
      <c r="BZ382" s="18" t="e">
        <f t="shared" si="108"/>
        <v>#N/A</v>
      </c>
    </row>
    <row r="383" spans="1:78" x14ac:dyDescent="0.3">
      <c r="A383" s="19">
        <v>358</v>
      </c>
      <c r="B383" s="19">
        <v>0</v>
      </c>
      <c r="C383" s="19">
        <v>2</v>
      </c>
      <c r="D383" s="19">
        <v>38.891388351447098</v>
      </c>
      <c r="E383" s="22">
        <v>40028</v>
      </c>
      <c r="F383" s="22">
        <v>4595</v>
      </c>
      <c r="G383" s="23">
        <v>19877</v>
      </c>
      <c r="H383" s="23">
        <v>15556</v>
      </c>
      <c r="I383" s="24">
        <v>9.9</v>
      </c>
      <c r="J383" s="24">
        <v>625.70000000000005</v>
      </c>
      <c r="K383" s="22">
        <v>26420</v>
      </c>
      <c r="L383" s="22">
        <v>100381</v>
      </c>
      <c r="M383" s="22">
        <v>32832</v>
      </c>
      <c r="N383" s="22">
        <v>18372</v>
      </c>
      <c r="O383" s="25">
        <v>3736.97</v>
      </c>
      <c r="P383" s="24">
        <v>90</v>
      </c>
      <c r="Q383" s="22">
        <v>28472</v>
      </c>
      <c r="R383" s="23">
        <v>1078</v>
      </c>
      <c r="U383" s="19">
        <v>358</v>
      </c>
      <c r="V383" s="19">
        <v>0</v>
      </c>
      <c r="W383" s="19">
        <v>2</v>
      </c>
      <c r="X383" s="19">
        <f t="shared" si="93"/>
        <v>-0.58516049738095277</v>
      </c>
      <c r="Y383" s="19">
        <f t="shared" si="94"/>
        <v>0.19380157473501411</v>
      </c>
      <c r="Z383" s="19">
        <f t="shared" si="95"/>
        <v>-0.30126713683653161</v>
      </c>
      <c r="AA383" s="19">
        <f t="shared" si="96"/>
        <v>1.2634402413955583</v>
      </c>
      <c r="AB383" s="19">
        <f t="shared" si="97"/>
        <v>2.293007111191802E-3</v>
      </c>
      <c r="AC383" s="19">
        <f t="shared" si="98"/>
        <v>-0.4496642088278972</v>
      </c>
      <c r="AD383" s="19">
        <f t="shared" si="99"/>
        <v>0.14166364513448157</v>
      </c>
      <c r="AE383" s="19">
        <f t="shared" si="100"/>
        <v>0.42335897861380611</v>
      </c>
      <c r="AF383" s="19">
        <f t="shared" si="101"/>
        <v>0.52120497164387591</v>
      </c>
      <c r="AG383" s="19">
        <f t="shared" si="102"/>
        <v>0.47763697266875277</v>
      </c>
      <c r="AH383" s="19">
        <f t="shared" si="103"/>
        <v>0.30505078341006803</v>
      </c>
      <c r="AI383" s="19">
        <f t="shared" si="104"/>
        <v>0.4147612194268554</v>
      </c>
      <c r="AJ383" s="19">
        <f t="shared" si="105"/>
        <v>0.41221382290351377</v>
      </c>
      <c r="AK383" s="19">
        <f t="shared" si="106"/>
        <v>0.19530230587524353</v>
      </c>
      <c r="AL383" s="19">
        <f t="shared" si="107"/>
        <v>0.18604811467920981</v>
      </c>
      <c r="BV383" s="16">
        <v>0</v>
      </c>
      <c r="BW383" s="18">
        <v>355</v>
      </c>
      <c r="BX383" s="48">
        <v>0.44132067857062152</v>
      </c>
      <c r="BY383" s="48">
        <v>1.5668152488976286</v>
      </c>
      <c r="BZ383" s="18" t="e">
        <f t="shared" si="108"/>
        <v>#N/A</v>
      </c>
    </row>
    <row r="384" spans="1:78" x14ac:dyDescent="0.3">
      <c r="A384" s="19">
        <v>359</v>
      </c>
      <c r="B384" s="19">
        <v>0</v>
      </c>
      <c r="C384" s="19">
        <v>2</v>
      </c>
      <c r="D384" s="19">
        <v>70</v>
      </c>
      <c r="E384" s="22">
        <v>11733</v>
      </c>
      <c r="F384" s="22">
        <v>3403</v>
      </c>
      <c r="G384" s="23">
        <v>4275</v>
      </c>
      <c r="H384" s="23">
        <v>4055</v>
      </c>
      <c r="I384" s="24">
        <v>14.8</v>
      </c>
      <c r="J384" s="24">
        <v>148.1</v>
      </c>
      <c r="K384" s="22">
        <v>9854</v>
      </c>
      <c r="L384" s="22">
        <v>35275</v>
      </c>
      <c r="M384" s="22">
        <v>9922</v>
      </c>
      <c r="N384" s="22">
        <v>4917</v>
      </c>
      <c r="O384" s="25">
        <v>3403.32</v>
      </c>
      <c r="P384" s="24">
        <v>82</v>
      </c>
      <c r="Q384" s="22">
        <v>4049</v>
      </c>
      <c r="R384" s="23">
        <v>0</v>
      </c>
      <c r="U384" s="19">
        <v>359</v>
      </c>
      <c r="V384" s="19">
        <v>0</v>
      </c>
      <c r="W384" s="19">
        <v>2</v>
      </c>
      <c r="X384" s="19">
        <f t="shared" si="93"/>
        <v>0.37747375542812039</v>
      </c>
      <c r="Y384" s="19">
        <f t="shared" si="94"/>
        <v>-0.33644305683561032</v>
      </c>
      <c r="Z384" s="19">
        <f t="shared" si="95"/>
        <v>-0.52008522555147141</v>
      </c>
      <c r="AA384" s="19">
        <f t="shared" si="96"/>
        <v>-0.39602066899677907</v>
      </c>
      <c r="AB384" s="19">
        <f t="shared" si="97"/>
        <v>-0.25095589785988398</v>
      </c>
      <c r="AC384" s="19">
        <f t="shared" si="98"/>
        <v>0.4805377207771982</v>
      </c>
      <c r="AD384" s="19">
        <f t="shared" si="99"/>
        <v>-0.22245986996377537</v>
      </c>
      <c r="AE384" s="19">
        <f t="shared" si="100"/>
        <v>-0.4259859102789702</v>
      </c>
      <c r="AF384" s="19">
        <f t="shared" si="101"/>
        <v>-0.39056132271967942</v>
      </c>
      <c r="AG384" s="19">
        <f t="shared" si="102"/>
        <v>-0.36361521060312418</v>
      </c>
      <c r="AH384" s="19">
        <f t="shared" si="103"/>
        <v>-0.25248243135177989</v>
      </c>
      <c r="AI384" s="19">
        <f t="shared" si="104"/>
        <v>-0.2615334141495988</v>
      </c>
      <c r="AJ384" s="19">
        <f t="shared" si="105"/>
        <v>-0.26086063279885047</v>
      </c>
      <c r="AK384" s="19">
        <f t="shared" si="106"/>
        <v>-0.35226624622680519</v>
      </c>
      <c r="AL384" s="19">
        <f t="shared" si="107"/>
        <v>-0.40402566857224581</v>
      </c>
      <c r="BV384" s="16">
        <v>0</v>
      </c>
      <c r="BW384" s="18">
        <v>356</v>
      </c>
      <c r="BX384" s="48">
        <v>1.3778040373850091</v>
      </c>
      <c r="BY384" s="48">
        <v>-0.14502802506249796</v>
      </c>
      <c r="BZ384" s="18" t="e">
        <f t="shared" si="108"/>
        <v>#N/A</v>
      </c>
    </row>
    <row r="385" spans="1:78" x14ac:dyDescent="0.3">
      <c r="A385" s="19">
        <v>360</v>
      </c>
      <c r="B385" s="19">
        <v>0</v>
      </c>
      <c r="C385" s="19">
        <v>2</v>
      </c>
      <c r="D385" s="19">
        <v>67.371417539139301</v>
      </c>
      <c r="E385" s="22">
        <v>27214</v>
      </c>
      <c r="F385" s="22">
        <v>2575</v>
      </c>
      <c r="G385" s="23">
        <v>9464</v>
      </c>
      <c r="H385" s="23">
        <v>15175</v>
      </c>
      <c r="I385" s="24">
        <v>7</v>
      </c>
      <c r="J385" s="24">
        <v>482.9</v>
      </c>
      <c r="K385" s="22">
        <v>18278</v>
      </c>
      <c r="L385" s="22">
        <v>66158</v>
      </c>
      <c r="M385" s="22">
        <v>21883</v>
      </c>
      <c r="N385" s="22">
        <v>10070</v>
      </c>
      <c r="O385" s="25">
        <v>6955.85</v>
      </c>
      <c r="P385" s="24">
        <v>167.6</v>
      </c>
      <c r="Q385" s="22">
        <v>59276</v>
      </c>
      <c r="R385" s="23">
        <v>30</v>
      </c>
      <c r="U385" s="19">
        <v>360</v>
      </c>
      <c r="V385" s="19">
        <v>0</v>
      </c>
      <c r="W385" s="19">
        <v>2</v>
      </c>
      <c r="X385" s="19">
        <f t="shared" si="93"/>
        <v>0.29613410768863729</v>
      </c>
      <c r="Y385" s="19">
        <f t="shared" si="94"/>
        <v>-4.6331123937754286E-2</v>
      </c>
      <c r="Z385" s="19">
        <f t="shared" si="95"/>
        <v>-0.67208302543064102</v>
      </c>
      <c r="AA385" s="19">
        <f t="shared" si="96"/>
        <v>0.1558920770630747</v>
      </c>
      <c r="AB385" s="19">
        <f t="shared" si="97"/>
        <v>-6.096509695518908E-3</v>
      </c>
      <c r="AC385" s="19">
        <f t="shared" si="98"/>
        <v>-1.0001918814513211</v>
      </c>
      <c r="AD385" s="19">
        <f t="shared" si="99"/>
        <v>3.2792543886510227E-2</v>
      </c>
      <c r="AE385" s="19">
        <f t="shared" si="100"/>
        <v>5.9156558222459975E-3</v>
      </c>
      <c r="AF385" s="19">
        <f t="shared" si="101"/>
        <v>4.1934583476825965E-2</v>
      </c>
      <c r="AG385" s="19">
        <f t="shared" si="102"/>
        <v>7.5591134404074431E-2</v>
      </c>
      <c r="AH385" s="19">
        <f t="shared" si="103"/>
        <v>-3.8958190871081086E-2</v>
      </c>
      <c r="AI385" s="19">
        <f t="shared" si="104"/>
        <v>6.9392967210800238</v>
      </c>
      <c r="AJ385" s="19">
        <f t="shared" si="105"/>
        <v>6.9410360432164468</v>
      </c>
      <c r="AK385" s="19">
        <f t="shared" si="106"/>
        <v>0.88593415613735349</v>
      </c>
      <c r="AL385" s="19">
        <f t="shared" si="107"/>
        <v>-0.38760432024428321</v>
      </c>
      <c r="BV385" s="16">
        <v>0</v>
      </c>
      <c r="BW385" s="18">
        <v>357</v>
      </c>
      <c r="BX385" s="48">
        <v>1.035537548521863</v>
      </c>
      <c r="BY385" s="48">
        <v>0.72616478570354981</v>
      </c>
      <c r="BZ385" s="18" t="e">
        <f t="shared" si="108"/>
        <v>#N/A</v>
      </c>
    </row>
    <row r="386" spans="1:78" x14ac:dyDescent="0.3">
      <c r="A386" s="19">
        <v>361</v>
      </c>
      <c r="B386" s="19">
        <v>0</v>
      </c>
      <c r="C386" s="19">
        <v>2</v>
      </c>
      <c r="D386" s="19">
        <v>100.572043289258</v>
      </c>
      <c r="E386" s="22">
        <v>8816</v>
      </c>
      <c r="F386" s="22">
        <v>2825</v>
      </c>
      <c r="G386" s="23">
        <v>2587</v>
      </c>
      <c r="H386" s="23">
        <v>3404</v>
      </c>
      <c r="I386" s="24">
        <v>19.399999999999999</v>
      </c>
      <c r="J386" s="24">
        <v>36.200000000000003</v>
      </c>
      <c r="K386" s="22">
        <v>7748</v>
      </c>
      <c r="L386" s="22">
        <v>29912</v>
      </c>
      <c r="M386" s="22">
        <v>9017</v>
      </c>
      <c r="N386" s="22">
        <v>4152</v>
      </c>
      <c r="O386" s="25">
        <v>3323.95</v>
      </c>
      <c r="P386" s="24">
        <v>80.099999999999994</v>
      </c>
      <c r="Q386" s="22">
        <v>4973</v>
      </c>
      <c r="R386" s="23">
        <v>0</v>
      </c>
      <c r="U386" s="19">
        <v>361</v>
      </c>
      <c r="V386" s="19">
        <v>0</v>
      </c>
      <c r="W386" s="19">
        <v>2</v>
      </c>
      <c r="X386" s="19">
        <f t="shared" si="93"/>
        <v>1.3235042752430579</v>
      </c>
      <c r="Y386" s="19">
        <f t="shared" si="94"/>
        <v>-0.3911072586483515</v>
      </c>
      <c r="Z386" s="19">
        <f t="shared" si="95"/>
        <v>-0.62618996991156806</v>
      </c>
      <c r="AA386" s="19">
        <f t="shared" si="96"/>
        <v>-0.57555983171580649</v>
      </c>
      <c r="AB386" s="19">
        <f t="shared" si="97"/>
        <v>-0.26529074153749205</v>
      </c>
      <c r="AC386" s="19">
        <f t="shared" si="98"/>
        <v>1.3537885118350423</v>
      </c>
      <c r="AD386" s="19">
        <f t="shared" si="99"/>
        <v>-0.30777272871481171</v>
      </c>
      <c r="AE386" s="19">
        <f t="shared" si="100"/>
        <v>-0.53396130180427426</v>
      </c>
      <c r="AF386" s="19">
        <f t="shared" si="101"/>
        <v>-0.46566657625501789</v>
      </c>
      <c r="AG386" s="19">
        <f t="shared" si="102"/>
        <v>-0.39684669143512108</v>
      </c>
      <c r="AH386" s="19">
        <f t="shared" si="103"/>
        <v>-0.28418164423121606</v>
      </c>
      <c r="AI386" s="19">
        <f t="shared" si="104"/>
        <v>-0.42241309365495905</v>
      </c>
      <c r="AJ386" s="19">
        <f t="shared" si="105"/>
        <v>-0.42071581602816244</v>
      </c>
      <c r="AK386" s="19">
        <f t="shared" si="106"/>
        <v>-0.33154998114297879</v>
      </c>
      <c r="AL386" s="19">
        <f t="shared" si="107"/>
        <v>-0.40402566857224581</v>
      </c>
      <c r="BV386" s="16">
        <v>0</v>
      </c>
      <c r="BW386" s="18">
        <v>358</v>
      </c>
      <c r="BX386" s="48">
        <v>-1.3712036180297187</v>
      </c>
      <c r="BY386" s="48">
        <v>0.62712206229870804</v>
      </c>
      <c r="BZ386" s="18" t="e">
        <f t="shared" si="108"/>
        <v>#N/A</v>
      </c>
    </row>
    <row r="387" spans="1:78" x14ac:dyDescent="0.3">
      <c r="A387" s="19">
        <v>362</v>
      </c>
      <c r="B387" s="19">
        <v>0</v>
      </c>
      <c r="C387" s="19">
        <v>4</v>
      </c>
      <c r="D387" s="19">
        <v>88.257777177214905</v>
      </c>
      <c r="E387" s="22">
        <v>31853</v>
      </c>
      <c r="F387" s="22">
        <v>556</v>
      </c>
      <c r="G387" s="23">
        <v>14280</v>
      </c>
      <c r="H387" s="23">
        <v>17017</v>
      </c>
      <c r="I387" s="24">
        <v>16.899999999999999</v>
      </c>
      <c r="J387" s="24">
        <v>384.6</v>
      </c>
      <c r="K387" s="22">
        <v>18237</v>
      </c>
      <c r="L387" s="22">
        <v>69646</v>
      </c>
      <c r="M387" s="22">
        <v>25158</v>
      </c>
      <c r="N387" s="22">
        <v>11678</v>
      </c>
      <c r="O387" s="25">
        <v>3631.31</v>
      </c>
      <c r="P387" s="24">
        <v>87.5</v>
      </c>
      <c r="Q387" s="22">
        <v>22374</v>
      </c>
      <c r="R387" s="23">
        <v>0</v>
      </c>
      <c r="U387" s="19">
        <v>362</v>
      </c>
      <c r="V387" s="19">
        <v>0</v>
      </c>
      <c r="W387" s="19">
        <v>4</v>
      </c>
      <c r="X387" s="19">
        <f t="shared" si="93"/>
        <v>0.94244791401485994</v>
      </c>
      <c r="Y387" s="19">
        <f t="shared" si="94"/>
        <v>4.060313461874427E-2</v>
      </c>
      <c r="Z387" s="19">
        <f t="shared" si="95"/>
        <v>-1.0427153418026742</v>
      </c>
      <c r="AA387" s="19">
        <f t="shared" si="96"/>
        <v>0.66813177354105813</v>
      </c>
      <c r="AB387" s="19">
        <f t="shared" si="97"/>
        <v>3.4463831401491923E-2</v>
      </c>
      <c r="AC387" s="19">
        <f t="shared" si="98"/>
        <v>0.87919569060795288</v>
      </c>
      <c r="AD387" s="19">
        <f t="shared" si="99"/>
        <v>-4.2151638555195464E-2</v>
      </c>
      <c r="AE387" s="19">
        <f t="shared" si="100"/>
        <v>3.8135708020477703E-3</v>
      </c>
      <c r="AF387" s="19">
        <f t="shared" si="101"/>
        <v>9.0781707163430592E-2</v>
      </c>
      <c r="AG387" s="19">
        <f t="shared" si="102"/>
        <v>0.19584870316074823</v>
      </c>
      <c r="AH387" s="19">
        <f t="shared" si="103"/>
        <v>2.7672311495106315E-2</v>
      </c>
      <c r="AI387" s="19">
        <f t="shared" si="104"/>
        <v>0.20059280646810185</v>
      </c>
      <c r="AJ387" s="19">
        <f t="shared" si="105"/>
        <v>0.20187805549652496</v>
      </c>
      <c r="AK387" s="19">
        <f t="shared" si="106"/>
        <v>5.8583924402111923E-2</v>
      </c>
      <c r="AL387" s="19">
        <f t="shared" si="107"/>
        <v>-0.40402566857224581</v>
      </c>
      <c r="BV387" s="16">
        <v>0</v>
      </c>
      <c r="BW387" s="18">
        <v>359</v>
      </c>
      <c r="BX387" s="48">
        <v>1.1152025555576683</v>
      </c>
      <c r="BY387" s="48">
        <v>-9.3483785848159945E-2</v>
      </c>
      <c r="BZ387" s="18" t="e">
        <f t="shared" si="108"/>
        <v>#N/A</v>
      </c>
    </row>
    <row r="388" spans="1:78" x14ac:dyDescent="0.3">
      <c r="A388" s="19">
        <v>363</v>
      </c>
      <c r="B388" s="19">
        <v>0</v>
      </c>
      <c r="C388" s="19">
        <v>4</v>
      </c>
      <c r="D388" s="19">
        <v>61.910635701665399</v>
      </c>
      <c r="E388" s="22">
        <v>12892</v>
      </c>
      <c r="F388" s="22">
        <v>4522</v>
      </c>
      <c r="G388" s="23">
        <v>2361</v>
      </c>
      <c r="H388" s="23">
        <v>6009</v>
      </c>
      <c r="I388" s="24">
        <v>18.899999999999999</v>
      </c>
      <c r="J388" s="24">
        <v>119.2</v>
      </c>
      <c r="K388" s="22">
        <v>9843</v>
      </c>
      <c r="L388" s="22">
        <v>34665</v>
      </c>
      <c r="M388" s="22">
        <v>11065</v>
      </c>
      <c r="N388" s="22">
        <v>4796</v>
      </c>
      <c r="O388" s="25">
        <v>3099.06</v>
      </c>
      <c r="P388" s="24">
        <v>74.7</v>
      </c>
      <c r="Q388" s="22">
        <v>4686</v>
      </c>
      <c r="R388" s="23">
        <v>0</v>
      </c>
      <c r="U388" s="19">
        <v>363</v>
      </c>
      <c r="V388" s="19">
        <v>0</v>
      </c>
      <c r="W388" s="19">
        <v>4</v>
      </c>
      <c r="X388" s="19">
        <f t="shared" si="93"/>
        <v>0.12715402901275147</v>
      </c>
      <c r="Y388" s="19">
        <f t="shared" si="94"/>
        <v>-0.31472354709924866</v>
      </c>
      <c r="Z388" s="19">
        <f t="shared" si="95"/>
        <v>-0.31466790904810088</v>
      </c>
      <c r="AA388" s="19">
        <f t="shared" si="96"/>
        <v>-0.59959765800401754</v>
      </c>
      <c r="AB388" s="19">
        <f t="shared" si="97"/>
        <v>-0.20792934709790833</v>
      </c>
      <c r="AC388" s="19">
        <f t="shared" si="98"/>
        <v>1.2588699475896246</v>
      </c>
      <c r="AD388" s="19">
        <f t="shared" si="99"/>
        <v>-0.24449330712110293</v>
      </c>
      <c r="AE388" s="19">
        <f t="shared" si="100"/>
        <v>-0.42654988430877949</v>
      </c>
      <c r="AF388" s="19">
        <f t="shared" si="101"/>
        <v>-0.39910396763046752</v>
      </c>
      <c r="AG388" s="19">
        <f t="shared" si="102"/>
        <v>-0.32164440111033699</v>
      </c>
      <c r="AH388" s="19">
        <f t="shared" si="103"/>
        <v>-0.2574962937810763</v>
      </c>
      <c r="AI388" s="19">
        <f t="shared" si="104"/>
        <v>-0.87825574357256397</v>
      </c>
      <c r="AJ388" s="19">
        <f t="shared" si="105"/>
        <v>-0.87504107362725758</v>
      </c>
      <c r="AK388" s="19">
        <f t="shared" si="106"/>
        <v>-0.33798457863113701</v>
      </c>
      <c r="AL388" s="19">
        <f t="shared" si="107"/>
        <v>-0.40402566857224581</v>
      </c>
      <c r="BV388" s="16">
        <v>0</v>
      </c>
      <c r="BW388" s="18">
        <v>360</v>
      </c>
      <c r="BX388" s="48">
        <v>-2.9650725381696565</v>
      </c>
      <c r="BY388" s="48">
        <v>8.1981172459548759</v>
      </c>
      <c r="BZ388" s="18" t="e">
        <f t="shared" si="108"/>
        <v>#N/A</v>
      </c>
    </row>
    <row r="389" spans="1:78" x14ac:dyDescent="0.3">
      <c r="A389" s="19">
        <v>364</v>
      </c>
      <c r="B389" s="19">
        <v>0</v>
      </c>
      <c r="C389" s="19">
        <v>4</v>
      </c>
      <c r="D389" s="19">
        <v>44.888080461074303</v>
      </c>
      <c r="E389" s="22">
        <v>11845</v>
      </c>
      <c r="F389" s="22">
        <v>4750</v>
      </c>
      <c r="G389" s="23">
        <v>3335</v>
      </c>
      <c r="H389" s="23">
        <v>3760</v>
      </c>
      <c r="I389" s="24">
        <v>15.7</v>
      </c>
      <c r="J389" s="24">
        <v>107</v>
      </c>
      <c r="K389" s="22">
        <v>8670</v>
      </c>
      <c r="L389" s="22">
        <v>27669</v>
      </c>
      <c r="M389" s="22">
        <v>8045</v>
      </c>
      <c r="N389" s="22">
        <v>3372</v>
      </c>
      <c r="O389" s="25">
        <v>3134.03</v>
      </c>
      <c r="P389" s="24">
        <v>75.5</v>
      </c>
      <c r="Q389" s="22">
        <v>1617</v>
      </c>
      <c r="R389" s="23">
        <v>281</v>
      </c>
      <c r="U389" s="19">
        <v>364</v>
      </c>
      <c r="V389" s="19">
        <v>0</v>
      </c>
      <c r="W389" s="19">
        <v>4</v>
      </c>
      <c r="X389" s="19">
        <f t="shared" si="93"/>
        <v>-0.39959704975774213</v>
      </c>
      <c r="Y389" s="19">
        <f t="shared" si="94"/>
        <v>-0.33434419135634158</v>
      </c>
      <c r="Z389" s="19">
        <f t="shared" si="95"/>
        <v>-0.27281344241470634</v>
      </c>
      <c r="AA389" s="19">
        <f t="shared" si="96"/>
        <v>-0.49600100842562134</v>
      </c>
      <c r="AB389" s="19">
        <f t="shared" si="97"/>
        <v>-0.25745171795956812</v>
      </c>
      <c r="AC389" s="19">
        <f t="shared" si="98"/>
        <v>0.65139113641895008</v>
      </c>
      <c r="AD389" s="19">
        <f t="shared" si="99"/>
        <v>-0.25379461969270828</v>
      </c>
      <c r="AE389" s="19">
        <f t="shared" si="100"/>
        <v>-0.48669002403298728</v>
      </c>
      <c r="AF389" s="19">
        <f t="shared" si="101"/>
        <v>-0.49707830172206324</v>
      </c>
      <c r="AG389" s="19">
        <f t="shared" si="102"/>
        <v>-0.43253840344473543</v>
      </c>
      <c r="AH389" s="19">
        <f t="shared" si="103"/>
        <v>-0.31650241030436665</v>
      </c>
      <c r="AI389" s="19">
        <f t="shared" si="104"/>
        <v>-0.80737301215890056</v>
      </c>
      <c r="AJ389" s="19">
        <f t="shared" si="105"/>
        <v>-0.80773362805702142</v>
      </c>
      <c r="AK389" s="19">
        <f t="shared" si="106"/>
        <v>-0.40679217337384621</v>
      </c>
      <c r="AL389" s="19">
        <f t="shared" si="107"/>
        <v>-0.25021237256699624</v>
      </c>
      <c r="BV389" s="16">
        <v>0</v>
      </c>
      <c r="BW389" s="18">
        <v>361</v>
      </c>
      <c r="BX389" s="48">
        <v>1.5237542193525282</v>
      </c>
      <c r="BY389" s="48">
        <v>-0.62764372427002435</v>
      </c>
      <c r="BZ389" s="18" t="e">
        <f t="shared" si="108"/>
        <v>#N/A</v>
      </c>
    </row>
    <row r="390" spans="1:78" x14ac:dyDescent="0.3">
      <c r="A390" s="19">
        <v>365</v>
      </c>
      <c r="B390" s="19">
        <v>0</v>
      </c>
      <c r="C390" s="19">
        <v>4</v>
      </c>
      <c r="D390" s="19">
        <v>97.067887367534397</v>
      </c>
      <c r="E390" s="22">
        <v>9227</v>
      </c>
      <c r="F390" s="22">
        <v>3150</v>
      </c>
      <c r="G390" s="23">
        <v>2795</v>
      </c>
      <c r="H390" s="23">
        <v>3282</v>
      </c>
      <c r="I390" s="24">
        <v>19.3</v>
      </c>
      <c r="J390" s="24">
        <v>48.1</v>
      </c>
      <c r="K390" s="22">
        <v>8303</v>
      </c>
      <c r="L390" s="22">
        <v>25992</v>
      </c>
      <c r="M390" s="22">
        <v>7206</v>
      </c>
      <c r="N390" s="22">
        <v>3084</v>
      </c>
      <c r="O390" s="25">
        <v>3232.37</v>
      </c>
      <c r="P390" s="24">
        <v>77.900000000000006</v>
      </c>
      <c r="Q390" s="22">
        <v>6115</v>
      </c>
      <c r="R390" s="23">
        <v>393</v>
      </c>
      <c r="U390" s="19">
        <v>365</v>
      </c>
      <c r="V390" s="19">
        <v>0</v>
      </c>
      <c r="W390" s="19">
        <v>4</v>
      </c>
      <c r="X390" s="19">
        <f t="shared" si="93"/>
        <v>1.2150706184941298</v>
      </c>
      <c r="Y390" s="19">
        <f t="shared" si="94"/>
        <v>-0.38340517193424911</v>
      </c>
      <c r="Z390" s="19">
        <f t="shared" si="95"/>
        <v>-0.56652899773677323</v>
      </c>
      <c r="AA390" s="19">
        <f t="shared" si="96"/>
        <v>-0.55343652256559461</v>
      </c>
      <c r="AB390" s="19">
        <f t="shared" si="97"/>
        <v>-0.26797714849397158</v>
      </c>
      <c r="AC390" s="19">
        <f t="shared" si="98"/>
        <v>1.3348047989859593</v>
      </c>
      <c r="AD390" s="19">
        <f t="shared" si="99"/>
        <v>-0.29870013694414743</v>
      </c>
      <c r="AE390" s="19">
        <f t="shared" si="100"/>
        <v>-0.5055062484820787</v>
      </c>
      <c r="AF390" s="19">
        <f t="shared" si="101"/>
        <v>-0.52056357305877077</v>
      </c>
      <c r="AG390" s="19">
        <f t="shared" si="102"/>
        <v>-0.46334637296743753</v>
      </c>
      <c r="AH390" s="19">
        <f t="shared" si="103"/>
        <v>-0.32843623162368379</v>
      </c>
      <c r="AI390" s="19">
        <f t="shared" si="104"/>
        <v>-0.60804193388553507</v>
      </c>
      <c r="AJ390" s="19">
        <f t="shared" si="105"/>
        <v>-0.60581129134631162</v>
      </c>
      <c r="AK390" s="19">
        <f t="shared" si="106"/>
        <v>-0.30594611239218894</v>
      </c>
      <c r="AL390" s="19">
        <f t="shared" si="107"/>
        <v>-0.18890600547593592</v>
      </c>
      <c r="BV390" s="16">
        <v>0</v>
      </c>
      <c r="BW390" s="18">
        <v>362</v>
      </c>
      <c r="BX390" s="48">
        <v>-0.26893285925034</v>
      </c>
      <c r="BY390" s="48">
        <v>0.11000969785880689</v>
      </c>
      <c r="BZ390" s="18" t="e">
        <f t="shared" si="108"/>
        <v>#N/A</v>
      </c>
    </row>
    <row r="391" spans="1:78" x14ac:dyDescent="0.3">
      <c r="A391" s="19">
        <v>366</v>
      </c>
      <c r="B391" s="19">
        <v>0</v>
      </c>
      <c r="C391" s="19">
        <v>4</v>
      </c>
      <c r="D391" s="19">
        <v>45.898193205671099</v>
      </c>
      <c r="E391" s="22">
        <v>9321</v>
      </c>
      <c r="F391" s="22">
        <v>3801</v>
      </c>
      <c r="G391" s="23">
        <v>2641</v>
      </c>
      <c r="H391" s="23">
        <v>2879</v>
      </c>
      <c r="I391" s="24">
        <v>17.899999999999999</v>
      </c>
      <c r="J391" s="24">
        <v>71.599999999999994</v>
      </c>
      <c r="K391" s="22">
        <v>6604</v>
      </c>
      <c r="L391" s="22">
        <v>21991</v>
      </c>
      <c r="M391" s="22">
        <v>6249</v>
      </c>
      <c r="N391" s="22">
        <v>2469</v>
      </c>
      <c r="O391" s="25">
        <v>3336.63</v>
      </c>
      <c r="P391" s="24">
        <v>80.400000000000006</v>
      </c>
      <c r="Q391" s="22">
        <v>2672</v>
      </c>
      <c r="R391" s="23">
        <v>0</v>
      </c>
      <c r="U391" s="19">
        <v>366</v>
      </c>
      <c r="V391" s="19">
        <v>0</v>
      </c>
      <c r="W391" s="19">
        <v>4</v>
      </c>
      <c r="X391" s="19">
        <f t="shared" si="93"/>
        <v>-0.36833981661172061</v>
      </c>
      <c r="Y391" s="19">
        <f t="shared" si="94"/>
        <v>-0.38164362412129144</v>
      </c>
      <c r="Z391" s="19">
        <f t="shared" si="95"/>
        <v>-0.44702348116510726</v>
      </c>
      <c r="AA391" s="19">
        <f t="shared" si="96"/>
        <v>-0.5698162803018092</v>
      </c>
      <c r="AB391" s="19">
        <f t="shared" si="97"/>
        <v>-0.27685109934201468</v>
      </c>
      <c r="AC391" s="19">
        <f t="shared" si="98"/>
        <v>1.0690328190987888</v>
      </c>
      <c r="AD391" s="19">
        <f t="shared" si="99"/>
        <v>-0.28078367420375999</v>
      </c>
      <c r="AE391" s="19">
        <f t="shared" si="100"/>
        <v>-0.5926146009044394</v>
      </c>
      <c r="AF391" s="19">
        <f t="shared" si="101"/>
        <v>-0.57659492107198906</v>
      </c>
      <c r="AG391" s="19">
        <f t="shared" si="102"/>
        <v>-0.49848728695221212</v>
      </c>
      <c r="AH391" s="19">
        <f t="shared" si="103"/>
        <v>-0.3539199125659756</v>
      </c>
      <c r="AI391" s="19">
        <f t="shared" si="104"/>
        <v>-0.39671126253327571</v>
      </c>
      <c r="AJ391" s="19">
        <f t="shared" si="105"/>
        <v>-0.39547552393932284</v>
      </c>
      <c r="AK391" s="19">
        <f t="shared" si="106"/>
        <v>-0.38313886204978032</v>
      </c>
      <c r="AL391" s="19">
        <f t="shared" si="107"/>
        <v>-0.40402566857224581</v>
      </c>
      <c r="BV391" s="16">
        <v>0</v>
      </c>
      <c r="BW391" s="18">
        <v>363</v>
      </c>
      <c r="BX391" s="48">
        <v>1.4584972357189778</v>
      </c>
      <c r="BY391" s="48">
        <v>-1.0574928104299421</v>
      </c>
      <c r="BZ391" s="18" t="e">
        <f t="shared" si="108"/>
        <v>#N/A</v>
      </c>
    </row>
    <row r="392" spans="1:78" x14ac:dyDescent="0.3">
      <c r="A392" s="19">
        <v>367</v>
      </c>
      <c r="B392" s="19">
        <v>0</v>
      </c>
      <c r="C392" s="19">
        <v>4</v>
      </c>
      <c r="D392" s="19">
        <v>42.564541172188598</v>
      </c>
      <c r="E392" s="22">
        <v>21526</v>
      </c>
      <c r="F392" s="22">
        <v>6998</v>
      </c>
      <c r="G392" s="23">
        <v>6980</v>
      </c>
      <c r="H392" s="23">
        <v>7548</v>
      </c>
      <c r="I392" s="24">
        <v>15.9</v>
      </c>
      <c r="J392" s="24">
        <v>181.5</v>
      </c>
      <c r="K392" s="22">
        <v>22381</v>
      </c>
      <c r="L392" s="22">
        <v>66162</v>
      </c>
      <c r="M392" s="22">
        <v>14854</v>
      </c>
      <c r="N392" s="22">
        <v>9548</v>
      </c>
      <c r="O392" s="25">
        <v>3107.9</v>
      </c>
      <c r="P392" s="24">
        <v>74.900000000000006</v>
      </c>
      <c r="Q392" s="22">
        <v>5553</v>
      </c>
      <c r="R392" s="23">
        <v>2633</v>
      </c>
      <c r="U392" s="19">
        <v>367</v>
      </c>
      <c r="V392" s="19">
        <v>0</v>
      </c>
      <c r="W392" s="19">
        <v>4</v>
      </c>
      <c r="X392" s="19">
        <f t="shared" si="93"/>
        <v>-0.47149734966498863</v>
      </c>
      <c r="Y392" s="19">
        <f t="shared" si="94"/>
        <v>-0.15292350649204697</v>
      </c>
      <c r="Z392" s="19">
        <f t="shared" si="95"/>
        <v>0.13985691281279763</v>
      </c>
      <c r="AA392" s="19">
        <f t="shared" si="96"/>
        <v>-0.10831128798080211</v>
      </c>
      <c r="AB392" s="19">
        <f t="shared" si="97"/>
        <v>-0.17404098393379341</v>
      </c>
      <c r="AC392" s="19">
        <f t="shared" si="98"/>
        <v>0.68935856211711743</v>
      </c>
      <c r="AD392" s="19">
        <f t="shared" si="99"/>
        <v>-0.19699562079233113</v>
      </c>
      <c r="AE392" s="19">
        <f t="shared" si="100"/>
        <v>0.2162779689411076</v>
      </c>
      <c r="AF392" s="19">
        <f t="shared" si="101"/>
        <v>4.1990600820503265E-2</v>
      </c>
      <c r="AG392" s="19">
        <f t="shared" si="102"/>
        <v>-0.18251282003582184</v>
      </c>
      <c r="AH392" s="19">
        <f t="shared" si="103"/>
        <v>-6.0588242012343412E-2</v>
      </c>
      <c r="AI392" s="19">
        <f t="shared" si="104"/>
        <v>-0.86033743228583848</v>
      </c>
      <c r="AJ392" s="19">
        <f t="shared" si="105"/>
        <v>-0.85821421223469829</v>
      </c>
      <c r="AK392" s="19">
        <f t="shared" si="106"/>
        <v>-0.3185462649648193</v>
      </c>
      <c r="AL392" s="19">
        <f t="shared" si="107"/>
        <v>1.0372213363452705</v>
      </c>
      <c r="BV392" s="16">
        <v>0</v>
      </c>
      <c r="BW392" s="18">
        <v>364</v>
      </c>
      <c r="BX392" s="48">
        <v>1.4423808665688265</v>
      </c>
      <c r="BY392" s="48">
        <v>-0.64555969150069192</v>
      </c>
      <c r="BZ392" s="18" t="e">
        <f t="shared" si="108"/>
        <v>#N/A</v>
      </c>
    </row>
    <row r="393" spans="1:78" x14ac:dyDescent="0.3">
      <c r="A393" s="19">
        <v>368</v>
      </c>
      <c r="B393" s="19">
        <v>0</v>
      </c>
      <c r="C393" s="19">
        <v>4</v>
      </c>
      <c r="D393" s="19">
        <v>41.509604009701597</v>
      </c>
      <c r="E393" s="22">
        <v>24521</v>
      </c>
      <c r="F393" s="22">
        <v>5340</v>
      </c>
      <c r="G393" s="23">
        <v>9659</v>
      </c>
      <c r="H393" s="23">
        <v>9522</v>
      </c>
      <c r="I393" s="24">
        <v>12.3</v>
      </c>
      <c r="J393" s="24">
        <v>1058.9000000000001</v>
      </c>
      <c r="K393" s="22">
        <v>19272</v>
      </c>
      <c r="L393" s="22">
        <v>63243</v>
      </c>
      <c r="M393" s="22">
        <v>17249</v>
      </c>
      <c r="N393" s="22">
        <v>7559</v>
      </c>
      <c r="O393" s="25">
        <v>3516.4</v>
      </c>
      <c r="P393" s="24">
        <v>84.7</v>
      </c>
      <c r="Q393" s="22">
        <v>5509</v>
      </c>
      <c r="R393" s="23">
        <v>480</v>
      </c>
      <c r="U393" s="19">
        <v>368</v>
      </c>
      <c r="V393" s="19">
        <v>0</v>
      </c>
      <c r="W393" s="19">
        <v>4</v>
      </c>
      <c r="X393" s="19">
        <f t="shared" si="93"/>
        <v>-0.50414164310514398</v>
      </c>
      <c r="Y393" s="19">
        <f t="shared" si="94"/>
        <v>-9.6797594791957917E-2</v>
      </c>
      <c r="Z393" s="19">
        <f t="shared" si="95"/>
        <v>-0.16450583138969418</v>
      </c>
      <c r="AA393" s="19">
        <f t="shared" si="96"/>
        <v>0.17663267939139837</v>
      </c>
      <c r="AB393" s="19">
        <f t="shared" si="97"/>
        <v>-0.13057403858878833</v>
      </c>
      <c r="AC393" s="19">
        <f t="shared" si="98"/>
        <v>5.9448995501087173E-3</v>
      </c>
      <c r="AD393" s="19">
        <f t="shared" si="99"/>
        <v>0.47193648169345331</v>
      </c>
      <c r="AE393" s="19">
        <f t="shared" si="100"/>
        <v>5.6878399970466426E-2</v>
      </c>
      <c r="AF393" s="19">
        <f t="shared" si="101"/>
        <v>1.1119442719944033E-3</v>
      </c>
      <c r="AG393" s="19">
        <f t="shared" si="102"/>
        <v>-9.4568735403078683E-2</v>
      </c>
      <c r="AH393" s="19">
        <f t="shared" si="103"/>
        <v>-0.14300619549887744</v>
      </c>
      <c r="AI393" s="19">
        <f t="shared" si="104"/>
        <v>-3.2324970676421871E-2</v>
      </c>
      <c r="AJ393" s="19">
        <f t="shared" si="105"/>
        <v>-3.3698003999302298E-2</v>
      </c>
      <c r="AK393" s="19">
        <f t="shared" si="106"/>
        <v>-0.31953275377833484</v>
      </c>
      <c r="AL393" s="19">
        <f t="shared" si="107"/>
        <v>-0.1412840953248444</v>
      </c>
      <c r="BV393" s="16">
        <v>0</v>
      </c>
      <c r="BW393" s="18">
        <v>365</v>
      </c>
      <c r="BX393" s="48">
        <v>1.6083474749381677</v>
      </c>
      <c r="BY393" s="48">
        <v>-0.79232237376063064</v>
      </c>
      <c r="BZ393" s="18" t="e">
        <f t="shared" si="108"/>
        <v>#N/A</v>
      </c>
    </row>
    <row r="394" spans="1:78" x14ac:dyDescent="0.3">
      <c r="A394" s="19">
        <v>369</v>
      </c>
      <c r="B394" s="19">
        <v>1</v>
      </c>
      <c r="C394" s="19">
        <v>4</v>
      </c>
      <c r="D394" s="19">
        <v>0</v>
      </c>
      <c r="E394" s="22">
        <v>121440</v>
      </c>
      <c r="F394" s="22">
        <v>825</v>
      </c>
      <c r="G394" s="23">
        <v>37535</v>
      </c>
      <c r="H394" s="23">
        <v>83080</v>
      </c>
      <c r="I394" s="24">
        <v>5.4</v>
      </c>
      <c r="J394" s="24">
        <v>1826</v>
      </c>
      <c r="K394" s="22">
        <v>55757</v>
      </c>
      <c r="L394" s="22">
        <v>217487</v>
      </c>
      <c r="M394" s="22">
        <v>82401</v>
      </c>
      <c r="N394" s="22">
        <v>42864</v>
      </c>
      <c r="O394" s="25">
        <v>3850.09</v>
      </c>
      <c r="P394" s="24">
        <v>92.8</v>
      </c>
      <c r="Q394" s="22">
        <v>140733</v>
      </c>
      <c r="R394" s="23">
        <v>0</v>
      </c>
      <c r="U394" s="19">
        <v>369</v>
      </c>
      <c r="V394" s="19">
        <v>1</v>
      </c>
      <c r="W394" s="19">
        <v>4</v>
      </c>
      <c r="X394" s="19">
        <f t="shared" si="93"/>
        <v>-1.7886273376680637</v>
      </c>
      <c r="Y394" s="19">
        <f t="shared" si="94"/>
        <v>1.7194518997192048</v>
      </c>
      <c r="Z394" s="19">
        <f t="shared" si="95"/>
        <v>-0.99333441406415168</v>
      </c>
      <c r="AA394" s="19">
        <f t="shared" si="96"/>
        <v>3.1415815537726828</v>
      </c>
      <c r="AB394" s="19">
        <f t="shared" si="97"/>
        <v>1.4891531983351656</v>
      </c>
      <c r="AC394" s="19">
        <f t="shared" si="98"/>
        <v>-1.3039312870366582</v>
      </c>
      <c r="AD394" s="19">
        <f t="shared" si="99"/>
        <v>1.0567755696998873</v>
      </c>
      <c r="AE394" s="19">
        <f t="shared" si="100"/>
        <v>1.9274777161151573</v>
      </c>
      <c r="AF394" s="19">
        <f t="shared" si="101"/>
        <v>2.1611967338123166</v>
      </c>
      <c r="AG394" s="19">
        <f t="shared" si="102"/>
        <v>2.2978041255541157</v>
      </c>
      <c r="AH394" s="19">
        <f t="shared" si="103"/>
        <v>1.319922838106997</v>
      </c>
      <c r="AI394" s="19">
        <f t="shared" si="104"/>
        <v>0.64405074123164729</v>
      </c>
      <c r="AJ394" s="19">
        <f t="shared" si="105"/>
        <v>0.64778988239934099</v>
      </c>
      <c r="AK394" s="19">
        <f t="shared" si="106"/>
        <v>2.7122164125586194</v>
      </c>
      <c r="AL394" s="19">
        <f t="shared" si="107"/>
        <v>-0.40402566857224581</v>
      </c>
      <c r="BV394" s="16">
        <v>0</v>
      </c>
      <c r="BW394" s="18">
        <v>366</v>
      </c>
      <c r="BX394" s="48">
        <v>1.4814949106376289</v>
      </c>
      <c r="BY394" s="48">
        <v>-0.22231694013414338</v>
      </c>
      <c r="BZ394" s="18" t="e">
        <f t="shared" si="108"/>
        <v>#N/A</v>
      </c>
    </row>
    <row r="395" spans="1:78" x14ac:dyDescent="0.3">
      <c r="A395" s="19">
        <v>370</v>
      </c>
      <c r="B395" s="19">
        <v>0</v>
      </c>
      <c r="C395" s="19">
        <v>4</v>
      </c>
      <c r="D395" s="19">
        <v>58.405301018265398</v>
      </c>
      <c r="E395" s="22">
        <v>39116</v>
      </c>
      <c r="F395" s="22">
        <v>7683</v>
      </c>
      <c r="G395" s="23">
        <v>14165</v>
      </c>
      <c r="H395" s="23">
        <v>17268</v>
      </c>
      <c r="I395" s="24">
        <v>18.2</v>
      </c>
      <c r="J395" s="24">
        <v>764.1</v>
      </c>
      <c r="K395" s="22">
        <v>27565</v>
      </c>
      <c r="L395" s="22">
        <v>103708</v>
      </c>
      <c r="M395" s="22">
        <v>31272</v>
      </c>
      <c r="N395" s="22">
        <v>13377</v>
      </c>
      <c r="O395" s="25">
        <v>3257.22</v>
      </c>
      <c r="P395" s="24">
        <v>78.5</v>
      </c>
      <c r="Q395" s="22">
        <v>57288</v>
      </c>
      <c r="R395" s="23">
        <v>303</v>
      </c>
      <c r="U395" s="19">
        <v>370</v>
      </c>
      <c r="V395" s="19">
        <v>0</v>
      </c>
      <c r="W395" s="19">
        <v>4</v>
      </c>
      <c r="X395" s="19">
        <f t="shared" si="93"/>
        <v>1.8683896307312778E-2</v>
      </c>
      <c r="Y395" s="19">
        <f t="shared" si="94"/>
        <v>0.17671081297525409</v>
      </c>
      <c r="Z395" s="19">
        <f t="shared" si="95"/>
        <v>0.26560388493505754</v>
      </c>
      <c r="AA395" s="19">
        <f t="shared" si="96"/>
        <v>0.65590013627050825</v>
      </c>
      <c r="AB395" s="19">
        <f t="shared" si="97"/>
        <v>3.9990783418511318E-2</v>
      </c>
      <c r="AC395" s="19">
        <f t="shared" si="98"/>
        <v>1.1259839576460395</v>
      </c>
      <c r="AD395" s="19">
        <f t="shared" si="99"/>
        <v>0.24718017463531647</v>
      </c>
      <c r="AE395" s="19">
        <f t="shared" si="100"/>
        <v>0.48206354808031759</v>
      </c>
      <c r="AF395" s="19">
        <f t="shared" si="101"/>
        <v>0.56779739724746925</v>
      </c>
      <c r="AG395" s="19">
        <f t="shared" si="102"/>
        <v>0.42035397808542113</v>
      </c>
      <c r="AH395" s="19">
        <f t="shared" si="103"/>
        <v>9.8073569903161281E-2</v>
      </c>
      <c r="AI395" s="19">
        <f t="shared" si="104"/>
        <v>-0.5576720203702501</v>
      </c>
      <c r="AJ395" s="19">
        <f t="shared" si="105"/>
        <v>-0.55533070716863486</v>
      </c>
      <c r="AK395" s="19">
        <f t="shared" si="106"/>
        <v>0.84136279792669655</v>
      </c>
      <c r="AL395" s="19">
        <f t="shared" si="107"/>
        <v>-0.23817005045982367</v>
      </c>
      <c r="BV395" s="16">
        <v>0</v>
      </c>
      <c r="BW395" s="18">
        <v>367</v>
      </c>
      <c r="BX395" s="48">
        <v>0.66464121770863505</v>
      </c>
      <c r="BY395" s="48">
        <v>-0.97240473840344988</v>
      </c>
      <c r="BZ395" s="18" t="e">
        <f t="shared" si="108"/>
        <v>#N/A</v>
      </c>
    </row>
    <row r="396" spans="1:78" x14ac:dyDescent="0.3">
      <c r="A396" s="19">
        <v>371</v>
      </c>
      <c r="B396" s="19">
        <v>0</v>
      </c>
      <c r="C396" s="19">
        <v>4</v>
      </c>
      <c r="D396" s="19">
        <v>70.999073009947693</v>
      </c>
      <c r="E396" s="22">
        <v>16699</v>
      </c>
      <c r="F396" s="22">
        <v>7112</v>
      </c>
      <c r="G396" s="23">
        <v>3472</v>
      </c>
      <c r="H396" s="23">
        <v>6115</v>
      </c>
      <c r="I396" s="24">
        <v>20.3</v>
      </c>
      <c r="J396" s="24">
        <v>60.1</v>
      </c>
      <c r="K396" s="22">
        <v>13420</v>
      </c>
      <c r="L396" s="22">
        <v>42405</v>
      </c>
      <c r="M396" s="22">
        <v>10998</v>
      </c>
      <c r="N396" s="22">
        <v>4862</v>
      </c>
      <c r="O396" s="25">
        <v>2859.77</v>
      </c>
      <c r="P396" s="24">
        <v>68.900000000000006</v>
      </c>
      <c r="Q396" s="22">
        <v>1210</v>
      </c>
      <c r="R396" s="23">
        <v>36</v>
      </c>
      <c r="U396" s="19">
        <v>371</v>
      </c>
      <c r="V396" s="19">
        <v>0</v>
      </c>
      <c r="W396" s="19">
        <v>4</v>
      </c>
      <c r="X396" s="19">
        <f t="shared" si="93"/>
        <v>0.40838937169855749</v>
      </c>
      <c r="Y396" s="19">
        <f t="shared" si="94"/>
        <v>-0.24338086067446099</v>
      </c>
      <c r="Z396" s="19">
        <f t="shared" si="95"/>
        <v>0.1607841461294949</v>
      </c>
      <c r="AA396" s="19">
        <f t="shared" si="96"/>
        <v>-0.48142940576418369</v>
      </c>
      <c r="AB396" s="19">
        <f t="shared" si="97"/>
        <v>-0.20559525580785232</v>
      </c>
      <c r="AC396" s="19">
        <f t="shared" si="98"/>
        <v>1.5246419274767951</v>
      </c>
      <c r="AD396" s="19">
        <f t="shared" si="99"/>
        <v>-0.28955130490650277</v>
      </c>
      <c r="AE396" s="19">
        <f t="shared" si="100"/>
        <v>-0.24315578388807077</v>
      </c>
      <c r="AF396" s="19">
        <f t="shared" si="101"/>
        <v>-0.29071040761489414</v>
      </c>
      <c r="AG396" s="19">
        <f t="shared" si="102"/>
        <v>-0.32410463228795444</v>
      </c>
      <c r="AH396" s="19">
        <f t="shared" si="103"/>
        <v>-0.25476145972873282</v>
      </c>
      <c r="AI396" s="19">
        <f t="shared" si="104"/>
        <v>-1.3632865928712599</v>
      </c>
      <c r="AJ396" s="19">
        <f t="shared" si="105"/>
        <v>-1.3630200540114714</v>
      </c>
      <c r="AK396" s="19">
        <f t="shared" si="106"/>
        <v>-0.41591719489886503</v>
      </c>
      <c r="AL396" s="19">
        <f t="shared" si="107"/>
        <v>-0.38432005057869068</v>
      </c>
      <c r="BV396" s="16">
        <v>0</v>
      </c>
      <c r="BW396" s="18">
        <v>368</v>
      </c>
      <c r="BX396" s="48">
        <v>2.7901505266680329E-4</v>
      </c>
      <c r="BY396" s="48">
        <v>0.11557861833789958</v>
      </c>
      <c r="BZ396" s="18" t="e">
        <f t="shared" si="108"/>
        <v>#N/A</v>
      </c>
    </row>
    <row r="397" spans="1:78" x14ac:dyDescent="0.3">
      <c r="A397" s="19">
        <v>372</v>
      </c>
      <c r="B397" s="19">
        <v>0</v>
      </c>
      <c r="C397" s="19">
        <v>4</v>
      </c>
      <c r="D397" s="19">
        <v>41.113576895633599</v>
      </c>
      <c r="E397" s="22">
        <v>64026</v>
      </c>
      <c r="F397" s="22">
        <v>497</v>
      </c>
      <c r="G397" s="23">
        <v>17489</v>
      </c>
      <c r="H397" s="23">
        <v>46040</v>
      </c>
      <c r="I397" s="24">
        <v>6.9</v>
      </c>
      <c r="J397" s="24">
        <v>933.5</v>
      </c>
      <c r="K397" s="22">
        <v>33384</v>
      </c>
      <c r="L397" s="22">
        <v>126388</v>
      </c>
      <c r="M397" s="22">
        <v>42917</v>
      </c>
      <c r="N397" s="22">
        <v>25937</v>
      </c>
      <c r="O397" s="25">
        <v>3991.61</v>
      </c>
      <c r="P397" s="24">
        <v>96.2</v>
      </c>
      <c r="Q397" s="22">
        <v>104277</v>
      </c>
      <c r="R397" s="23">
        <v>0</v>
      </c>
      <c r="U397" s="19">
        <v>372</v>
      </c>
      <c r="V397" s="19">
        <v>0</v>
      </c>
      <c r="W397" s="19">
        <v>4</v>
      </c>
      <c r="X397" s="19">
        <f t="shared" si="93"/>
        <v>-0.51639642545769282</v>
      </c>
      <c r="Y397" s="19">
        <f t="shared" si="94"/>
        <v>0.64352098340904995</v>
      </c>
      <c r="Z397" s="19">
        <f t="shared" si="95"/>
        <v>-1.0535461029051754</v>
      </c>
      <c r="AA397" s="19">
        <f t="shared" si="96"/>
        <v>1.0094476344210102</v>
      </c>
      <c r="AB397" s="19">
        <f t="shared" si="97"/>
        <v>0.67354243056465457</v>
      </c>
      <c r="AC397" s="19">
        <f t="shared" si="98"/>
        <v>-1.0191755943004046</v>
      </c>
      <c r="AD397" s="19">
        <f t="shared" si="99"/>
        <v>0.37633118690006673</v>
      </c>
      <c r="AE397" s="19">
        <f t="shared" si="100"/>
        <v>0.78040580984942687</v>
      </c>
      <c r="AF397" s="19">
        <f t="shared" si="101"/>
        <v>0.88541573589775391</v>
      </c>
      <c r="AG397" s="19">
        <f t="shared" si="102"/>
        <v>0.84795684470266286</v>
      </c>
      <c r="AH397" s="19">
        <f t="shared" si="103"/>
        <v>0.61852077744004796</v>
      </c>
      <c r="AI397" s="19">
        <f t="shared" si="104"/>
        <v>0.93090587848247874</v>
      </c>
      <c r="AJ397" s="19">
        <f t="shared" si="105"/>
        <v>0.93384652607284635</v>
      </c>
      <c r="AK397" s="19">
        <f t="shared" si="106"/>
        <v>1.8948655901603766</v>
      </c>
      <c r="AL397" s="19">
        <f t="shared" si="107"/>
        <v>-0.40402566857224581</v>
      </c>
      <c r="BV397" s="16">
        <v>1</v>
      </c>
      <c r="BW397" s="18">
        <v>369</v>
      </c>
      <c r="BX397" s="48">
        <v>-6.2167464224081259</v>
      </c>
      <c r="BY397" s="48">
        <v>0.4084001196249763</v>
      </c>
      <c r="BZ397" s="18">
        <f t="shared" si="108"/>
        <v>0.4084001196249763</v>
      </c>
    </row>
    <row r="398" spans="1:78" x14ac:dyDescent="0.3">
      <c r="A398" s="19">
        <v>373</v>
      </c>
      <c r="B398" s="19">
        <v>0</v>
      </c>
      <c r="C398" s="19">
        <v>4</v>
      </c>
      <c r="D398" s="19">
        <v>87.826528714880695</v>
      </c>
      <c r="E398" s="22">
        <v>12290</v>
      </c>
      <c r="F398" s="22">
        <v>4596</v>
      </c>
      <c r="G398" s="23">
        <v>3652</v>
      </c>
      <c r="H398" s="23">
        <v>4042</v>
      </c>
      <c r="I398" s="24">
        <v>16.8</v>
      </c>
      <c r="J398" s="24">
        <v>53.1</v>
      </c>
      <c r="K398" s="22">
        <v>9895</v>
      </c>
      <c r="L398" s="22">
        <v>30432</v>
      </c>
      <c r="M398" s="22">
        <v>8054</v>
      </c>
      <c r="N398" s="22">
        <v>3416</v>
      </c>
      <c r="O398" s="25">
        <v>3067.37</v>
      </c>
      <c r="P398" s="24">
        <v>73.900000000000006</v>
      </c>
      <c r="Q398" s="22">
        <v>2140</v>
      </c>
      <c r="R398" s="23">
        <v>942</v>
      </c>
      <c r="U398" s="19">
        <v>373</v>
      </c>
      <c r="V398" s="19">
        <v>0</v>
      </c>
      <c r="W398" s="19">
        <v>4</v>
      </c>
      <c r="X398" s="19">
        <f t="shared" si="93"/>
        <v>0.92910323164831454</v>
      </c>
      <c r="Y398" s="19">
        <f t="shared" si="94"/>
        <v>-0.32600494905031829</v>
      </c>
      <c r="Z398" s="19">
        <f t="shared" si="95"/>
        <v>-0.30108356461445529</v>
      </c>
      <c r="AA398" s="19">
        <f t="shared" si="96"/>
        <v>-0.46228423438419264</v>
      </c>
      <c r="AB398" s="19">
        <f t="shared" si="97"/>
        <v>-0.25124215433885311</v>
      </c>
      <c r="AC398" s="19">
        <f t="shared" si="98"/>
        <v>0.86021197775886971</v>
      </c>
      <c r="AD398" s="19">
        <f t="shared" si="99"/>
        <v>-0.29488812359512884</v>
      </c>
      <c r="AE398" s="19">
        <f t="shared" si="100"/>
        <v>-0.423883825258772</v>
      </c>
      <c r="AF398" s="19">
        <f t="shared" si="101"/>
        <v>-0.45838432157696907</v>
      </c>
      <c r="AG398" s="19">
        <f t="shared" si="102"/>
        <v>-0.4322079246298316</v>
      </c>
      <c r="AH398" s="19">
        <f t="shared" si="103"/>
        <v>-0.31467918760280433</v>
      </c>
      <c r="AI398" s="19">
        <f t="shared" si="104"/>
        <v>-0.94249005179386736</v>
      </c>
      <c r="AJ398" s="19">
        <f t="shared" si="105"/>
        <v>-0.94234851919749385</v>
      </c>
      <c r="AK398" s="19">
        <f t="shared" si="106"/>
        <v>-0.39506640861319553</v>
      </c>
      <c r="AL398" s="19">
        <f t="shared" si="107"/>
        <v>0.11160466892577942</v>
      </c>
      <c r="BV398" s="16">
        <v>0</v>
      </c>
      <c r="BW398" s="18">
        <v>370</v>
      </c>
      <c r="BX398" s="48">
        <v>-0.76367668229004315</v>
      </c>
      <c r="BY398" s="48">
        <v>-1.3041531551301249</v>
      </c>
      <c r="BZ398" s="18" t="e">
        <f t="shared" si="108"/>
        <v>#N/A</v>
      </c>
    </row>
    <row r="399" spans="1:78" x14ac:dyDescent="0.3">
      <c r="A399" s="19">
        <v>374</v>
      </c>
      <c r="B399" s="19">
        <v>0</v>
      </c>
      <c r="C399" s="19">
        <v>4</v>
      </c>
      <c r="D399" s="19">
        <v>74.215423354070097</v>
      </c>
      <c r="E399" s="22">
        <v>17704</v>
      </c>
      <c r="F399" s="22">
        <v>5143</v>
      </c>
      <c r="G399" s="23">
        <v>3944</v>
      </c>
      <c r="H399" s="23">
        <v>8617</v>
      </c>
      <c r="I399" s="24">
        <v>17.5</v>
      </c>
      <c r="J399" s="24">
        <v>92.2</v>
      </c>
      <c r="K399" s="22">
        <v>17296</v>
      </c>
      <c r="L399" s="22">
        <v>55154</v>
      </c>
      <c r="M399" s="22">
        <v>14391</v>
      </c>
      <c r="N399" s="22">
        <v>6265</v>
      </c>
      <c r="O399" s="25">
        <v>3182.69</v>
      </c>
      <c r="P399" s="24">
        <v>76.7</v>
      </c>
      <c r="Q399" s="22">
        <v>13411</v>
      </c>
      <c r="R399" s="23">
        <v>1606</v>
      </c>
      <c r="U399" s="19">
        <v>374</v>
      </c>
      <c r="V399" s="19">
        <v>0</v>
      </c>
      <c r="W399" s="19">
        <v>4</v>
      </c>
      <c r="X399" s="19">
        <f t="shared" si="93"/>
        <v>0.50791708592975504</v>
      </c>
      <c r="Y399" s="19">
        <f t="shared" si="94"/>
        <v>-0.22454729097209386</v>
      </c>
      <c r="Z399" s="19">
        <f t="shared" si="95"/>
        <v>-0.20066955913872367</v>
      </c>
      <c r="AA399" s="19">
        <f t="shared" si="96"/>
        <v>-0.43122651192331823</v>
      </c>
      <c r="AB399" s="19">
        <f t="shared" si="97"/>
        <v>-0.15050189347087017</v>
      </c>
      <c r="AC399" s="19">
        <f t="shared" si="98"/>
        <v>0.99309796770245462</v>
      </c>
      <c r="AD399" s="19">
        <f t="shared" si="99"/>
        <v>-0.26507817920580334</v>
      </c>
      <c r="AE399" s="19">
        <f t="shared" si="100"/>
        <v>-4.4431843929818853E-2</v>
      </c>
      <c r="AF399" s="19">
        <f t="shared" si="101"/>
        <v>-0.11216912897942327</v>
      </c>
      <c r="AG399" s="19">
        <f t="shared" si="102"/>
        <v>-0.19951411906920807</v>
      </c>
      <c r="AH399" s="19">
        <f t="shared" si="103"/>
        <v>-0.19662551767664269</v>
      </c>
      <c r="AI399" s="19">
        <f t="shared" si="104"/>
        <v>-0.70874122175029808</v>
      </c>
      <c r="AJ399" s="19">
        <f t="shared" si="105"/>
        <v>-0.70677245970166658</v>
      </c>
      <c r="AK399" s="19">
        <f t="shared" si="106"/>
        <v>-0.14236833095106594</v>
      </c>
      <c r="AL399" s="19">
        <f t="shared" si="107"/>
        <v>0.47506384525135131</v>
      </c>
      <c r="BV399" s="16">
        <v>0</v>
      </c>
      <c r="BW399" s="18">
        <v>371</v>
      </c>
      <c r="BX399" s="48">
        <v>1.5863631694112215</v>
      </c>
      <c r="BY399" s="48">
        <v>-1.9453327781385494</v>
      </c>
      <c r="BZ399" s="18" t="e">
        <f t="shared" si="108"/>
        <v>#N/A</v>
      </c>
    </row>
    <row r="400" spans="1:78" x14ac:dyDescent="0.3">
      <c r="A400" s="19">
        <v>375</v>
      </c>
      <c r="B400" s="19">
        <v>0</v>
      </c>
      <c r="C400" s="19">
        <v>4</v>
      </c>
      <c r="D400" s="19">
        <v>31.8706814527254</v>
      </c>
      <c r="E400" s="22">
        <v>11553</v>
      </c>
      <c r="F400" s="22">
        <v>3907</v>
      </c>
      <c r="G400" s="23">
        <v>2891</v>
      </c>
      <c r="H400" s="23">
        <v>4755</v>
      </c>
      <c r="I400" s="24">
        <v>15.8</v>
      </c>
      <c r="J400" s="24">
        <v>154.5</v>
      </c>
      <c r="K400" s="22">
        <v>8482</v>
      </c>
      <c r="L400" s="22">
        <v>29341</v>
      </c>
      <c r="M400" s="22">
        <v>8431</v>
      </c>
      <c r="N400" s="22">
        <v>3317</v>
      </c>
      <c r="O400" s="25">
        <v>3317.85</v>
      </c>
      <c r="P400" s="24">
        <v>79.900000000000006</v>
      </c>
      <c r="Q400" s="22">
        <v>2741</v>
      </c>
      <c r="R400" s="23">
        <v>75</v>
      </c>
      <c r="U400" s="19">
        <v>375</v>
      </c>
      <c r="V400" s="19">
        <v>0</v>
      </c>
      <c r="W400" s="19">
        <v>4</v>
      </c>
      <c r="X400" s="19">
        <f t="shared" si="93"/>
        <v>-0.80241136720422412</v>
      </c>
      <c r="Y400" s="19">
        <f t="shared" si="94"/>
        <v>-0.33981623349872087</v>
      </c>
      <c r="Z400" s="19">
        <f t="shared" si="95"/>
        <v>-0.42756482562502035</v>
      </c>
      <c r="AA400" s="19">
        <f t="shared" si="96"/>
        <v>-0.54322576449626603</v>
      </c>
      <c r="AB400" s="19">
        <f t="shared" si="97"/>
        <v>-0.23554208745385383</v>
      </c>
      <c r="AC400" s="19">
        <f t="shared" si="98"/>
        <v>0.67037484926803392</v>
      </c>
      <c r="AD400" s="19">
        <f t="shared" si="99"/>
        <v>-0.21758049287703157</v>
      </c>
      <c r="AE400" s="19">
        <f t="shared" si="100"/>
        <v>-0.49632885290609136</v>
      </c>
      <c r="AF400" s="19">
        <f t="shared" si="101"/>
        <v>-0.47366305206495229</v>
      </c>
      <c r="AG400" s="19">
        <f t="shared" si="102"/>
        <v>-0.41836453427219311</v>
      </c>
      <c r="AH400" s="19">
        <f t="shared" si="103"/>
        <v>-0.31878143868131958</v>
      </c>
      <c r="AI400" s="19">
        <f t="shared" si="104"/>
        <v>-0.43477753922611539</v>
      </c>
      <c r="AJ400" s="19">
        <f t="shared" si="105"/>
        <v>-0.43754267742072062</v>
      </c>
      <c r="AK400" s="19">
        <f t="shared" si="106"/>
        <v>-0.38159186822858548</v>
      </c>
      <c r="AL400" s="19">
        <f t="shared" si="107"/>
        <v>-0.3629722977523393</v>
      </c>
      <c r="BV400" s="16">
        <v>0</v>
      </c>
      <c r="BW400" s="18">
        <v>372</v>
      </c>
      <c r="BX400" s="48">
        <v>-2.9851851416471784</v>
      </c>
      <c r="BY400" s="48">
        <v>1.2261378183657146</v>
      </c>
      <c r="BZ400" s="18" t="e">
        <f t="shared" si="108"/>
        <v>#N/A</v>
      </c>
    </row>
    <row r="401" spans="1:78" x14ac:dyDescent="0.3">
      <c r="A401" s="19">
        <v>376</v>
      </c>
      <c r="B401" s="19">
        <v>0</v>
      </c>
      <c r="C401" s="19">
        <v>4</v>
      </c>
      <c r="D401" s="19">
        <v>92.261870639922407</v>
      </c>
      <c r="E401" s="22">
        <v>16083</v>
      </c>
      <c r="F401" s="22">
        <v>5708</v>
      </c>
      <c r="G401" s="23">
        <v>3341</v>
      </c>
      <c r="H401" s="23">
        <v>7034</v>
      </c>
      <c r="I401" s="24">
        <v>17</v>
      </c>
      <c r="J401" s="24">
        <v>57.7</v>
      </c>
      <c r="K401" s="22">
        <v>13349</v>
      </c>
      <c r="L401" s="22">
        <v>44402</v>
      </c>
      <c r="M401" s="22">
        <v>12855</v>
      </c>
      <c r="N401" s="22">
        <v>5398</v>
      </c>
      <c r="O401" s="25">
        <v>3042.27</v>
      </c>
      <c r="P401" s="24">
        <v>73.3</v>
      </c>
      <c r="Q401" s="22">
        <v>9289</v>
      </c>
      <c r="R401" s="23">
        <v>2748</v>
      </c>
      <c r="U401" s="19">
        <v>376</v>
      </c>
      <c r="V401" s="19">
        <v>0</v>
      </c>
      <c r="W401" s="19">
        <v>4</v>
      </c>
      <c r="X401" s="19">
        <f t="shared" si="93"/>
        <v>1.0663517886781457</v>
      </c>
      <c r="Y401" s="19">
        <f t="shared" si="94"/>
        <v>-0.25492462081043921</v>
      </c>
      <c r="Z401" s="19">
        <f t="shared" si="95"/>
        <v>-9.6951253665618797E-2</v>
      </c>
      <c r="AA401" s="19">
        <f t="shared" si="96"/>
        <v>-0.49536283604628834</v>
      </c>
      <c r="AB401" s="19">
        <f t="shared" si="97"/>
        <v>-0.18535912471764984</v>
      </c>
      <c r="AC401" s="19">
        <f t="shared" si="98"/>
        <v>0.89817940345703673</v>
      </c>
      <c r="AD401" s="19">
        <f t="shared" si="99"/>
        <v>-0.29138107131403174</v>
      </c>
      <c r="AE401" s="19">
        <f t="shared" si="100"/>
        <v>-0.24679597989865792</v>
      </c>
      <c r="AF401" s="19">
        <f t="shared" si="101"/>
        <v>-0.2627437487840027</v>
      </c>
      <c r="AG401" s="19">
        <f t="shared" si="102"/>
        <v>-0.25591583681279617</v>
      </c>
      <c r="AH401" s="19">
        <f t="shared" si="103"/>
        <v>-0.23255129227333701</v>
      </c>
      <c r="AI401" s="19">
        <f t="shared" si="104"/>
        <v>-0.99336670488174073</v>
      </c>
      <c r="AJ401" s="19">
        <f t="shared" si="105"/>
        <v>-0.99282910337517183</v>
      </c>
      <c r="AK401" s="19">
        <f t="shared" si="106"/>
        <v>-0.23478439661722672</v>
      </c>
      <c r="AL401" s="19">
        <f t="shared" si="107"/>
        <v>1.1001698382691272</v>
      </c>
      <c r="BV401" s="16">
        <v>0</v>
      </c>
      <c r="BW401" s="18">
        <v>373</v>
      </c>
      <c r="BX401" s="48">
        <v>1.5720518578189646</v>
      </c>
      <c r="BY401" s="48">
        <v>-1.0698344157724329</v>
      </c>
      <c r="BZ401" s="18" t="e">
        <f t="shared" si="108"/>
        <v>#N/A</v>
      </c>
    </row>
    <row r="402" spans="1:78" x14ac:dyDescent="0.3">
      <c r="A402" s="19">
        <v>377</v>
      </c>
      <c r="B402" s="19">
        <v>0</v>
      </c>
      <c r="C402" s="19">
        <v>4</v>
      </c>
      <c r="D402" s="19">
        <v>47.285408316699503</v>
      </c>
      <c r="E402" s="22">
        <v>22582</v>
      </c>
      <c r="F402" s="22">
        <v>517</v>
      </c>
      <c r="G402" s="23">
        <v>8240</v>
      </c>
      <c r="H402" s="23">
        <v>13825</v>
      </c>
      <c r="I402" s="24">
        <v>14.2</v>
      </c>
      <c r="J402" s="24">
        <v>220.4</v>
      </c>
      <c r="K402" s="22">
        <v>16672</v>
      </c>
      <c r="L402" s="22">
        <v>59278</v>
      </c>
      <c r="M402" s="22">
        <v>20369</v>
      </c>
      <c r="N402" s="22">
        <v>8142</v>
      </c>
      <c r="O402" s="25">
        <v>3212.29</v>
      </c>
      <c r="P402" s="24">
        <v>77.400000000000006</v>
      </c>
      <c r="Q402" s="22">
        <v>25627</v>
      </c>
      <c r="R402" s="23">
        <v>0</v>
      </c>
      <c r="U402" s="19">
        <v>377</v>
      </c>
      <c r="V402" s="19">
        <v>0</v>
      </c>
      <c r="W402" s="19">
        <v>4</v>
      </c>
      <c r="X402" s="19">
        <f t="shared" si="93"/>
        <v>-0.32541341420660386</v>
      </c>
      <c r="Y402" s="19">
        <f t="shared" si="94"/>
        <v>-0.13313420340179855</v>
      </c>
      <c r="Z402" s="19">
        <f t="shared" si="95"/>
        <v>-1.0498746584636496</v>
      </c>
      <c r="AA402" s="19">
        <f t="shared" si="96"/>
        <v>2.5704911679135405E-2</v>
      </c>
      <c r="AB402" s="19">
        <f t="shared" si="97"/>
        <v>-3.5823144050005674E-2</v>
      </c>
      <c r="AC402" s="19">
        <f t="shared" si="98"/>
        <v>0.36663544368269646</v>
      </c>
      <c r="AD402" s="19">
        <f t="shared" si="99"/>
        <v>-0.16733815693696638</v>
      </c>
      <c r="AE402" s="19">
        <f t="shared" si="100"/>
        <v>-7.6424552529908943E-2</v>
      </c>
      <c r="AF402" s="19">
        <f t="shared" si="101"/>
        <v>-5.4415247648128121E-2</v>
      </c>
      <c r="AG402" s="19">
        <f t="shared" si="102"/>
        <v>1.9997253763584608E-2</v>
      </c>
      <c r="AH402" s="19">
        <f t="shared" si="103"/>
        <v>-0.11884849470317642</v>
      </c>
      <c r="AI402" s="19">
        <f t="shared" si="104"/>
        <v>-0.64874325635583385</v>
      </c>
      <c r="AJ402" s="19">
        <f t="shared" si="105"/>
        <v>-0.6478784448277094</v>
      </c>
      <c r="AK402" s="19">
        <f t="shared" si="106"/>
        <v>0.1315168360013407</v>
      </c>
      <c r="AL402" s="19">
        <f t="shared" si="107"/>
        <v>-0.40402566857224581</v>
      </c>
      <c r="BV402" s="16">
        <v>0</v>
      </c>
      <c r="BW402" s="18">
        <v>374</v>
      </c>
      <c r="BX402" s="48">
        <v>0.96976951655391475</v>
      </c>
      <c r="BY402" s="48">
        <v>-0.93470975762780639</v>
      </c>
      <c r="BZ402" s="18" t="e">
        <f t="shared" si="108"/>
        <v>#N/A</v>
      </c>
    </row>
    <row r="403" spans="1:78" x14ac:dyDescent="0.3">
      <c r="A403" s="19">
        <v>378</v>
      </c>
      <c r="B403" s="19">
        <v>0</v>
      </c>
      <c r="C403" s="19">
        <v>4</v>
      </c>
      <c r="D403" s="19">
        <v>52</v>
      </c>
      <c r="E403" s="22">
        <v>11893</v>
      </c>
      <c r="F403" s="22">
        <v>3715</v>
      </c>
      <c r="G403" s="23">
        <v>3999</v>
      </c>
      <c r="H403" s="23">
        <v>4179</v>
      </c>
      <c r="I403" s="24">
        <v>17.5</v>
      </c>
      <c r="J403" s="24">
        <v>145.69999999999999</v>
      </c>
      <c r="K403" s="22">
        <v>10141</v>
      </c>
      <c r="L403" s="22">
        <v>33263</v>
      </c>
      <c r="M403" s="22">
        <v>8957</v>
      </c>
      <c r="N403" s="22">
        <v>3654</v>
      </c>
      <c r="O403" s="25">
        <v>3299.94</v>
      </c>
      <c r="P403" s="24">
        <v>79.5</v>
      </c>
      <c r="Q403" s="22">
        <v>3062</v>
      </c>
      <c r="R403" s="23">
        <v>210</v>
      </c>
      <c r="U403" s="19">
        <v>378</v>
      </c>
      <c r="V403" s="19">
        <v>0</v>
      </c>
      <c r="W403" s="19">
        <v>4</v>
      </c>
      <c r="X403" s="19">
        <f t="shared" si="93"/>
        <v>-0.17952366851089835</v>
      </c>
      <c r="Y403" s="19">
        <f t="shared" si="94"/>
        <v>-0.33344467757951207</v>
      </c>
      <c r="Z403" s="19">
        <f t="shared" si="95"/>
        <v>-0.46281069226366839</v>
      </c>
      <c r="AA403" s="19">
        <f t="shared" si="96"/>
        <v>-0.42537659844609871</v>
      </c>
      <c r="AB403" s="19">
        <f t="shared" si="97"/>
        <v>-0.2482254514451015</v>
      </c>
      <c r="AC403" s="19">
        <f t="shared" si="98"/>
        <v>0.99309796770245462</v>
      </c>
      <c r="AD403" s="19">
        <f t="shared" si="99"/>
        <v>-0.22428963637130434</v>
      </c>
      <c r="AE403" s="19">
        <f t="shared" si="100"/>
        <v>-0.41127131513758264</v>
      </c>
      <c r="AF403" s="19">
        <f t="shared" si="101"/>
        <v>-0.41873804658936076</v>
      </c>
      <c r="AG403" s="19">
        <f t="shared" si="102"/>
        <v>-0.39904988353448001</v>
      </c>
      <c r="AH403" s="19">
        <f t="shared" si="103"/>
        <v>-0.30481721026253528</v>
      </c>
      <c r="AI403" s="19">
        <f t="shared" si="104"/>
        <v>-0.4710803622063468</v>
      </c>
      <c r="AJ403" s="19">
        <f t="shared" si="105"/>
        <v>-0.47119640020583931</v>
      </c>
      <c r="AK403" s="19">
        <f t="shared" si="106"/>
        <v>-0.37439498392998344</v>
      </c>
      <c r="AL403" s="19">
        <f t="shared" si="107"/>
        <v>-0.2890762302765077</v>
      </c>
      <c r="BV403" s="16">
        <v>0</v>
      </c>
      <c r="BW403" s="18">
        <v>375</v>
      </c>
      <c r="BX403" s="48">
        <v>1.2591743663011836</v>
      </c>
      <c r="BY403" s="48">
        <v>-0.12634224666096994</v>
      </c>
      <c r="BZ403" s="18" t="e">
        <f t="shared" si="108"/>
        <v>#N/A</v>
      </c>
    </row>
    <row r="404" spans="1:78" x14ac:dyDescent="0.3">
      <c r="A404" s="19">
        <v>379</v>
      </c>
      <c r="B404" s="19">
        <v>0</v>
      </c>
      <c r="C404" s="19">
        <v>2</v>
      </c>
      <c r="D404" s="19">
        <v>56.089071436590203</v>
      </c>
      <c r="E404" s="22">
        <v>7136</v>
      </c>
      <c r="F404" s="22">
        <v>1286</v>
      </c>
      <c r="G404" s="23">
        <v>1771</v>
      </c>
      <c r="H404" s="23">
        <v>4079</v>
      </c>
      <c r="I404" s="24">
        <v>22.4</v>
      </c>
      <c r="J404" s="24">
        <v>66.900000000000006</v>
      </c>
      <c r="K404" s="22">
        <v>9090</v>
      </c>
      <c r="L404" s="22">
        <v>35967</v>
      </c>
      <c r="M404" s="22">
        <v>11966</v>
      </c>
      <c r="N404" s="22">
        <v>6267</v>
      </c>
      <c r="O404" s="25">
        <v>3293.54</v>
      </c>
      <c r="P404" s="24">
        <v>79.3</v>
      </c>
      <c r="Q404" s="22">
        <v>16884</v>
      </c>
      <c r="R404" s="23">
        <v>566</v>
      </c>
      <c r="U404" s="19">
        <v>379</v>
      </c>
      <c r="V404" s="19">
        <v>0</v>
      </c>
      <c r="W404" s="19">
        <v>2</v>
      </c>
      <c r="X404" s="19">
        <f t="shared" si="93"/>
        <v>-5.2990209817378037E-2</v>
      </c>
      <c r="Y404" s="19">
        <f t="shared" si="94"/>
        <v>-0.42259024083738311</v>
      </c>
      <c r="Z404" s="19">
        <f t="shared" si="95"/>
        <v>-0.90870761968698122</v>
      </c>
      <c r="AA404" s="19">
        <f t="shared" si="96"/>
        <v>-0.66235127530509941</v>
      </c>
      <c r="AB404" s="19">
        <f t="shared" si="97"/>
        <v>-0.25042742436024867</v>
      </c>
      <c r="AC404" s="19">
        <f t="shared" si="98"/>
        <v>1.9232998973075497</v>
      </c>
      <c r="AD404" s="19">
        <f t="shared" si="99"/>
        <v>-0.28436696675183754</v>
      </c>
      <c r="AE404" s="19">
        <f t="shared" si="100"/>
        <v>-0.46515647016754202</v>
      </c>
      <c r="AF404" s="19">
        <f t="shared" si="101"/>
        <v>-0.3808703222635067</v>
      </c>
      <c r="AG404" s="19">
        <f t="shared" si="102"/>
        <v>-0.28855979975163065</v>
      </c>
      <c r="AH404" s="19">
        <f t="shared" si="103"/>
        <v>-0.19654264391748075</v>
      </c>
      <c r="AI404" s="19">
        <f t="shared" si="104"/>
        <v>-0.4840528952646096</v>
      </c>
      <c r="AJ404" s="19">
        <f t="shared" si="105"/>
        <v>-0.48802326159839865</v>
      </c>
      <c r="AK404" s="19">
        <f t="shared" si="106"/>
        <v>-6.4502975284259439E-2</v>
      </c>
      <c r="AL404" s="19">
        <f t="shared" si="107"/>
        <v>-9.4209563451351661E-2</v>
      </c>
      <c r="BV404" s="16">
        <v>0</v>
      </c>
      <c r="BW404" s="18">
        <v>376</v>
      </c>
      <c r="BX404" s="48">
        <v>1.3258508536678328</v>
      </c>
      <c r="BY404" s="48">
        <v>-1.2350018901935138</v>
      </c>
      <c r="BZ404" s="18" t="e">
        <f t="shared" si="108"/>
        <v>#N/A</v>
      </c>
    </row>
    <row r="405" spans="1:78" x14ac:dyDescent="0.3">
      <c r="A405" s="19">
        <v>380</v>
      </c>
      <c r="B405" s="19">
        <v>0</v>
      </c>
      <c r="C405" s="19">
        <v>8</v>
      </c>
      <c r="D405" s="19">
        <v>3.0448482387443301</v>
      </c>
      <c r="E405" s="22">
        <v>17680</v>
      </c>
      <c r="F405" s="22">
        <v>3964</v>
      </c>
      <c r="G405" s="23">
        <v>6271</v>
      </c>
      <c r="H405" s="23">
        <v>7445</v>
      </c>
      <c r="I405" s="24">
        <v>11.1</v>
      </c>
      <c r="J405" s="24">
        <v>236.6</v>
      </c>
      <c r="K405" s="22">
        <v>13825</v>
      </c>
      <c r="L405" s="22">
        <v>48456</v>
      </c>
      <c r="M405" s="22">
        <v>12938</v>
      </c>
      <c r="N405" s="22">
        <v>6784</v>
      </c>
      <c r="O405" s="25">
        <v>3699.79</v>
      </c>
      <c r="P405" s="24">
        <v>89.1</v>
      </c>
      <c r="Q405" s="22">
        <v>12634</v>
      </c>
      <c r="R405" s="23">
        <v>1588</v>
      </c>
      <c r="U405" s="19">
        <v>380</v>
      </c>
      <c r="V405" s="19">
        <v>0</v>
      </c>
      <c r="W405" s="19">
        <v>8</v>
      </c>
      <c r="X405" s="19">
        <f t="shared" si="93"/>
        <v>-1.6944066362644055</v>
      </c>
      <c r="Y405" s="19">
        <f t="shared" si="94"/>
        <v>-0.22499704786050859</v>
      </c>
      <c r="Z405" s="19">
        <f t="shared" si="95"/>
        <v>-0.41710120896667174</v>
      </c>
      <c r="AA405" s="19">
        <f t="shared" si="96"/>
        <v>-0.1837219908053225</v>
      </c>
      <c r="AB405" s="19">
        <f t="shared" si="97"/>
        <v>-0.17630901603639498</v>
      </c>
      <c r="AC405" s="19">
        <f t="shared" si="98"/>
        <v>-0.22185965463889443</v>
      </c>
      <c r="AD405" s="19">
        <f t="shared" si="99"/>
        <v>-0.15498723368614611</v>
      </c>
      <c r="AE405" s="19">
        <f t="shared" si="100"/>
        <v>-0.22239128551781998</v>
      </c>
      <c r="AF405" s="19">
        <f t="shared" si="101"/>
        <v>-0.20597017096706025</v>
      </c>
      <c r="AG405" s="19">
        <f t="shared" si="102"/>
        <v>-0.25286808774201636</v>
      </c>
      <c r="AH405" s="19">
        <f t="shared" si="103"/>
        <v>-0.17511977717412325</v>
      </c>
      <c r="AI405" s="19">
        <f t="shared" si="104"/>
        <v>0.33939891019151153</v>
      </c>
      <c r="AJ405" s="19">
        <f t="shared" si="105"/>
        <v>0.3364929466369973</v>
      </c>
      <c r="AK405" s="19">
        <f t="shared" si="106"/>
        <v>-0.15978882658973817</v>
      </c>
      <c r="AL405" s="19">
        <f t="shared" si="107"/>
        <v>0.46521103625457377</v>
      </c>
      <c r="BV405" s="16">
        <v>0</v>
      </c>
      <c r="BW405" s="18">
        <v>377</v>
      </c>
      <c r="BX405" s="48">
        <v>0.35317258593454226</v>
      </c>
      <c r="BY405" s="48">
        <v>-0.36119283311538275</v>
      </c>
      <c r="BZ405" s="18" t="e">
        <f t="shared" si="108"/>
        <v>#N/A</v>
      </c>
    </row>
    <row r="406" spans="1:78" x14ac:dyDescent="0.3">
      <c r="BV406" s="16">
        <v>0</v>
      </c>
      <c r="BW406" s="18">
        <v>378</v>
      </c>
      <c r="BX406" s="48">
        <v>1.265275138036319</v>
      </c>
      <c r="BY406" s="48">
        <v>-0.37421355652836807</v>
      </c>
      <c r="BZ406" s="18" t="e">
        <f t="shared" si="108"/>
        <v>#N/A</v>
      </c>
    </row>
    <row r="407" spans="1:78" x14ac:dyDescent="0.3">
      <c r="BV407" s="16">
        <v>0</v>
      </c>
      <c r="BW407" s="18">
        <v>379</v>
      </c>
      <c r="BX407" s="48">
        <v>1.3422861821559617</v>
      </c>
      <c r="BY407" s="48">
        <v>-0.5221866295229286</v>
      </c>
      <c r="BZ407" s="18" t="e">
        <f t="shared" si="108"/>
        <v>#N/A</v>
      </c>
    </row>
    <row r="408" spans="1:78" x14ac:dyDescent="0.3">
      <c r="BV408" s="16">
        <v>0</v>
      </c>
      <c r="BW408" s="18">
        <v>380</v>
      </c>
      <c r="BX408" s="48">
        <v>0.2788110725743283</v>
      </c>
      <c r="BY408" s="48">
        <v>1.1286548303980479</v>
      </c>
      <c r="BZ408" s="18" t="e">
        <f t="shared" si="108"/>
        <v>#N/A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1"/>
  <sheetViews>
    <sheetView workbookViewId="0">
      <selection activeCell="H17" sqref="H17"/>
    </sheetView>
  </sheetViews>
  <sheetFormatPr defaultRowHeight="14.4" x14ac:dyDescent="0.3"/>
  <cols>
    <col min="2" max="36" width="4" bestFit="1" customWidth="1"/>
    <col min="37" max="37" width="5.109375" customWidth="1"/>
    <col min="38" max="50" width="4" bestFit="1" customWidth="1"/>
    <col min="51" max="51" width="18.6640625" bestFit="1" customWidth="1"/>
    <col min="239" max="306" width="4" bestFit="1" customWidth="1"/>
    <col min="307" max="307" width="18.6640625" bestFit="1" customWidth="1"/>
    <col min="495" max="562" width="4" bestFit="1" customWidth="1"/>
    <col min="563" max="563" width="18.6640625" bestFit="1" customWidth="1"/>
    <col min="751" max="818" width="4" bestFit="1" customWidth="1"/>
    <col min="819" max="819" width="18.6640625" bestFit="1" customWidth="1"/>
    <col min="1007" max="1074" width="4" bestFit="1" customWidth="1"/>
    <col min="1075" max="1075" width="18.6640625" bestFit="1" customWidth="1"/>
    <col min="1263" max="1330" width="4" bestFit="1" customWidth="1"/>
    <col min="1331" max="1331" width="18.6640625" bestFit="1" customWidth="1"/>
    <col min="1519" max="1586" width="4" bestFit="1" customWidth="1"/>
    <col min="1587" max="1587" width="18.6640625" bestFit="1" customWidth="1"/>
    <col min="1775" max="1842" width="4" bestFit="1" customWidth="1"/>
    <col min="1843" max="1843" width="18.6640625" bestFit="1" customWidth="1"/>
    <col min="2031" max="2098" width="4" bestFit="1" customWidth="1"/>
    <col min="2099" max="2099" width="18.6640625" bestFit="1" customWidth="1"/>
    <col min="2287" max="2354" width="4" bestFit="1" customWidth="1"/>
    <col min="2355" max="2355" width="18.6640625" bestFit="1" customWidth="1"/>
    <col min="2543" max="2610" width="4" bestFit="1" customWidth="1"/>
    <col min="2611" max="2611" width="18.6640625" bestFit="1" customWidth="1"/>
    <col min="2799" max="2866" width="4" bestFit="1" customWidth="1"/>
    <col min="2867" max="2867" width="18.6640625" bestFit="1" customWidth="1"/>
    <col min="3055" max="3122" width="4" bestFit="1" customWidth="1"/>
    <col min="3123" max="3123" width="18.6640625" bestFit="1" customWidth="1"/>
    <col min="3311" max="3378" width="4" bestFit="1" customWidth="1"/>
    <col min="3379" max="3379" width="18.6640625" bestFit="1" customWidth="1"/>
    <col min="3567" max="3634" width="4" bestFit="1" customWidth="1"/>
    <col min="3635" max="3635" width="18.6640625" bestFit="1" customWidth="1"/>
    <col min="3823" max="3890" width="4" bestFit="1" customWidth="1"/>
    <col min="3891" max="3891" width="18.6640625" bestFit="1" customWidth="1"/>
    <col min="4079" max="4146" width="4" bestFit="1" customWidth="1"/>
    <col min="4147" max="4147" width="18.6640625" bestFit="1" customWidth="1"/>
    <col min="4335" max="4402" width="4" bestFit="1" customWidth="1"/>
    <col min="4403" max="4403" width="18.6640625" bestFit="1" customWidth="1"/>
    <col min="4591" max="4658" width="4" bestFit="1" customWidth="1"/>
    <col min="4659" max="4659" width="18.6640625" bestFit="1" customWidth="1"/>
    <col min="4847" max="4914" width="4" bestFit="1" customWidth="1"/>
    <col min="4915" max="4915" width="18.6640625" bestFit="1" customWidth="1"/>
    <col min="5103" max="5170" width="4" bestFit="1" customWidth="1"/>
    <col min="5171" max="5171" width="18.6640625" bestFit="1" customWidth="1"/>
    <col min="5359" max="5426" width="4" bestFit="1" customWidth="1"/>
    <col min="5427" max="5427" width="18.6640625" bestFit="1" customWidth="1"/>
    <col min="5615" max="5682" width="4" bestFit="1" customWidth="1"/>
    <col min="5683" max="5683" width="18.6640625" bestFit="1" customWidth="1"/>
    <col min="5871" max="5938" width="4" bestFit="1" customWidth="1"/>
    <col min="5939" max="5939" width="18.6640625" bestFit="1" customWidth="1"/>
    <col min="6127" max="6194" width="4" bestFit="1" customWidth="1"/>
    <col min="6195" max="6195" width="18.6640625" bestFit="1" customWidth="1"/>
    <col min="6383" max="6450" width="4" bestFit="1" customWidth="1"/>
    <col min="6451" max="6451" width="18.6640625" bestFit="1" customWidth="1"/>
    <col min="6639" max="6706" width="4" bestFit="1" customWidth="1"/>
    <col min="6707" max="6707" width="18.6640625" bestFit="1" customWidth="1"/>
    <col min="6895" max="6962" width="4" bestFit="1" customWidth="1"/>
    <col min="6963" max="6963" width="18.6640625" bestFit="1" customWidth="1"/>
    <col min="7151" max="7218" width="4" bestFit="1" customWidth="1"/>
    <col min="7219" max="7219" width="18.6640625" bestFit="1" customWidth="1"/>
    <col min="7407" max="7474" width="4" bestFit="1" customWidth="1"/>
    <col min="7475" max="7475" width="18.6640625" bestFit="1" customWidth="1"/>
    <col min="7663" max="7730" width="4" bestFit="1" customWidth="1"/>
    <col min="7731" max="7731" width="18.6640625" bestFit="1" customWidth="1"/>
    <col min="7919" max="7986" width="4" bestFit="1" customWidth="1"/>
    <col min="7987" max="7987" width="18.6640625" bestFit="1" customWidth="1"/>
    <col min="8175" max="8242" width="4" bestFit="1" customWidth="1"/>
    <col min="8243" max="8243" width="18.6640625" bestFit="1" customWidth="1"/>
    <col min="8431" max="8498" width="4" bestFit="1" customWidth="1"/>
    <col min="8499" max="8499" width="18.6640625" bestFit="1" customWidth="1"/>
    <col min="8687" max="8754" width="4" bestFit="1" customWidth="1"/>
    <col min="8755" max="8755" width="18.6640625" bestFit="1" customWidth="1"/>
    <col min="8943" max="9010" width="4" bestFit="1" customWidth="1"/>
    <col min="9011" max="9011" width="18.6640625" bestFit="1" customWidth="1"/>
    <col min="9199" max="9266" width="4" bestFit="1" customWidth="1"/>
    <col min="9267" max="9267" width="18.6640625" bestFit="1" customWidth="1"/>
    <col min="9455" max="9522" width="4" bestFit="1" customWidth="1"/>
    <col min="9523" max="9523" width="18.6640625" bestFit="1" customWidth="1"/>
    <col min="9711" max="9778" width="4" bestFit="1" customWidth="1"/>
    <col min="9779" max="9779" width="18.6640625" bestFit="1" customWidth="1"/>
    <col min="9967" max="10034" width="4" bestFit="1" customWidth="1"/>
    <col min="10035" max="10035" width="18.6640625" bestFit="1" customWidth="1"/>
    <col min="10223" max="10290" width="4" bestFit="1" customWidth="1"/>
    <col min="10291" max="10291" width="18.6640625" bestFit="1" customWidth="1"/>
    <col min="10479" max="10546" width="4" bestFit="1" customWidth="1"/>
    <col min="10547" max="10547" width="18.6640625" bestFit="1" customWidth="1"/>
    <col min="10735" max="10802" width="4" bestFit="1" customWidth="1"/>
    <col min="10803" max="10803" width="18.6640625" bestFit="1" customWidth="1"/>
    <col min="10991" max="11058" width="4" bestFit="1" customWidth="1"/>
    <col min="11059" max="11059" width="18.6640625" bestFit="1" customWidth="1"/>
    <col min="11247" max="11314" width="4" bestFit="1" customWidth="1"/>
    <col min="11315" max="11315" width="18.6640625" bestFit="1" customWidth="1"/>
    <col min="11503" max="11570" width="4" bestFit="1" customWidth="1"/>
    <col min="11571" max="11571" width="18.6640625" bestFit="1" customWidth="1"/>
    <col min="11759" max="11826" width="4" bestFit="1" customWidth="1"/>
    <col min="11827" max="11827" width="18.6640625" bestFit="1" customWidth="1"/>
    <col min="12015" max="12082" width="4" bestFit="1" customWidth="1"/>
    <col min="12083" max="12083" width="18.6640625" bestFit="1" customWidth="1"/>
    <col min="12271" max="12338" width="4" bestFit="1" customWidth="1"/>
    <col min="12339" max="12339" width="18.6640625" bestFit="1" customWidth="1"/>
    <col min="12527" max="12594" width="4" bestFit="1" customWidth="1"/>
    <col min="12595" max="12595" width="18.6640625" bestFit="1" customWidth="1"/>
    <col min="12783" max="12850" width="4" bestFit="1" customWidth="1"/>
    <col min="12851" max="12851" width="18.6640625" bestFit="1" customWidth="1"/>
    <col min="13039" max="13106" width="4" bestFit="1" customWidth="1"/>
    <col min="13107" max="13107" width="18.6640625" bestFit="1" customWidth="1"/>
    <col min="13295" max="13362" width="4" bestFit="1" customWidth="1"/>
    <col min="13363" max="13363" width="18.6640625" bestFit="1" customWidth="1"/>
    <col min="13551" max="13618" width="4" bestFit="1" customWidth="1"/>
    <col min="13619" max="13619" width="18.6640625" bestFit="1" customWidth="1"/>
    <col min="13807" max="13874" width="4" bestFit="1" customWidth="1"/>
    <col min="13875" max="13875" width="18.6640625" bestFit="1" customWidth="1"/>
    <col min="14063" max="14130" width="4" bestFit="1" customWidth="1"/>
    <col min="14131" max="14131" width="18.6640625" bestFit="1" customWidth="1"/>
    <col min="14319" max="14386" width="4" bestFit="1" customWidth="1"/>
    <col min="14387" max="14387" width="18.6640625" bestFit="1" customWidth="1"/>
    <col min="14575" max="14642" width="4" bestFit="1" customWidth="1"/>
    <col min="14643" max="14643" width="18.6640625" bestFit="1" customWidth="1"/>
    <col min="14831" max="14898" width="4" bestFit="1" customWidth="1"/>
    <col min="14899" max="14899" width="18.6640625" bestFit="1" customWidth="1"/>
    <col min="15087" max="15154" width="4" bestFit="1" customWidth="1"/>
    <col min="15155" max="15155" width="18.6640625" bestFit="1" customWidth="1"/>
    <col min="15343" max="15410" width="4" bestFit="1" customWidth="1"/>
    <col min="15411" max="15411" width="18.6640625" bestFit="1" customWidth="1"/>
    <col min="15599" max="15666" width="4" bestFit="1" customWidth="1"/>
    <col min="15667" max="15667" width="18.6640625" bestFit="1" customWidth="1"/>
    <col min="15855" max="15922" width="4" bestFit="1" customWidth="1"/>
    <col min="15923" max="15923" width="18.6640625" bestFit="1" customWidth="1"/>
    <col min="16111" max="16178" width="4" bestFit="1" customWidth="1"/>
    <col min="16179" max="16179" width="18.6640625" bestFit="1" customWidth="1"/>
  </cols>
  <sheetData>
    <row r="1" spans="1:51" s="52" customFormat="1" ht="94.2" x14ac:dyDescent="0.3">
      <c r="B1" s="52" t="s">
        <v>0</v>
      </c>
      <c r="C1" s="52" t="s">
        <v>1</v>
      </c>
      <c r="D1" s="52" t="s">
        <v>2</v>
      </c>
      <c r="E1" s="52" t="s">
        <v>3</v>
      </c>
      <c r="F1" s="52" t="s">
        <v>4</v>
      </c>
      <c r="G1" s="52" t="s">
        <v>5</v>
      </c>
      <c r="H1" s="52" t="s">
        <v>10</v>
      </c>
      <c r="I1" s="52" t="s">
        <v>11</v>
      </c>
      <c r="J1" s="52" t="s">
        <v>12</v>
      </c>
      <c r="K1" s="52" t="s">
        <v>13</v>
      </c>
      <c r="L1" s="52" t="s">
        <v>14</v>
      </c>
      <c r="M1" s="52" t="s">
        <v>15</v>
      </c>
      <c r="N1" s="52" t="s">
        <v>16</v>
      </c>
      <c r="O1" s="52" t="s">
        <v>17</v>
      </c>
      <c r="P1" s="52" t="s">
        <v>18</v>
      </c>
      <c r="Q1" s="52" t="s">
        <v>19</v>
      </c>
      <c r="R1" s="52" t="s">
        <v>20</v>
      </c>
      <c r="S1" s="52" t="s">
        <v>21</v>
      </c>
      <c r="T1" s="52" t="s">
        <v>22</v>
      </c>
      <c r="U1" s="52" t="s">
        <v>23</v>
      </c>
      <c r="V1" s="52" t="s">
        <v>24</v>
      </c>
      <c r="W1" s="52" t="s">
        <v>25</v>
      </c>
      <c r="X1" s="52" t="s">
        <v>26</v>
      </c>
      <c r="Y1" s="52" t="s">
        <v>27</v>
      </c>
      <c r="Z1" s="52" t="s">
        <v>28</v>
      </c>
      <c r="AA1" s="52" t="s">
        <v>29</v>
      </c>
      <c r="AB1" s="52" t="s">
        <v>30</v>
      </c>
      <c r="AC1" s="52" t="s">
        <v>31</v>
      </c>
      <c r="AD1" s="52" t="s">
        <v>32</v>
      </c>
      <c r="AE1" s="52" t="s">
        <v>33</v>
      </c>
      <c r="AF1" s="52" t="s">
        <v>34</v>
      </c>
      <c r="AG1" s="52" t="s">
        <v>35</v>
      </c>
      <c r="AH1" s="52" t="s">
        <v>36</v>
      </c>
      <c r="AI1" s="52" t="s">
        <v>37</v>
      </c>
      <c r="AJ1" s="52" t="s">
        <v>38</v>
      </c>
      <c r="AK1" s="52" t="s">
        <v>39</v>
      </c>
      <c r="AL1" s="52" t="s">
        <v>40</v>
      </c>
      <c r="AM1" s="52" t="s">
        <v>41</v>
      </c>
      <c r="AN1" s="52" t="s">
        <v>42</v>
      </c>
      <c r="AO1" s="52" t="s">
        <v>43</v>
      </c>
      <c r="AP1" s="52" t="s">
        <v>44</v>
      </c>
      <c r="AQ1" s="52" t="s">
        <v>45</v>
      </c>
      <c r="AR1" s="52" t="s">
        <v>46</v>
      </c>
      <c r="AS1" s="52" t="s">
        <v>47</v>
      </c>
      <c r="AT1" s="52" t="s">
        <v>48</v>
      </c>
      <c r="AU1" s="52" t="s">
        <v>49</v>
      </c>
      <c r="AV1" s="52" t="s">
        <v>50</v>
      </c>
      <c r="AW1" s="52" t="s">
        <v>51</v>
      </c>
      <c r="AX1" s="52" t="s">
        <v>52</v>
      </c>
      <c r="AY1" s="52" t="s">
        <v>53</v>
      </c>
    </row>
    <row r="2" spans="1:51" x14ac:dyDescent="0.3">
      <c r="A2" t="str">
        <f>AY2</f>
        <v>Bezledy</v>
      </c>
      <c r="AY2" t="s">
        <v>0</v>
      </c>
    </row>
    <row r="3" spans="1:51" x14ac:dyDescent="0.3">
      <c r="A3" t="str">
        <f t="shared" ref="A3:A51" si="0">AY3</f>
        <v>Biała Podlaska</v>
      </c>
      <c r="B3">
        <v>382</v>
      </c>
      <c r="AY3" t="s">
        <v>1</v>
      </c>
    </row>
    <row r="4" spans="1:51" x14ac:dyDescent="0.3">
      <c r="A4" t="str">
        <f t="shared" si="0"/>
        <v>Białystok</v>
      </c>
      <c r="B4">
        <v>224</v>
      </c>
      <c r="C4">
        <v>154</v>
      </c>
      <c r="AY4" t="s">
        <v>2</v>
      </c>
    </row>
    <row r="5" spans="1:51" x14ac:dyDescent="0.3">
      <c r="A5" t="str">
        <f t="shared" si="0"/>
        <v>Bielsko - Biała</v>
      </c>
      <c r="B5">
        <v>622</v>
      </c>
      <c r="C5">
        <v>491</v>
      </c>
      <c r="D5">
        <v>542</v>
      </c>
      <c r="AY5" t="s">
        <v>3</v>
      </c>
    </row>
    <row r="6" spans="1:51" x14ac:dyDescent="0.3">
      <c r="A6" t="str">
        <f t="shared" si="0"/>
        <v>Bydgoszcz</v>
      </c>
      <c r="B6">
        <v>288</v>
      </c>
      <c r="C6">
        <v>415</v>
      </c>
      <c r="D6">
        <v>400</v>
      </c>
      <c r="E6">
        <v>460</v>
      </c>
      <c r="AY6" t="s">
        <v>4</v>
      </c>
    </row>
    <row r="7" spans="1:51" x14ac:dyDescent="0.3">
      <c r="A7" t="str">
        <f t="shared" si="0"/>
        <v>Ciechanów</v>
      </c>
      <c r="B7">
        <v>208</v>
      </c>
      <c r="C7">
        <v>237</v>
      </c>
      <c r="D7">
        <v>190</v>
      </c>
      <c r="E7">
        <v>500</v>
      </c>
      <c r="F7">
        <v>205</v>
      </c>
      <c r="AY7" t="s">
        <v>5</v>
      </c>
    </row>
    <row r="8" spans="1:51" x14ac:dyDescent="0.3">
      <c r="A8" t="str">
        <f t="shared" si="0"/>
        <v>Cieszyn</v>
      </c>
      <c r="B8">
        <v>741</v>
      </c>
      <c r="C8">
        <v>496</v>
      </c>
      <c r="D8">
        <v>562</v>
      </c>
      <c r="E8">
        <v>35</v>
      </c>
      <c r="F8">
        <v>479</v>
      </c>
      <c r="G8">
        <v>472</v>
      </c>
      <c r="AY8" t="s">
        <v>10</v>
      </c>
    </row>
    <row r="9" spans="1:51" x14ac:dyDescent="0.3">
      <c r="A9" t="str">
        <f t="shared" si="0"/>
        <v>Częstochowa</v>
      </c>
      <c r="B9">
        <v>490</v>
      </c>
      <c r="C9">
        <v>383</v>
      </c>
      <c r="D9">
        <v>410</v>
      </c>
      <c r="E9">
        <v>130</v>
      </c>
      <c r="F9">
        <v>330</v>
      </c>
      <c r="G9">
        <v>320</v>
      </c>
      <c r="H9">
        <v>151</v>
      </c>
      <c r="AY9" t="s">
        <v>11</v>
      </c>
    </row>
    <row r="10" spans="1:51" x14ac:dyDescent="0.3">
      <c r="A10" t="str">
        <f t="shared" si="0"/>
        <v>Elbląg</v>
      </c>
      <c r="B10">
        <v>133</v>
      </c>
      <c r="C10">
        <v>428</v>
      </c>
      <c r="D10">
        <v>335</v>
      </c>
      <c r="E10">
        <v>595</v>
      </c>
      <c r="F10">
        <v>175</v>
      </c>
      <c r="G10">
        <v>220</v>
      </c>
      <c r="H10">
        <v>652</v>
      </c>
      <c r="I10">
        <v>500</v>
      </c>
      <c r="AY10" t="s">
        <v>12</v>
      </c>
    </row>
    <row r="11" spans="1:51" x14ac:dyDescent="0.3">
      <c r="A11" t="str">
        <f t="shared" si="0"/>
        <v>Gdańsk</v>
      </c>
      <c r="B11">
        <v>192</v>
      </c>
      <c r="C11">
        <v>487</v>
      </c>
      <c r="D11">
        <v>395</v>
      </c>
      <c r="E11">
        <v>595</v>
      </c>
      <c r="F11">
        <v>170</v>
      </c>
      <c r="G11">
        <v>280</v>
      </c>
      <c r="H11">
        <v>670</v>
      </c>
      <c r="I11">
        <v>450</v>
      </c>
      <c r="J11">
        <v>60</v>
      </c>
      <c r="AY11" t="s">
        <v>13</v>
      </c>
    </row>
    <row r="12" spans="1:51" x14ac:dyDescent="0.3">
      <c r="A12" t="str">
        <f t="shared" si="0"/>
        <v>Gorzów Wielkopolski</v>
      </c>
      <c r="B12">
        <v>489</v>
      </c>
      <c r="C12">
        <v>600</v>
      </c>
      <c r="D12">
        <v>608</v>
      </c>
      <c r="E12">
        <v>495</v>
      </c>
      <c r="F12">
        <v>210</v>
      </c>
      <c r="G12">
        <v>425</v>
      </c>
      <c r="H12">
        <v>509</v>
      </c>
      <c r="I12">
        <v>435</v>
      </c>
      <c r="J12">
        <v>355</v>
      </c>
      <c r="K12">
        <v>315</v>
      </c>
      <c r="AY12" t="s">
        <v>14</v>
      </c>
    </row>
    <row r="13" spans="1:51" x14ac:dyDescent="0.3">
      <c r="A13" t="str">
        <f t="shared" si="0"/>
        <v>Hrebenne</v>
      </c>
      <c r="B13">
        <v>57</v>
      </c>
      <c r="C13">
        <v>245</v>
      </c>
      <c r="D13">
        <v>400</v>
      </c>
      <c r="E13">
        <v>392</v>
      </c>
      <c r="F13">
        <v>576</v>
      </c>
      <c r="G13">
        <v>412</v>
      </c>
      <c r="H13">
        <v>427</v>
      </c>
      <c r="I13">
        <v>401</v>
      </c>
      <c r="J13">
        <v>617</v>
      </c>
      <c r="K13">
        <v>660</v>
      </c>
      <c r="L13">
        <v>723</v>
      </c>
      <c r="AY13" t="s">
        <v>15</v>
      </c>
    </row>
    <row r="14" spans="1:51" x14ac:dyDescent="0.3">
      <c r="A14" t="str">
        <f t="shared" si="0"/>
        <v>Jelenia Góra</v>
      </c>
      <c r="B14">
        <v>647</v>
      </c>
      <c r="C14">
        <v>631</v>
      </c>
      <c r="D14">
        <v>630</v>
      </c>
      <c r="E14">
        <v>340</v>
      </c>
      <c r="F14">
        <v>375</v>
      </c>
      <c r="G14">
        <v>575</v>
      </c>
      <c r="H14">
        <v>277</v>
      </c>
      <c r="I14">
        <v>300</v>
      </c>
      <c r="J14">
        <v>520</v>
      </c>
      <c r="K14">
        <v>570</v>
      </c>
      <c r="L14">
        <v>255</v>
      </c>
      <c r="M14">
        <v>685</v>
      </c>
      <c r="AY14" t="s">
        <v>16</v>
      </c>
    </row>
    <row r="15" spans="1:51" x14ac:dyDescent="0.3">
      <c r="A15" t="str">
        <f t="shared" si="0"/>
        <v>Kalisz</v>
      </c>
      <c r="B15">
        <v>428</v>
      </c>
      <c r="C15">
        <v>416</v>
      </c>
      <c r="D15">
        <v>445</v>
      </c>
      <c r="E15">
        <v>300</v>
      </c>
      <c r="F15">
        <v>180</v>
      </c>
      <c r="G15">
        <v>265</v>
      </c>
      <c r="H15">
        <v>320</v>
      </c>
      <c r="I15">
        <v>195</v>
      </c>
      <c r="J15">
        <v>350</v>
      </c>
      <c r="K15">
        <v>300</v>
      </c>
      <c r="L15">
        <v>245</v>
      </c>
      <c r="M15">
        <v>479</v>
      </c>
      <c r="N15">
        <v>245</v>
      </c>
      <c r="AY15" t="s">
        <v>17</v>
      </c>
    </row>
    <row r="16" spans="1:51" x14ac:dyDescent="0.3">
      <c r="A16" t="str">
        <f t="shared" si="0"/>
        <v>Katowice</v>
      </c>
      <c r="B16">
        <v>567</v>
      </c>
      <c r="C16">
        <v>460</v>
      </c>
      <c r="D16">
        <v>490</v>
      </c>
      <c r="E16">
        <v>55</v>
      </c>
      <c r="F16">
        <v>405</v>
      </c>
      <c r="G16">
        <v>400</v>
      </c>
      <c r="H16">
        <v>74</v>
      </c>
      <c r="I16">
        <v>75</v>
      </c>
      <c r="J16">
        <v>580</v>
      </c>
      <c r="K16">
        <v>530</v>
      </c>
      <c r="L16">
        <v>465</v>
      </c>
      <c r="M16">
        <v>433</v>
      </c>
      <c r="N16">
        <v>310</v>
      </c>
      <c r="O16">
        <v>270</v>
      </c>
      <c r="AY16" t="s">
        <v>18</v>
      </c>
    </row>
    <row r="17" spans="1:51" x14ac:dyDescent="0.3">
      <c r="A17" t="str">
        <f t="shared" si="0"/>
        <v>Kielce</v>
      </c>
      <c r="B17">
        <v>485</v>
      </c>
      <c r="C17">
        <v>268</v>
      </c>
      <c r="D17">
        <v>365</v>
      </c>
      <c r="E17">
        <v>225</v>
      </c>
      <c r="F17">
        <v>345</v>
      </c>
      <c r="G17">
        <v>275</v>
      </c>
      <c r="H17">
        <v>286</v>
      </c>
      <c r="I17">
        <v>135</v>
      </c>
      <c r="J17">
        <v>495</v>
      </c>
      <c r="K17">
        <v>505</v>
      </c>
      <c r="L17">
        <v>465</v>
      </c>
      <c r="M17">
        <v>266</v>
      </c>
      <c r="N17">
        <v>435</v>
      </c>
      <c r="O17">
        <v>220</v>
      </c>
      <c r="P17">
        <v>210</v>
      </c>
      <c r="AY17" t="s">
        <v>19</v>
      </c>
    </row>
    <row r="18" spans="1:51" x14ac:dyDescent="0.3">
      <c r="A18" t="str">
        <f t="shared" si="0"/>
        <v>Konin</v>
      </c>
      <c r="B18">
        <v>371</v>
      </c>
      <c r="C18">
        <v>364</v>
      </c>
      <c r="D18">
        <v>390</v>
      </c>
      <c r="E18">
        <v>340</v>
      </c>
      <c r="F18">
        <v>120</v>
      </c>
      <c r="G18">
        <v>205</v>
      </c>
      <c r="H18">
        <v>358</v>
      </c>
      <c r="I18">
        <v>209</v>
      </c>
      <c r="J18">
        <v>295</v>
      </c>
      <c r="K18">
        <v>245</v>
      </c>
      <c r="L18">
        <v>235</v>
      </c>
      <c r="M18">
        <v>486</v>
      </c>
      <c r="N18">
        <v>375</v>
      </c>
      <c r="O18">
        <v>55</v>
      </c>
      <c r="P18">
        <v>285</v>
      </c>
      <c r="Q18">
        <v>260</v>
      </c>
      <c r="AY18" t="s">
        <v>20</v>
      </c>
    </row>
    <row r="19" spans="1:51" x14ac:dyDescent="0.3">
      <c r="A19" t="str">
        <f t="shared" si="0"/>
        <v>Koszalin</v>
      </c>
      <c r="B19">
        <v>395</v>
      </c>
      <c r="C19">
        <v>600</v>
      </c>
      <c r="D19">
        <v>585</v>
      </c>
      <c r="E19">
        <v>640</v>
      </c>
      <c r="F19">
        <v>185</v>
      </c>
      <c r="G19">
        <v>390</v>
      </c>
      <c r="H19">
        <v>664</v>
      </c>
      <c r="I19">
        <v>490</v>
      </c>
      <c r="J19">
        <v>260</v>
      </c>
      <c r="K19">
        <v>205</v>
      </c>
      <c r="L19">
        <v>225</v>
      </c>
      <c r="M19">
        <v>749</v>
      </c>
      <c r="N19">
        <v>485</v>
      </c>
      <c r="O19">
        <v>350</v>
      </c>
      <c r="P19">
        <v>590</v>
      </c>
      <c r="Q19">
        <v>530</v>
      </c>
      <c r="R19">
        <v>309</v>
      </c>
      <c r="AY19" t="s">
        <v>21</v>
      </c>
    </row>
    <row r="20" spans="1:51" x14ac:dyDescent="0.3">
      <c r="A20" t="str">
        <f t="shared" si="0"/>
        <v>Kraków</v>
      </c>
      <c r="B20">
        <v>621</v>
      </c>
      <c r="C20">
        <v>374</v>
      </c>
      <c r="D20">
        <v>445</v>
      </c>
      <c r="E20">
        <v>85</v>
      </c>
      <c r="F20">
        <v>477</v>
      </c>
      <c r="G20">
        <v>415</v>
      </c>
      <c r="H20">
        <v>122</v>
      </c>
      <c r="I20">
        <v>150</v>
      </c>
      <c r="J20">
        <v>630</v>
      </c>
      <c r="K20">
        <v>610</v>
      </c>
      <c r="L20">
        <v>585</v>
      </c>
      <c r="M20">
        <v>306</v>
      </c>
      <c r="N20">
        <v>390</v>
      </c>
      <c r="O20">
        <v>340</v>
      </c>
      <c r="P20">
        <v>70</v>
      </c>
      <c r="Q20">
        <v>135</v>
      </c>
      <c r="R20">
        <v>355</v>
      </c>
      <c r="S20">
        <v>660</v>
      </c>
      <c r="AY20" t="s">
        <v>22</v>
      </c>
    </row>
    <row r="21" spans="1:51" x14ac:dyDescent="0.3">
      <c r="A21" t="str">
        <f t="shared" si="0"/>
        <v>Kudowa-Słone</v>
      </c>
      <c r="B21">
        <v>704</v>
      </c>
      <c r="C21">
        <v>621</v>
      </c>
      <c r="D21">
        <v>649</v>
      </c>
      <c r="E21">
        <v>256</v>
      </c>
      <c r="F21">
        <v>432</v>
      </c>
      <c r="G21">
        <v>559</v>
      </c>
      <c r="H21">
        <v>234</v>
      </c>
      <c r="I21">
        <v>238</v>
      </c>
      <c r="J21">
        <v>711</v>
      </c>
      <c r="K21">
        <v>645</v>
      </c>
      <c r="L21">
        <v>376</v>
      </c>
      <c r="M21">
        <v>595</v>
      </c>
      <c r="N21">
        <v>154</v>
      </c>
      <c r="O21">
        <v>260</v>
      </c>
      <c r="P21">
        <v>217</v>
      </c>
      <c r="Q21">
        <v>372</v>
      </c>
      <c r="R21">
        <v>317</v>
      </c>
      <c r="S21">
        <v>553</v>
      </c>
      <c r="T21">
        <v>289</v>
      </c>
      <c r="AY21" t="s">
        <v>23</v>
      </c>
    </row>
    <row r="22" spans="1:51" x14ac:dyDescent="0.3">
      <c r="A22" t="str">
        <f t="shared" si="0"/>
        <v>Legnica</v>
      </c>
      <c r="B22">
        <v>580</v>
      </c>
      <c r="C22">
        <v>576</v>
      </c>
      <c r="D22">
        <v>610</v>
      </c>
      <c r="E22">
        <v>300</v>
      </c>
      <c r="F22">
        <v>375</v>
      </c>
      <c r="G22">
        <v>445</v>
      </c>
      <c r="H22">
        <v>313</v>
      </c>
      <c r="I22">
        <v>250</v>
      </c>
      <c r="J22">
        <v>455</v>
      </c>
      <c r="K22">
        <v>505</v>
      </c>
      <c r="L22">
        <v>215</v>
      </c>
      <c r="M22">
        <v>630</v>
      </c>
      <c r="N22">
        <v>65</v>
      </c>
      <c r="O22">
        <v>190</v>
      </c>
      <c r="P22">
        <v>270</v>
      </c>
      <c r="Q22">
        <v>370</v>
      </c>
      <c r="R22">
        <v>240</v>
      </c>
      <c r="S22">
        <v>420</v>
      </c>
      <c r="T22">
        <v>340</v>
      </c>
      <c r="U22">
        <v>159</v>
      </c>
      <c r="AY22" t="s">
        <v>24</v>
      </c>
    </row>
    <row r="23" spans="1:51" x14ac:dyDescent="0.3">
      <c r="A23" t="str">
        <f t="shared" si="0"/>
        <v>Leszno</v>
      </c>
      <c r="B23">
        <v>480</v>
      </c>
      <c r="C23">
        <v>505</v>
      </c>
      <c r="D23">
        <v>510</v>
      </c>
      <c r="E23">
        <v>325</v>
      </c>
      <c r="F23">
        <v>205</v>
      </c>
      <c r="G23">
        <v>345</v>
      </c>
      <c r="H23">
        <v>336</v>
      </c>
      <c r="I23">
        <v>275</v>
      </c>
      <c r="J23">
        <v>355</v>
      </c>
      <c r="K23">
        <v>405</v>
      </c>
      <c r="L23">
        <v>210</v>
      </c>
      <c r="M23">
        <v>604</v>
      </c>
      <c r="N23">
        <v>165</v>
      </c>
      <c r="O23">
        <v>125</v>
      </c>
      <c r="P23">
        <v>290</v>
      </c>
      <c r="Q23">
        <v>345</v>
      </c>
      <c r="R23">
        <v>140</v>
      </c>
      <c r="S23">
        <v>310</v>
      </c>
      <c r="T23">
        <v>369</v>
      </c>
      <c r="U23">
        <v>235</v>
      </c>
      <c r="V23">
        <v>100</v>
      </c>
      <c r="AY23" t="s">
        <v>25</v>
      </c>
    </row>
    <row r="24" spans="1:51" x14ac:dyDescent="0.3">
      <c r="A24" t="str">
        <f t="shared" si="0"/>
        <v>Lublin</v>
      </c>
      <c r="B24">
        <v>437</v>
      </c>
      <c r="C24">
        <v>121</v>
      </c>
      <c r="D24">
        <v>295</v>
      </c>
      <c r="E24">
        <v>340</v>
      </c>
      <c r="F24">
        <v>420</v>
      </c>
      <c r="G24">
        <v>280</v>
      </c>
      <c r="H24">
        <v>375</v>
      </c>
      <c r="I24">
        <v>290</v>
      </c>
      <c r="J24">
        <v>485</v>
      </c>
      <c r="K24">
        <v>515</v>
      </c>
      <c r="L24">
        <v>580</v>
      </c>
      <c r="M24">
        <v>144</v>
      </c>
      <c r="N24">
        <v>510</v>
      </c>
      <c r="O24">
        <v>335</v>
      </c>
      <c r="P24">
        <v>330</v>
      </c>
      <c r="Q24">
        <v>180</v>
      </c>
      <c r="R24">
        <v>369</v>
      </c>
      <c r="S24">
        <v>605</v>
      </c>
      <c r="T24">
        <v>255</v>
      </c>
      <c r="U24">
        <v>551</v>
      </c>
      <c r="V24">
        <v>485</v>
      </c>
      <c r="W24">
        <v>460</v>
      </c>
      <c r="AY24" t="s">
        <v>26</v>
      </c>
    </row>
    <row r="25" spans="1:51" x14ac:dyDescent="0.3">
      <c r="A25" t="str">
        <f t="shared" si="0"/>
        <v>Łódź</v>
      </c>
      <c r="B25">
        <v>364</v>
      </c>
      <c r="C25">
        <v>297</v>
      </c>
      <c r="D25">
        <v>215</v>
      </c>
      <c r="E25">
        <v>260</v>
      </c>
      <c r="F25">
        <v>205</v>
      </c>
      <c r="G25">
        <v>180</v>
      </c>
      <c r="H25">
        <v>277</v>
      </c>
      <c r="I25">
        <v>129</v>
      </c>
      <c r="J25">
        <v>375</v>
      </c>
      <c r="K25">
        <v>340</v>
      </c>
      <c r="L25">
        <v>345</v>
      </c>
      <c r="M25">
        <v>396</v>
      </c>
      <c r="N25">
        <v>355</v>
      </c>
      <c r="O25">
        <v>120</v>
      </c>
      <c r="P25">
        <v>205</v>
      </c>
      <c r="Q25">
        <v>135</v>
      </c>
      <c r="R25">
        <v>110</v>
      </c>
      <c r="S25">
        <v>450</v>
      </c>
      <c r="T25">
        <v>275</v>
      </c>
      <c r="U25">
        <v>344</v>
      </c>
      <c r="V25">
        <v>295</v>
      </c>
      <c r="W25">
        <v>245</v>
      </c>
      <c r="X25">
        <v>250</v>
      </c>
      <c r="AY25" t="s">
        <v>27</v>
      </c>
    </row>
    <row r="26" spans="1:51" x14ac:dyDescent="0.3">
      <c r="A26" t="str">
        <f t="shared" si="0"/>
        <v>Nowy Sącz</v>
      </c>
      <c r="B26">
        <v>662</v>
      </c>
      <c r="C26">
        <v>406</v>
      </c>
      <c r="D26">
        <v>510</v>
      </c>
      <c r="E26">
        <v>150</v>
      </c>
      <c r="F26">
        <v>520</v>
      </c>
      <c r="G26">
        <v>455</v>
      </c>
      <c r="H26">
        <v>187</v>
      </c>
      <c r="I26">
        <v>250</v>
      </c>
      <c r="J26">
        <v>675</v>
      </c>
      <c r="K26">
        <v>680</v>
      </c>
      <c r="L26">
        <v>650</v>
      </c>
      <c r="M26">
        <v>346</v>
      </c>
      <c r="N26">
        <v>490</v>
      </c>
      <c r="O26">
        <v>415</v>
      </c>
      <c r="P26">
        <v>175</v>
      </c>
      <c r="Q26">
        <v>175</v>
      </c>
      <c r="R26">
        <v>455</v>
      </c>
      <c r="S26">
        <v>765</v>
      </c>
      <c r="T26">
        <v>100</v>
      </c>
      <c r="U26">
        <v>390</v>
      </c>
      <c r="V26">
        <v>440</v>
      </c>
      <c r="W26">
        <v>465</v>
      </c>
      <c r="X26">
        <v>285</v>
      </c>
      <c r="Y26">
        <v>315</v>
      </c>
      <c r="AY26" t="s">
        <v>28</v>
      </c>
    </row>
    <row r="27" spans="1:51" x14ac:dyDescent="0.3">
      <c r="A27" t="str">
        <f t="shared" si="0"/>
        <v>Olsztyn</v>
      </c>
      <c r="B27">
        <v>89</v>
      </c>
      <c r="C27">
        <v>238</v>
      </c>
      <c r="D27">
        <v>235</v>
      </c>
      <c r="E27">
        <v>535</v>
      </c>
      <c r="F27">
        <v>200</v>
      </c>
      <c r="G27">
        <v>120</v>
      </c>
      <c r="H27">
        <v>522</v>
      </c>
      <c r="I27">
        <v>400</v>
      </c>
      <c r="J27">
        <v>100</v>
      </c>
      <c r="K27">
        <v>160</v>
      </c>
      <c r="L27">
        <v>410</v>
      </c>
      <c r="M27">
        <v>531</v>
      </c>
      <c r="N27">
        <v>560</v>
      </c>
      <c r="O27">
        <v>360</v>
      </c>
      <c r="P27">
        <v>480</v>
      </c>
      <c r="Q27">
        <v>395</v>
      </c>
      <c r="R27">
        <v>280</v>
      </c>
      <c r="S27">
        <v>310</v>
      </c>
      <c r="T27">
        <v>537</v>
      </c>
      <c r="U27">
        <v>615</v>
      </c>
      <c r="V27">
        <v>490</v>
      </c>
      <c r="W27">
        <v>390</v>
      </c>
      <c r="X27">
        <v>385</v>
      </c>
      <c r="Y27">
        <v>275</v>
      </c>
      <c r="Z27">
        <v>575</v>
      </c>
      <c r="AY27" t="s">
        <v>29</v>
      </c>
    </row>
    <row r="28" spans="1:51" x14ac:dyDescent="0.3">
      <c r="A28" t="str">
        <f t="shared" si="0"/>
        <v>Olszyna</v>
      </c>
      <c r="B28">
        <v>609</v>
      </c>
      <c r="C28">
        <v>662</v>
      </c>
      <c r="D28">
        <v>716</v>
      </c>
      <c r="E28">
        <v>458</v>
      </c>
      <c r="F28">
        <v>336</v>
      </c>
      <c r="G28">
        <v>497</v>
      </c>
      <c r="H28">
        <v>391</v>
      </c>
      <c r="I28">
        <v>457</v>
      </c>
      <c r="J28">
        <v>509</v>
      </c>
      <c r="K28">
        <v>487</v>
      </c>
      <c r="L28">
        <v>186</v>
      </c>
      <c r="M28">
        <v>729</v>
      </c>
      <c r="N28">
        <v>150</v>
      </c>
      <c r="O28">
        <v>282</v>
      </c>
      <c r="P28">
        <v>427</v>
      </c>
      <c r="Q28">
        <v>502</v>
      </c>
      <c r="R28">
        <v>298</v>
      </c>
      <c r="S28">
        <v>413</v>
      </c>
      <c r="T28">
        <v>466</v>
      </c>
      <c r="U28">
        <v>284</v>
      </c>
      <c r="V28">
        <v>125</v>
      </c>
      <c r="W28">
        <v>157</v>
      </c>
      <c r="X28">
        <v>585</v>
      </c>
      <c r="Y28">
        <v>395</v>
      </c>
      <c r="Z28">
        <v>567</v>
      </c>
      <c r="AA28">
        <v>535</v>
      </c>
      <c r="AY28" t="s">
        <v>30</v>
      </c>
    </row>
    <row r="29" spans="1:51" x14ac:dyDescent="0.3">
      <c r="A29" t="str">
        <f t="shared" si="0"/>
        <v>Opole</v>
      </c>
      <c r="B29">
        <v>564</v>
      </c>
      <c r="C29">
        <v>477</v>
      </c>
      <c r="D29">
        <v>505</v>
      </c>
      <c r="E29">
        <v>145</v>
      </c>
      <c r="F29">
        <v>340</v>
      </c>
      <c r="G29">
        <v>415</v>
      </c>
      <c r="H29">
        <v>156</v>
      </c>
      <c r="I29">
        <v>95</v>
      </c>
      <c r="J29">
        <v>515</v>
      </c>
      <c r="K29">
        <v>515</v>
      </c>
      <c r="L29">
        <v>355</v>
      </c>
      <c r="M29">
        <v>515</v>
      </c>
      <c r="N29">
        <v>205</v>
      </c>
      <c r="O29">
        <v>165</v>
      </c>
      <c r="P29">
        <v>110</v>
      </c>
      <c r="Q29">
        <v>230</v>
      </c>
      <c r="R29">
        <v>220</v>
      </c>
      <c r="S29">
        <v>515</v>
      </c>
      <c r="T29">
        <v>185</v>
      </c>
      <c r="U29">
        <v>144</v>
      </c>
      <c r="V29">
        <v>155</v>
      </c>
      <c r="W29">
        <v>180</v>
      </c>
      <c r="X29">
        <v>405</v>
      </c>
      <c r="Y29">
        <v>200</v>
      </c>
      <c r="Z29">
        <v>285</v>
      </c>
      <c r="AA29">
        <v>475</v>
      </c>
      <c r="AB29">
        <v>282</v>
      </c>
      <c r="AY29" t="s">
        <v>31</v>
      </c>
    </row>
    <row r="30" spans="1:51" x14ac:dyDescent="0.3">
      <c r="A30" t="str">
        <f t="shared" si="0"/>
        <v>Ostrołęka</v>
      </c>
      <c r="B30">
        <v>179</v>
      </c>
      <c r="C30">
        <v>203</v>
      </c>
      <c r="D30">
        <v>113</v>
      </c>
      <c r="E30">
        <v>514</v>
      </c>
      <c r="F30">
        <v>290</v>
      </c>
      <c r="G30">
        <v>84</v>
      </c>
      <c r="H30">
        <v>486</v>
      </c>
      <c r="I30">
        <v>335</v>
      </c>
      <c r="J30">
        <v>225</v>
      </c>
      <c r="K30">
        <v>284</v>
      </c>
      <c r="L30">
        <v>509</v>
      </c>
      <c r="M30">
        <v>402</v>
      </c>
      <c r="N30">
        <v>588</v>
      </c>
      <c r="O30">
        <v>346</v>
      </c>
      <c r="P30">
        <v>412</v>
      </c>
      <c r="Q30">
        <v>291</v>
      </c>
      <c r="R30">
        <v>294</v>
      </c>
      <c r="S30">
        <v>475</v>
      </c>
      <c r="T30">
        <v>427</v>
      </c>
      <c r="U30">
        <v>573</v>
      </c>
      <c r="V30">
        <v>533</v>
      </c>
      <c r="W30">
        <v>433</v>
      </c>
      <c r="X30">
        <v>258</v>
      </c>
      <c r="Y30">
        <v>253</v>
      </c>
      <c r="Z30">
        <v>468</v>
      </c>
      <c r="AA30">
        <v>125</v>
      </c>
      <c r="AB30">
        <v>581</v>
      </c>
      <c r="AC30">
        <v>429</v>
      </c>
      <c r="AY30" t="s">
        <v>32</v>
      </c>
    </row>
    <row r="31" spans="1:51" x14ac:dyDescent="0.3">
      <c r="A31" t="str">
        <f t="shared" si="0"/>
        <v>Piotrków Trybunalski</v>
      </c>
      <c r="B31">
        <v>409</v>
      </c>
      <c r="C31">
        <v>297</v>
      </c>
      <c r="D31">
        <v>330</v>
      </c>
      <c r="E31">
        <v>215</v>
      </c>
      <c r="F31">
        <v>275</v>
      </c>
      <c r="G31">
        <v>240</v>
      </c>
      <c r="H31">
        <v>232</v>
      </c>
      <c r="I31">
        <v>80</v>
      </c>
      <c r="J31">
        <v>280</v>
      </c>
      <c r="K31">
        <v>410</v>
      </c>
      <c r="L31">
        <v>370</v>
      </c>
      <c r="M31">
        <v>351</v>
      </c>
      <c r="N31">
        <v>335</v>
      </c>
      <c r="O31">
        <v>130</v>
      </c>
      <c r="P31">
        <v>160</v>
      </c>
      <c r="Q31">
        <v>90</v>
      </c>
      <c r="R31">
        <v>155</v>
      </c>
      <c r="S31">
        <v>435</v>
      </c>
      <c r="T31">
        <v>237</v>
      </c>
      <c r="U31">
        <v>319</v>
      </c>
      <c r="V31">
        <v>280</v>
      </c>
      <c r="W31">
        <v>255</v>
      </c>
      <c r="X31">
        <v>205</v>
      </c>
      <c r="Y31">
        <v>45</v>
      </c>
      <c r="Z31">
        <v>270</v>
      </c>
      <c r="AA31">
        <v>310</v>
      </c>
      <c r="AB31">
        <v>378</v>
      </c>
      <c r="AC31">
        <v>175</v>
      </c>
      <c r="AD31">
        <v>254</v>
      </c>
      <c r="AY31" t="s">
        <v>33</v>
      </c>
    </row>
    <row r="32" spans="1:51" x14ac:dyDescent="0.3">
      <c r="A32" t="str">
        <f t="shared" si="0"/>
        <v>Płock</v>
      </c>
      <c r="B32">
        <v>267</v>
      </c>
      <c r="C32">
        <v>274</v>
      </c>
      <c r="D32">
        <v>275</v>
      </c>
      <c r="E32">
        <v>355</v>
      </c>
      <c r="F32">
        <v>150</v>
      </c>
      <c r="G32">
        <v>85</v>
      </c>
      <c r="H32">
        <v>374</v>
      </c>
      <c r="I32">
        <v>229</v>
      </c>
      <c r="J32">
        <v>280</v>
      </c>
      <c r="K32">
        <v>285</v>
      </c>
      <c r="L32">
        <v>340</v>
      </c>
      <c r="M32">
        <v>424</v>
      </c>
      <c r="N32">
        <v>430</v>
      </c>
      <c r="O32">
        <v>185</v>
      </c>
      <c r="P32">
        <v>300</v>
      </c>
      <c r="Q32">
        <v>235</v>
      </c>
      <c r="R32">
        <v>129</v>
      </c>
      <c r="S32">
        <v>335</v>
      </c>
      <c r="T32">
        <v>380</v>
      </c>
      <c r="U32">
        <v>443</v>
      </c>
      <c r="V32">
        <v>375</v>
      </c>
      <c r="W32">
        <v>265</v>
      </c>
      <c r="X32">
        <v>280</v>
      </c>
      <c r="Y32">
        <v>95</v>
      </c>
      <c r="Z32">
        <v>440</v>
      </c>
      <c r="AA32">
        <v>180</v>
      </c>
      <c r="AB32">
        <v>413</v>
      </c>
      <c r="AC32">
        <v>315</v>
      </c>
      <c r="AD32">
        <v>168</v>
      </c>
      <c r="AE32">
        <v>140</v>
      </c>
      <c r="AY32" t="s">
        <v>34</v>
      </c>
    </row>
    <row r="33" spans="1:51" x14ac:dyDescent="0.3">
      <c r="A33" t="str">
        <f t="shared" si="0"/>
        <v>Poznań</v>
      </c>
      <c r="B33">
        <v>403</v>
      </c>
      <c r="C33">
        <v>466</v>
      </c>
      <c r="D33">
        <v>485</v>
      </c>
      <c r="E33">
        <v>400</v>
      </c>
      <c r="F33">
        <v>130</v>
      </c>
      <c r="G33">
        <v>290</v>
      </c>
      <c r="H33">
        <v>413</v>
      </c>
      <c r="I33">
        <v>280</v>
      </c>
      <c r="J33">
        <v>305</v>
      </c>
      <c r="K33">
        <v>330</v>
      </c>
      <c r="L33">
        <v>135</v>
      </c>
      <c r="M33">
        <v>589</v>
      </c>
      <c r="N33">
        <v>245</v>
      </c>
      <c r="O33">
        <v>110</v>
      </c>
      <c r="P33">
        <v>360</v>
      </c>
      <c r="Q33">
        <v>330</v>
      </c>
      <c r="R33">
        <v>100</v>
      </c>
      <c r="S33">
        <v>240</v>
      </c>
      <c r="T33">
        <v>440</v>
      </c>
      <c r="U33">
        <v>317</v>
      </c>
      <c r="V33">
        <v>175</v>
      </c>
      <c r="W33">
        <v>75</v>
      </c>
      <c r="X33">
        <v>445</v>
      </c>
      <c r="Y33">
        <v>210</v>
      </c>
      <c r="Z33">
        <v>509</v>
      </c>
      <c r="AA33">
        <v>330</v>
      </c>
      <c r="AB33">
        <v>206</v>
      </c>
      <c r="AC33">
        <v>255</v>
      </c>
      <c r="AD33">
        <v>375</v>
      </c>
      <c r="AE33">
        <v>240</v>
      </c>
      <c r="AF33">
        <v>209</v>
      </c>
      <c r="AY33" t="s">
        <v>35</v>
      </c>
    </row>
    <row r="34" spans="1:51" x14ac:dyDescent="0.3">
      <c r="A34" t="str">
        <f t="shared" si="0"/>
        <v>Przemyśl</v>
      </c>
      <c r="B34">
        <v>642</v>
      </c>
      <c r="C34">
        <v>336</v>
      </c>
      <c r="D34">
        <v>470</v>
      </c>
      <c r="E34">
        <v>340</v>
      </c>
      <c r="F34">
        <v>590</v>
      </c>
      <c r="G34">
        <v>475</v>
      </c>
      <c r="H34">
        <v>374</v>
      </c>
      <c r="I34">
        <v>385</v>
      </c>
      <c r="J34">
        <v>695</v>
      </c>
      <c r="K34">
        <v>750</v>
      </c>
      <c r="L34">
        <v>710</v>
      </c>
      <c r="M34">
        <v>119</v>
      </c>
      <c r="N34">
        <v>610</v>
      </c>
      <c r="O34">
        <v>470</v>
      </c>
      <c r="P34">
        <v>325</v>
      </c>
      <c r="Q34">
        <v>250</v>
      </c>
      <c r="R34">
        <v>509</v>
      </c>
      <c r="S34">
        <v>770</v>
      </c>
      <c r="T34">
        <v>250</v>
      </c>
      <c r="U34">
        <v>580</v>
      </c>
      <c r="V34">
        <v>595</v>
      </c>
      <c r="W34">
        <v>615</v>
      </c>
      <c r="X34">
        <v>215</v>
      </c>
      <c r="Y34">
        <v>385</v>
      </c>
      <c r="Z34">
        <v>229</v>
      </c>
      <c r="AA34">
        <v>595</v>
      </c>
      <c r="AB34">
        <v>718</v>
      </c>
      <c r="AC34">
        <v>435</v>
      </c>
      <c r="AD34">
        <v>463</v>
      </c>
      <c r="AE34">
        <v>340</v>
      </c>
      <c r="AF34">
        <v>440</v>
      </c>
      <c r="AG34">
        <v>595</v>
      </c>
      <c r="AY34" t="s">
        <v>36</v>
      </c>
    </row>
    <row r="35" spans="1:51" x14ac:dyDescent="0.3">
      <c r="A35" t="str">
        <f t="shared" si="0"/>
        <v>Radom</v>
      </c>
      <c r="B35">
        <v>411</v>
      </c>
      <c r="C35">
        <v>94</v>
      </c>
      <c r="D35">
        <v>295</v>
      </c>
      <c r="E35">
        <v>295</v>
      </c>
      <c r="F35">
        <v>315</v>
      </c>
      <c r="G35">
        <v>205</v>
      </c>
      <c r="H35">
        <v>332</v>
      </c>
      <c r="I35">
        <v>185</v>
      </c>
      <c r="J35">
        <v>420</v>
      </c>
      <c r="K35">
        <v>450</v>
      </c>
      <c r="L35">
        <v>475</v>
      </c>
      <c r="M35">
        <v>248</v>
      </c>
      <c r="N35">
        <v>435</v>
      </c>
      <c r="O35">
        <v>230</v>
      </c>
      <c r="P35">
        <v>260</v>
      </c>
      <c r="Q35">
        <v>75</v>
      </c>
      <c r="R35">
        <v>269</v>
      </c>
      <c r="S35">
        <v>500</v>
      </c>
      <c r="T35">
        <v>210</v>
      </c>
      <c r="U35">
        <v>447</v>
      </c>
      <c r="V35">
        <v>380</v>
      </c>
      <c r="W35">
        <v>355</v>
      </c>
      <c r="X35">
        <v>105</v>
      </c>
      <c r="Y35">
        <v>150</v>
      </c>
      <c r="Z35">
        <v>250</v>
      </c>
      <c r="AA35">
        <v>310</v>
      </c>
      <c r="AB35">
        <v>481</v>
      </c>
      <c r="AC35">
        <v>305</v>
      </c>
      <c r="AD35">
        <v>217</v>
      </c>
      <c r="AE35">
        <v>105</v>
      </c>
      <c r="AF35">
        <v>170</v>
      </c>
      <c r="AG35">
        <v>340</v>
      </c>
      <c r="AH35">
        <v>270</v>
      </c>
      <c r="AY35" t="s">
        <v>37</v>
      </c>
    </row>
    <row r="36" spans="1:51" x14ac:dyDescent="0.3">
      <c r="A36" t="str">
        <f t="shared" si="0"/>
        <v>Rzeszów</v>
      </c>
      <c r="B36">
        <v>609</v>
      </c>
      <c r="C36">
        <v>296</v>
      </c>
      <c r="D36">
        <v>430</v>
      </c>
      <c r="E36">
        <v>255</v>
      </c>
      <c r="F36">
        <v>525</v>
      </c>
      <c r="G36">
        <v>410</v>
      </c>
      <c r="H36">
        <v>290</v>
      </c>
      <c r="I36">
        <v>315</v>
      </c>
      <c r="J36">
        <v>625</v>
      </c>
      <c r="K36">
        <v>685</v>
      </c>
      <c r="L36">
        <v>645</v>
      </c>
      <c r="M36">
        <v>150</v>
      </c>
      <c r="N36">
        <v>560</v>
      </c>
      <c r="O36">
        <v>400</v>
      </c>
      <c r="P36">
        <v>240</v>
      </c>
      <c r="Q36">
        <v>180</v>
      </c>
      <c r="R36">
        <v>440</v>
      </c>
      <c r="S36">
        <v>705</v>
      </c>
      <c r="T36">
        <v>170</v>
      </c>
      <c r="U36">
        <v>496</v>
      </c>
      <c r="V36">
        <v>510</v>
      </c>
      <c r="W36">
        <v>525</v>
      </c>
      <c r="X36">
        <v>175</v>
      </c>
      <c r="Y36">
        <v>320</v>
      </c>
      <c r="Z36">
        <v>160</v>
      </c>
      <c r="AA36">
        <v>525</v>
      </c>
      <c r="AB36">
        <v>634</v>
      </c>
      <c r="AC36">
        <v>350</v>
      </c>
      <c r="AD36">
        <v>423</v>
      </c>
      <c r="AE36">
        <v>275</v>
      </c>
      <c r="AF36">
        <v>375</v>
      </c>
      <c r="AG36">
        <v>510</v>
      </c>
      <c r="AH36">
        <v>85</v>
      </c>
      <c r="AI36">
        <v>205</v>
      </c>
      <c r="AY36" t="s">
        <v>38</v>
      </c>
    </row>
    <row r="37" spans="1:51" x14ac:dyDescent="0.3">
      <c r="A37" t="str">
        <f t="shared" si="0"/>
        <v>Siedlce</v>
      </c>
      <c r="B37">
        <v>321</v>
      </c>
      <c r="C37">
        <v>61</v>
      </c>
      <c r="D37">
        <v>170</v>
      </c>
      <c r="E37">
        <v>480</v>
      </c>
      <c r="F37">
        <v>355</v>
      </c>
      <c r="G37">
        <v>175</v>
      </c>
      <c r="H37">
        <v>473</v>
      </c>
      <c r="I37">
        <v>320</v>
      </c>
      <c r="J37">
        <v>365</v>
      </c>
      <c r="K37">
        <v>425</v>
      </c>
      <c r="L37">
        <v>540</v>
      </c>
      <c r="M37">
        <v>260</v>
      </c>
      <c r="N37">
        <v>575</v>
      </c>
      <c r="O37">
        <v>355</v>
      </c>
      <c r="P37">
        <v>400</v>
      </c>
      <c r="Q37">
        <v>260</v>
      </c>
      <c r="R37">
        <v>309</v>
      </c>
      <c r="S37">
        <v>510</v>
      </c>
      <c r="T37">
        <v>395</v>
      </c>
      <c r="U37">
        <v>560</v>
      </c>
      <c r="V37">
        <v>520</v>
      </c>
      <c r="W37">
        <v>445</v>
      </c>
      <c r="X37">
        <v>115</v>
      </c>
      <c r="Y37">
        <v>235</v>
      </c>
      <c r="Z37">
        <v>409</v>
      </c>
      <c r="AA37">
        <v>265</v>
      </c>
      <c r="AB37">
        <v>601</v>
      </c>
      <c r="AC37">
        <v>415</v>
      </c>
      <c r="AD37">
        <v>142</v>
      </c>
      <c r="AE37">
        <v>240</v>
      </c>
      <c r="AF37">
        <v>215</v>
      </c>
      <c r="AG37">
        <v>405</v>
      </c>
      <c r="AH37">
        <v>330</v>
      </c>
      <c r="AI37">
        <v>185</v>
      </c>
      <c r="AJ37">
        <v>300</v>
      </c>
      <c r="AY37" t="s">
        <v>39</v>
      </c>
    </row>
    <row r="38" spans="1:51" x14ac:dyDescent="0.3">
      <c r="A38" t="str">
        <f t="shared" si="0"/>
        <v>Skierniewice</v>
      </c>
      <c r="B38">
        <v>359</v>
      </c>
      <c r="C38">
        <v>242</v>
      </c>
      <c r="D38">
        <v>270</v>
      </c>
      <c r="E38">
        <v>300</v>
      </c>
      <c r="F38">
        <v>240</v>
      </c>
      <c r="G38">
        <v>175</v>
      </c>
      <c r="H38">
        <v>322</v>
      </c>
      <c r="I38">
        <v>170</v>
      </c>
      <c r="J38">
        <v>365</v>
      </c>
      <c r="K38">
        <v>365</v>
      </c>
      <c r="L38">
        <v>380</v>
      </c>
      <c r="M38">
        <v>362</v>
      </c>
      <c r="N38">
        <v>425</v>
      </c>
      <c r="O38">
        <v>180</v>
      </c>
      <c r="P38">
        <v>245</v>
      </c>
      <c r="Q38">
        <v>165</v>
      </c>
      <c r="R38">
        <v>145</v>
      </c>
      <c r="S38">
        <v>415</v>
      </c>
      <c r="T38">
        <v>320</v>
      </c>
      <c r="U38">
        <v>436</v>
      </c>
      <c r="V38">
        <v>370</v>
      </c>
      <c r="W38">
        <v>305</v>
      </c>
      <c r="X38">
        <v>220</v>
      </c>
      <c r="Y38">
        <v>60</v>
      </c>
      <c r="Z38">
        <v>369</v>
      </c>
      <c r="AA38">
        <v>270</v>
      </c>
      <c r="AB38">
        <v>457</v>
      </c>
      <c r="AC38">
        <v>265</v>
      </c>
      <c r="AD38">
        <v>194</v>
      </c>
      <c r="AE38">
        <v>90</v>
      </c>
      <c r="AF38">
        <v>90</v>
      </c>
      <c r="AG38">
        <v>245</v>
      </c>
      <c r="AH38">
        <v>385</v>
      </c>
      <c r="AI38">
        <v>115</v>
      </c>
      <c r="AJ38">
        <v>320</v>
      </c>
      <c r="AK38">
        <v>180</v>
      </c>
      <c r="AY38" t="s">
        <v>40</v>
      </c>
    </row>
    <row r="39" spans="1:51" x14ac:dyDescent="0.3">
      <c r="A39" t="str">
        <f t="shared" si="0"/>
        <v>Słupsk</v>
      </c>
      <c r="B39">
        <v>326</v>
      </c>
      <c r="C39">
        <v>587</v>
      </c>
      <c r="D39">
        <v>525</v>
      </c>
      <c r="E39">
        <v>660</v>
      </c>
      <c r="F39">
        <v>200</v>
      </c>
      <c r="G39">
        <v>360</v>
      </c>
      <c r="H39">
        <v>723</v>
      </c>
      <c r="I39">
        <v>570</v>
      </c>
      <c r="J39">
        <v>195</v>
      </c>
      <c r="K39">
        <v>135</v>
      </c>
      <c r="L39">
        <v>295</v>
      </c>
      <c r="M39">
        <v>727</v>
      </c>
      <c r="N39">
        <v>520</v>
      </c>
      <c r="O39">
        <v>380</v>
      </c>
      <c r="P39">
        <v>650</v>
      </c>
      <c r="Q39">
        <v>580</v>
      </c>
      <c r="R39">
        <v>320</v>
      </c>
      <c r="S39">
        <v>70</v>
      </c>
      <c r="T39">
        <v>720</v>
      </c>
      <c r="U39">
        <v>595</v>
      </c>
      <c r="V39">
        <v>455</v>
      </c>
      <c r="W39">
        <v>355</v>
      </c>
      <c r="X39">
        <v>595</v>
      </c>
      <c r="Y39">
        <v>405</v>
      </c>
      <c r="Z39">
        <v>770</v>
      </c>
      <c r="AA39">
        <v>295</v>
      </c>
      <c r="AB39">
        <v>482</v>
      </c>
      <c r="AC39">
        <v>535</v>
      </c>
      <c r="AD39">
        <v>410</v>
      </c>
      <c r="AE39">
        <v>490</v>
      </c>
      <c r="AF39">
        <v>355</v>
      </c>
      <c r="AG39">
        <v>280</v>
      </c>
      <c r="AH39">
        <v>810</v>
      </c>
      <c r="AI39">
        <v>530</v>
      </c>
      <c r="AJ39">
        <v>735</v>
      </c>
      <c r="AK39">
        <v>525</v>
      </c>
      <c r="AL39">
        <v>435</v>
      </c>
      <c r="AY39" t="s">
        <v>41</v>
      </c>
    </row>
    <row r="40" spans="1:51" x14ac:dyDescent="0.3">
      <c r="A40" t="str">
        <f t="shared" si="0"/>
        <v>Suwałki</v>
      </c>
      <c r="B40">
        <v>186</v>
      </c>
      <c r="C40">
        <v>270</v>
      </c>
      <c r="D40">
        <v>116</v>
      </c>
      <c r="E40">
        <v>674</v>
      </c>
      <c r="F40">
        <v>408</v>
      </c>
      <c r="G40">
        <v>253</v>
      </c>
      <c r="H40">
        <v>646</v>
      </c>
      <c r="I40">
        <v>646</v>
      </c>
      <c r="J40">
        <v>309</v>
      </c>
      <c r="K40">
        <v>368</v>
      </c>
      <c r="L40">
        <v>616</v>
      </c>
      <c r="M40">
        <v>516</v>
      </c>
      <c r="N40">
        <v>748</v>
      </c>
      <c r="O40">
        <v>515</v>
      </c>
      <c r="P40">
        <v>572</v>
      </c>
      <c r="Q40">
        <v>451</v>
      </c>
      <c r="R40">
        <v>463</v>
      </c>
      <c r="S40">
        <v>519</v>
      </c>
      <c r="T40">
        <v>587</v>
      </c>
      <c r="U40">
        <v>736</v>
      </c>
      <c r="V40">
        <v>693</v>
      </c>
      <c r="W40">
        <v>579</v>
      </c>
      <c r="X40">
        <v>372</v>
      </c>
      <c r="Y40">
        <v>409</v>
      </c>
      <c r="Z40">
        <v>657</v>
      </c>
      <c r="AA40">
        <v>209</v>
      </c>
      <c r="AB40">
        <v>729</v>
      </c>
      <c r="AC40">
        <v>589</v>
      </c>
      <c r="AD40">
        <v>169</v>
      </c>
      <c r="AE40">
        <v>414</v>
      </c>
      <c r="AF40">
        <v>337</v>
      </c>
      <c r="AG40">
        <v>523</v>
      </c>
      <c r="AH40">
        <v>587</v>
      </c>
      <c r="AI40">
        <v>377</v>
      </c>
      <c r="AJ40">
        <v>547</v>
      </c>
      <c r="AK40">
        <v>282</v>
      </c>
      <c r="AL40">
        <v>354</v>
      </c>
      <c r="AM40">
        <v>502</v>
      </c>
      <c r="AY40" t="s">
        <v>42</v>
      </c>
    </row>
    <row r="41" spans="1:51" x14ac:dyDescent="0.3">
      <c r="A41" t="str">
        <f t="shared" si="0"/>
        <v>Szczecin</v>
      </c>
      <c r="B41">
        <v>539</v>
      </c>
      <c r="C41">
        <v>675</v>
      </c>
      <c r="D41">
        <v>660</v>
      </c>
      <c r="E41">
        <v>600</v>
      </c>
      <c r="F41">
        <v>260</v>
      </c>
      <c r="G41">
        <v>465</v>
      </c>
      <c r="H41">
        <v>613</v>
      </c>
      <c r="I41">
        <v>550</v>
      </c>
      <c r="J41">
        <v>405</v>
      </c>
      <c r="K41">
        <v>365</v>
      </c>
      <c r="L41">
        <v>105</v>
      </c>
      <c r="M41">
        <v>825</v>
      </c>
      <c r="N41">
        <v>360</v>
      </c>
      <c r="O41">
        <v>350</v>
      </c>
      <c r="P41">
        <v>570</v>
      </c>
      <c r="Q41">
        <v>569</v>
      </c>
      <c r="R41">
        <v>340</v>
      </c>
      <c r="S41">
        <v>160</v>
      </c>
      <c r="T41">
        <v>690</v>
      </c>
      <c r="U41">
        <v>480</v>
      </c>
      <c r="V41">
        <v>320</v>
      </c>
      <c r="W41">
        <v>325</v>
      </c>
      <c r="X41">
        <v>680</v>
      </c>
      <c r="Y41">
        <v>450</v>
      </c>
      <c r="Z41">
        <v>641</v>
      </c>
      <c r="AA41">
        <v>460</v>
      </c>
      <c r="AB41">
        <v>290</v>
      </c>
      <c r="AC41">
        <v>455</v>
      </c>
      <c r="AD41">
        <v>550</v>
      </c>
      <c r="AE41">
        <v>475</v>
      </c>
      <c r="AF41">
        <v>410</v>
      </c>
      <c r="AG41">
        <v>240</v>
      </c>
      <c r="AH41">
        <v>835</v>
      </c>
      <c r="AI41">
        <v>580</v>
      </c>
      <c r="AJ41">
        <v>750</v>
      </c>
      <c r="AK41">
        <v>615</v>
      </c>
      <c r="AL41">
        <v>490</v>
      </c>
      <c r="AM41">
        <v>230</v>
      </c>
      <c r="AN41">
        <v>668</v>
      </c>
      <c r="AY41" t="s">
        <v>43</v>
      </c>
    </row>
    <row r="42" spans="1:51" x14ac:dyDescent="0.3">
      <c r="A42" t="str">
        <f t="shared" si="0"/>
        <v>Świnoujście</v>
      </c>
      <c r="B42">
        <v>546</v>
      </c>
      <c r="C42">
        <v>675</v>
      </c>
      <c r="D42">
        <v>710</v>
      </c>
      <c r="E42">
        <v>728</v>
      </c>
      <c r="F42">
        <v>312</v>
      </c>
      <c r="G42">
        <v>518</v>
      </c>
      <c r="H42">
        <v>696</v>
      </c>
      <c r="I42">
        <v>631</v>
      </c>
      <c r="J42">
        <v>441</v>
      </c>
      <c r="K42">
        <v>354</v>
      </c>
      <c r="L42">
        <v>200</v>
      </c>
      <c r="M42">
        <v>877</v>
      </c>
      <c r="N42">
        <v>457</v>
      </c>
      <c r="O42">
        <v>438</v>
      </c>
      <c r="P42">
        <v>378</v>
      </c>
      <c r="Q42">
        <v>359</v>
      </c>
      <c r="R42">
        <v>378</v>
      </c>
      <c r="S42">
        <v>151</v>
      </c>
      <c r="T42">
        <v>798</v>
      </c>
      <c r="U42">
        <v>576</v>
      </c>
      <c r="V42">
        <v>417</v>
      </c>
      <c r="W42">
        <v>421</v>
      </c>
      <c r="X42">
        <v>733</v>
      </c>
      <c r="Y42">
        <v>538</v>
      </c>
      <c r="Z42">
        <v>842</v>
      </c>
      <c r="AA42">
        <v>467</v>
      </c>
      <c r="AB42">
        <v>386</v>
      </c>
      <c r="AC42">
        <v>553</v>
      </c>
      <c r="AD42">
        <v>602</v>
      </c>
      <c r="AE42">
        <v>566</v>
      </c>
      <c r="AF42">
        <v>464</v>
      </c>
      <c r="AG42">
        <v>328</v>
      </c>
      <c r="AH42">
        <v>924</v>
      </c>
      <c r="AI42">
        <v>658</v>
      </c>
      <c r="AJ42">
        <v>840</v>
      </c>
      <c r="AK42">
        <v>666</v>
      </c>
      <c r="AL42">
        <v>544</v>
      </c>
      <c r="AM42">
        <v>233</v>
      </c>
      <c r="AN42">
        <v>689</v>
      </c>
      <c r="AO42">
        <v>109</v>
      </c>
      <c r="AY42" t="s">
        <v>44</v>
      </c>
    </row>
    <row r="43" spans="1:51" x14ac:dyDescent="0.3">
      <c r="A43" t="str">
        <f t="shared" si="0"/>
        <v>Tarnobrzeg</v>
      </c>
      <c r="B43">
        <v>540</v>
      </c>
      <c r="C43">
        <v>225</v>
      </c>
      <c r="D43">
        <v>390</v>
      </c>
      <c r="E43">
        <v>233</v>
      </c>
      <c r="F43">
        <v>449</v>
      </c>
      <c r="G43">
        <v>332</v>
      </c>
      <c r="H43">
        <v>268</v>
      </c>
      <c r="I43">
        <v>241</v>
      </c>
      <c r="J43">
        <v>551</v>
      </c>
      <c r="K43">
        <v>610</v>
      </c>
      <c r="L43">
        <v>570</v>
      </c>
      <c r="M43">
        <v>160</v>
      </c>
      <c r="N43">
        <v>541</v>
      </c>
      <c r="O43">
        <v>326</v>
      </c>
      <c r="P43">
        <v>218</v>
      </c>
      <c r="Q43">
        <v>106</v>
      </c>
      <c r="R43">
        <v>365</v>
      </c>
      <c r="S43">
        <v>630</v>
      </c>
      <c r="T43">
        <v>146</v>
      </c>
      <c r="U43">
        <v>435</v>
      </c>
      <c r="V43">
        <v>492</v>
      </c>
      <c r="W43">
        <v>451</v>
      </c>
      <c r="X43">
        <v>134</v>
      </c>
      <c r="Y43">
        <v>243</v>
      </c>
      <c r="Z43">
        <v>151</v>
      </c>
      <c r="AA43">
        <v>451</v>
      </c>
      <c r="AB43">
        <v>591</v>
      </c>
      <c r="AC43">
        <v>335</v>
      </c>
      <c r="AD43">
        <v>346</v>
      </c>
      <c r="AE43">
        <v>198</v>
      </c>
      <c r="AF43">
        <v>299</v>
      </c>
      <c r="AG43">
        <v>436</v>
      </c>
      <c r="AH43">
        <v>142</v>
      </c>
      <c r="AI43">
        <v>129</v>
      </c>
      <c r="AJ43">
        <v>76</v>
      </c>
      <c r="AK43">
        <v>250</v>
      </c>
      <c r="AL43">
        <v>243</v>
      </c>
      <c r="AM43">
        <v>687</v>
      </c>
      <c r="AN43">
        <v>506</v>
      </c>
      <c r="AO43">
        <v>674</v>
      </c>
      <c r="AP43">
        <v>764</v>
      </c>
      <c r="AY43" t="s">
        <v>45</v>
      </c>
    </row>
    <row r="44" spans="1:51" x14ac:dyDescent="0.3">
      <c r="A44" t="str">
        <f t="shared" si="0"/>
        <v>Tarnów</v>
      </c>
      <c r="B44">
        <v>603</v>
      </c>
      <c r="C44">
        <v>347</v>
      </c>
      <c r="D44">
        <v>480</v>
      </c>
      <c r="E44">
        <v>170</v>
      </c>
      <c r="F44">
        <v>460</v>
      </c>
      <c r="G44">
        <v>395</v>
      </c>
      <c r="H44">
        <v>205</v>
      </c>
      <c r="I44">
        <v>237</v>
      </c>
      <c r="J44">
        <v>615</v>
      </c>
      <c r="K44">
        <v>620</v>
      </c>
      <c r="L44">
        <v>580</v>
      </c>
      <c r="M44">
        <v>235</v>
      </c>
      <c r="N44">
        <v>475</v>
      </c>
      <c r="O44">
        <v>340</v>
      </c>
      <c r="P44">
        <v>155</v>
      </c>
      <c r="Q44">
        <v>120</v>
      </c>
      <c r="R44">
        <v>375</v>
      </c>
      <c r="S44">
        <v>615</v>
      </c>
      <c r="T44">
        <v>85</v>
      </c>
      <c r="U44">
        <v>372</v>
      </c>
      <c r="V44">
        <v>425</v>
      </c>
      <c r="W44">
        <v>445</v>
      </c>
      <c r="X44">
        <v>225</v>
      </c>
      <c r="Y44">
        <v>255</v>
      </c>
      <c r="Z44">
        <v>59</v>
      </c>
      <c r="AA44">
        <v>515</v>
      </c>
      <c r="AB44">
        <v>549</v>
      </c>
      <c r="AC44">
        <v>265</v>
      </c>
      <c r="AD44">
        <v>409</v>
      </c>
      <c r="AE44">
        <v>210</v>
      </c>
      <c r="AF44">
        <v>350</v>
      </c>
      <c r="AG44">
        <v>450</v>
      </c>
      <c r="AH44">
        <v>170</v>
      </c>
      <c r="AI44">
        <v>190</v>
      </c>
      <c r="AJ44">
        <v>85</v>
      </c>
      <c r="AK44">
        <v>340</v>
      </c>
      <c r="AL44">
        <v>300</v>
      </c>
      <c r="AM44">
        <v>700</v>
      </c>
      <c r="AN44">
        <v>598</v>
      </c>
      <c r="AO44">
        <v>729</v>
      </c>
      <c r="AP44">
        <v>763</v>
      </c>
      <c r="AQ44">
        <v>92</v>
      </c>
      <c r="AY44" t="s">
        <v>46</v>
      </c>
    </row>
    <row r="45" spans="1:51" x14ac:dyDescent="0.3">
      <c r="A45" t="str">
        <f t="shared" si="0"/>
        <v>Terespol</v>
      </c>
      <c r="B45">
        <v>421</v>
      </c>
      <c r="C45">
        <v>39</v>
      </c>
      <c r="D45">
        <v>193</v>
      </c>
      <c r="E45">
        <v>530</v>
      </c>
      <c r="F45">
        <v>454</v>
      </c>
      <c r="G45">
        <v>276</v>
      </c>
      <c r="H45">
        <v>535</v>
      </c>
      <c r="I45">
        <v>422</v>
      </c>
      <c r="J45">
        <v>467</v>
      </c>
      <c r="K45">
        <v>526</v>
      </c>
      <c r="L45">
        <v>639</v>
      </c>
      <c r="M45">
        <v>284</v>
      </c>
      <c r="N45">
        <v>670</v>
      </c>
      <c r="O45">
        <v>455</v>
      </c>
      <c r="P45">
        <v>499</v>
      </c>
      <c r="Q45">
        <v>307</v>
      </c>
      <c r="R45">
        <v>403</v>
      </c>
      <c r="S45">
        <v>639</v>
      </c>
      <c r="T45">
        <v>413</v>
      </c>
      <c r="U45">
        <v>663</v>
      </c>
      <c r="V45">
        <v>620</v>
      </c>
      <c r="W45">
        <v>544</v>
      </c>
      <c r="X45">
        <v>160</v>
      </c>
      <c r="Y45">
        <v>336</v>
      </c>
      <c r="Z45">
        <v>445</v>
      </c>
      <c r="AA45">
        <v>367</v>
      </c>
      <c r="AB45">
        <v>701</v>
      </c>
      <c r="AC45">
        <v>516</v>
      </c>
      <c r="AD45">
        <v>242</v>
      </c>
      <c r="AE45">
        <v>336</v>
      </c>
      <c r="AF45">
        <v>313</v>
      </c>
      <c r="AG45">
        <v>505</v>
      </c>
      <c r="AH45">
        <v>375</v>
      </c>
      <c r="AI45">
        <v>233</v>
      </c>
      <c r="AJ45">
        <v>335</v>
      </c>
      <c r="AK45">
        <v>100</v>
      </c>
      <c r="AL45">
        <v>281</v>
      </c>
      <c r="AM45">
        <v>626</v>
      </c>
      <c r="AN45">
        <v>309</v>
      </c>
      <c r="AO45">
        <v>714</v>
      </c>
      <c r="AP45">
        <v>766</v>
      </c>
      <c r="AQ45">
        <v>264</v>
      </c>
      <c r="AR45">
        <v>386</v>
      </c>
      <c r="AY45" t="s">
        <v>47</v>
      </c>
    </row>
    <row r="46" spans="1:51" x14ac:dyDescent="0.3">
      <c r="A46" t="str">
        <f t="shared" si="0"/>
        <v>Toruń</v>
      </c>
      <c r="B46">
        <v>256</v>
      </c>
      <c r="C46">
        <v>369</v>
      </c>
      <c r="D46">
        <v>350</v>
      </c>
      <c r="E46">
        <v>420</v>
      </c>
      <c r="F46">
        <v>45</v>
      </c>
      <c r="G46">
        <v>160</v>
      </c>
      <c r="H46">
        <v>437</v>
      </c>
      <c r="I46">
        <v>320</v>
      </c>
      <c r="J46">
        <v>180</v>
      </c>
      <c r="K46">
        <v>180</v>
      </c>
      <c r="L46">
        <v>255</v>
      </c>
      <c r="M46">
        <v>530</v>
      </c>
      <c r="N46">
        <v>370</v>
      </c>
      <c r="O46">
        <v>170</v>
      </c>
      <c r="P46">
        <v>365</v>
      </c>
      <c r="Q46">
        <v>295</v>
      </c>
      <c r="R46">
        <v>115</v>
      </c>
      <c r="S46">
        <v>230</v>
      </c>
      <c r="T46">
        <v>480</v>
      </c>
      <c r="U46">
        <v>436</v>
      </c>
      <c r="V46">
        <v>325</v>
      </c>
      <c r="W46">
        <v>255</v>
      </c>
      <c r="X46">
        <v>375</v>
      </c>
      <c r="Y46">
        <v>160</v>
      </c>
      <c r="Z46">
        <v>415</v>
      </c>
      <c r="AA46">
        <v>165</v>
      </c>
      <c r="AB46">
        <v>353</v>
      </c>
      <c r="AC46">
        <v>335</v>
      </c>
      <c r="AD46">
        <v>244</v>
      </c>
      <c r="AE46">
        <v>195</v>
      </c>
      <c r="AF46">
        <v>109</v>
      </c>
      <c r="AG46">
        <v>145</v>
      </c>
      <c r="AH46">
        <v>540</v>
      </c>
      <c r="AI46">
        <v>270</v>
      </c>
      <c r="AJ46">
        <v>475</v>
      </c>
      <c r="AK46">
        <v>310</v>
      </c>
      <c r="AL46">
        <v>185</v>
      </c>
      <c r="AM46">
        <v>245</v>
      </c>
      <c r="AN46">
        <v>376</v>
      </c>
      <c r="AO46">
        <v>309</v>
      </c>
      <c r="AP46">
        <v>358</v>
      </c>
      <c r="AQ46">
        <v>403</v>
      </c>
      <c r="AR46">
        <v>415</v>
      </c>
      <c r="AS46">
        <v>408</v>
      </c>
      <c r="AY46" t="s">
        <v>48</v>
      </c>
    </row>
    <row r="47" spans="1:51" x14ac:dyDescent="0.3">
      <c r="A47" t="str">
        <f t="shared" si="0"/>
        <v>Warszawa</v>
      </c>
      <c r="B47">
        <v>308</v>
      </c>
      <c r="C47">
        <v>162</v>
      </c>
      <c r="D47">
        <v>190</v>
      </c>
      <c r="E47">
        <v>400</v>
      </c>
      <c r="F47">
        <v>255</v>
      </c>
      <c r="G47">
        <v>100</v>
      </c>
      <c r="H47">
        <v>372</v>
      </c>
      <c r="I47">
        <v>220</v>
      </c>
      <c r="J47">
        <v>320</v>
      </c>
      <c r="K47">
        <v>341</v>
      </c>
      <c r="L47">
        <v>440</v>
      </c>
      <c r="M47">
        <v>312</v>
      </c>
      <c r="N47">
        <v>475</v>
      </c>
      <c r="O47">
        <v>255</v>
      </c>
      <c r="P47">
        <v>300</v>
      </c>
      <c r="Q47">
        <v>175</v>
      </c>
      <c r="R47">
        <v>200</v>
      </c>
      <c r="S47">
        <v>395</v>
      </c>
      <c r="T47">
        <v>315</v>
      </c>
      <c r="U47">
        <v>487</v>
      </c>
      <c r="V47">
        <v>420</v>
      </c>
      <c r="W47">
        <v>345</v>
      </c>
      <c r="X47">
        <v>170</v>
      </c>
      <c r="Y47">
        <v>135</v>
      </c>
      <c r="Z47">
        <v>355</v>
      </c>
      <c r="AA47">
        <v>220</v>
      </c>
      <c r="AB47">
        <v>500</v>
      </c>
      <c r="AC47">
        <v>315</v>
      </c>
      <c r="AD47">
        <v>114</v>
      </c>
      <c r="AE47">
        <v>140</v>
      </c>
      <c r="AF47">
        <v>110</v>
      </c>
      <c r="AG47">
        <v>305</v>
      </c>
      <c r="AH47">
        <v>375</v>
      </c>
      <c r="AI47">
        <v>105</v>
      </c>
      <c r="AJ47">
        <v>310</v>
      </c>
      <c r="AK47">
        <v>100</v>
      </c>
      <c r="AL47">
        <v>80</v>
      </c>
      <c r="AM47">
        <v>425</v>
      </c>
      <c r="AN47">
        <v>274</v>
      </c>
      <c r="AO47">
        <v>515</v>
      </c>
      <c r="AP47">
        <v>565</v>
      </c>
      <c r="AQ47">
        <v>232</v>
      </c>
      <c r="AR47">
        <v>295</v>
      </c>
      <c r="AS47">
        <v>201</v>
      </c>
      <c r="AT47">
        <v>205</v>
      </c>
      <c r="AY47" t="s">
        <v>49</v>
      </c>
    </row>
    <row r="48" spans="1:51" x14ac:dyDescent="0.3">
      <c r="A48" t="str">
        <f t="shared" si="0"/>
        <v>Włocławek</v>
      </c>
      <c r="B48">
        <v>314</v>
      </c>
      <c r="C48">
        <v>322</v>
      </c>
      <c r="D48">
        <v>315</v>
      </c>
      <c r="E48">
        <v>360</v>
      </c>
      <c r="F48">
        <v>105</v>
      </c>
      <c r="G48">
        <v>130</v>
      </c>
      <c r="H48">
        <v>379</v>
      </c>
      <c r="I48">
        <v>380</v>
      </c>
      <c r="J48">
        <v>235</v>
      </c>
      <c r="K48">
        <v>235</v>
      </c>
      <c r="L48">
        <v>295</v>
      </c>
      <c r="M48">
        <v>472</v>
      </c>
      <c r="N48">
        <v>380</v>
      </c>
      <c r="O48">
        <v>130</v>
      </c>
      <c r="P48">
        <v>305</v>
      </c>
      <c r="Q48">
        <v>240</v>
      </c>
      <c r="R48">
        <v>75</v>
      </c>
      <c r="S48">
        <v>290</v>
      </c>
      <c r="T48">
        <v>420</v>
      </c>
      <c r="U48">
        <v>394</v>
      </c>
      <c r="V48">
        <v>315</v>
      </c>
      <c r="W48">
        <v>215</v>
      </c>
      <c r="X48">
        <v>330</v>
      </c>
      <c r="Y48">
        <v>100</v>
      </c>
      <c r="Z48">
        <v>355</v>
      </c>
      <c r="AA48">
        <v>215</v>
      </c>
      <c r="AB48">
        <v>365</v>
      </c>
      <c r="AC48">
        <v>295</v>
      </c>
      <c r="AD48">
        <v>216</v>
      </c>
      <c r="AE48">
        <v>145</v>
      </c>
      <c r="AF48">
        <v>50</v>
      </c>
      <c r="AG48">
        <v>160</v>
      </c>
      <c r="AH48">
        <v>485</v>
      </c>
      <c r="AI48">
        <v>210</v>
      </c>
      <c r="AJ48">
        <v>415</v>
      </c>
      <c r="AK48">
        <v>260</v>
      </c>
      <c r="AL48">
        <v>130</v>
      </c>
      <c r="AM48">
        <v>305</v>
      </c>
      <c r="AN48">
        <v>385</v>
      </c>
      <c r="AO48">
        <v>369</v>
      </c>
      <c r="AP48">
        <v>416</v>
      </c>
      <c r="AQ48">
        <v>345</v>
      </c>
      <c r="AR48">
        <v>355</v>
      </c>
      <c r="AS48">
        <v>361</v>
      </c>
      <c r="AT48">
        <v>60</v>
      </c>
      <c r="AU48">
        <v>160</v>
      </c>
      <c r="AY48" t="s">
        <v>50</v>
      </c>
    </row>
    <row r="49" spans="1:51" x14ac:dyDescent="0.3">
      <c r="A49" t="str">
        <f t="shared" si="0"/>
        <v>Wrocław</v>
      </c>
      <c r="B49">
        <v>564</v>
      </c>
      <c r="C49">
        <v>504</v>
      </c>
      <c r="D49">
        <v>535</v>
      </c>
      <c r="E49">
        <v>230</v>
      </c>
      <c r="F49">
        <v>275</v>
      </c>
      <c r="G49">
        <v>445</v>
      </c>
      <c r="H49">
        <v>241</v>
      </c>
      <c r="I49">
        <v>180</v>
      </c>
      <c r="J49">
        <v>470</v>
      </c>
      <c r="K49">
        <v>485</v>
      </c>
      <c r="L49">
        <v>270</v>
      </c>
      <c r="M49">
        <v>558</v>
      </c>
      <c r="N49">
        <v>125</v>
      </c>
      <c r="O49">
        <v>120</v>
      </c>
      <c r="P49">
        <v>195</v>
      </c>
      <c r="Q49">
        <v>300</v>
      </c>
      <c r="R49">
        <v>175</v>
      </c>
      <c r="S49">
        <v>415</v>
      </c>
      <c r="T49">
        <v>270</v>
      </c>
      <c r="U49">
        <v>140</v>
      </c>
      <c r="V49">
        <v>70</v>
      </c>
      <c r="W49">
        <v>95</v>
      </c>
      <c r="X49">
        <v>415</v>
      </c>
      <c r="Y49">
        <v>225</v>
      </c>
      <c r="Z49">
        <v>370</v>
      </c>
      <c r="AA49">
        <v>475</v>
      </c>
      <c r="AB49">
        <v>197</v>
      </c>
      <c r="AC49">
        <v>85</v>
      </c>
      <c r="AD49">
        <v>461</v>
      </c>
      <c r="AE49">
        <v>205</v>
      </c>
      <c r="AF49">
        <v>309</v>
      </c>
      <c r="AG49">
        <v>170</v>
      </c>
      <c r="AH49">
        <v>520</v>
      </c>
      <c r="AI49">
        <v>310</v>
      </c>
      <c r="AJ49">
        <v>435</v>
      </c>
      <c r="AK49">
        <v>450</v>
      </c>
      <c r="AL49">
        <v>295</v>
      </c>
      <c r="AM49">
        <v>450</v>
      </c>
      <c r="AN49">
        <v>621</v>
      </c>
      <c r="AO49">
        <v>370</v>
      </c>
      <c r="AP49">
        <v>468</v>
      </c>
      <c r="AQ49">
        <v>420</v>
      </c>
      <c r="AR49">
        <v>350</v>
      </c>
      <c r="AS49">
        <v>543</v>
      </c>
      <c r="AT49">
        <v>290</v>
      </c>
      <c r="AU49">
        <v>345</v>
      </c>
      <c r="AV49">
        <v>290</v>
      </c>
      <c r="AY49" t="s">
        <v>51</v>
      </c>
    </row>
    <row r="50" spans="1:51" x14ac:dyDescent="0.3">
      <c r="A50" t="str">
        <f t="shared" si="0"/>
        <v>Zakopane</v>
      </c>
      <c r="B50">
        <v>728</v>
      </c>
      <c r="C50">
        <v>481</v>
      </c>
      <c r="D50">
        <v>636</v>
      </c>
      <c r="E50">
        <v>129</v>
      </c>
      <c r="F50">
        <v>584</v>
      </c>
      <c r="G50">
        <v>520</v>
      </c>
      <c r="H50">
        <v>164</v>
      </c>
      <c r="I50">
        <v>239</v>
      </c>
      <c r="J50">
        <v>739</v>
      </c>
      <c r="K50">
        <v>691</v>
      </c>
      <c r="L50">
        <v>625</v>
      </c>
      <c r="M50">
        <v>443</v>
      </c>
      <c r="N50">
        <v>453</v>
      </c>
      <c r="O50">
        <v>407</v>
      </c>
      <c r="P50">
        <v>162</v>
      </c>
      <c r="Q50">
        <v>243</v>
      </c>
      <c r="R50">
        <v>446</v>
      </c>
      <c r="S50">
        <v>761</v>
      </c>
      <c r="T50">
        <v>107</v>
      </c>
      <c r="U50">
        <v>379</v>
      </c>
      <c r="V50">
        <v>571</v>
      </c>
      <c r="W50">
        <v>454</v>
      </c>
      <c r="X50">
        <v>360</v>
      </c>
      <c r="Y50">
        <v>365</v>
      </c>
      <c r="Z50">
        <v>98</v>
      </c>
      <c r="AA50">
        <v>639</v>
      </c>
      <c r="AB50">
        <v>696</v>
      </c>
      <c r="AC50">
        <v>274</v>
      </c>
      <c r="AD50">
        <v>53</v>
      </c>
      <c r="AE50">
        <v>335</v>
      </c>
      <c r="AF50">
        <v>477</v>
      </c>
      <c r="AG50">
        <v>517</v>
      </c>
      <c r="AH50">
        <v>325</v>
      </c>
      <c r="AI50">
        <v>317</v>
      </c>
      <c r="AJ50">
        <v>242</v>
      </c>
      <c r="AK50">
        <v>501</v>
      </c>
      <c r="AL50">
        <v>409</v>
      </c>
      <c r="AM50">
        <v>809</v>
      </c>
      <c r="AN50">
        <v>394</v>
      </c>
      <c r="AO50">
        <v>714</v>
      </c>
      <c r="AP50">
        <v>827</v>
      </c>
      <c r="AQ50">
        <v>253</v>
      </c>
      <c r="AR50">
        <v>152</v>
      </c>
      <c r="AS50">
        <v>523</v>
      </c>
      <c r="AT50">
        <v>510</v>
      </c>
      <c r="AU50">
        <v>420</v>
      </c>
      <c r="AV50">
        <v>453</v>
      </c>
      <c r="AW50">
        <v>342</v>
      </c>
      <c r="AY50" t="s">
        <v>52</v>
      </c>
    </row>
    <row r="51" spans="1:51" x14ac:dyDescent="0.3">
      <c r="A51" t="str">
        <f t="shared" si="0"/>
        <v>Zielona Góra</v>
      </c>
      <c r="B51">
        <v>550</v>
      </c>
      <c r="C51">
        <v>588</v>
      </c>
      <c r="D51">
        <v>615</v>
      </c>
      <c r="E51">
        <v>385</v>
      </c>
      <c r="F51">
        <v>260</v>
      </c>
      <c r="G51">
        <v>425</v>
      </c>
      <c r="H51">
        <v>397</v>
      </c>
      <c r="I51">
        <v>335</v>
      </c>
      <c r="J51">
        <v>435</v>
      </c>
      <c r="K51">
        <v>425</v>
      </c>
      <c r="L51">
        <v>110</v>
      </c>
      <c r="M51">
        <v>687</v>
      </c>
      <c r="N51">
        <v>145</v>
      </c>
      <c r="O51">
        <v>210</v>
      </c>
      <c r="P51">
        <v>355</v>
      </c>
      <c r="Q51">
        <v>430</v>
      </c>
      <c r="R51">
        <v>229</v>
      </c>
      <c r="S51">
        <v>340</v>
      </c>
      <c r="T51">
        <v>475</v>
      </c>
      <c r="U51">
        <v>264</v>
      </c>
      <c r="V51">
        <v>105</v>
      </c>
      <c r="W51">
        <v>85</v>
      </c>
      <c r="X51">
        <v>545</v>
      </c>
      <c r="Y51">
        <v>325</v>
      </c>
      <c r="Z51">
        <v>529</v>
      </c>
      <c r="AA51">
        <v>460</v>
      </c>
      <c r="AB51">
        <v>74</v>
      </c>
      <c r="AC51">
        <v>240</v>
      </c>
      <c r="AD51">
        <v>507</v>
      </c>
      <c r="AE51">
        <v>335</v>
      </c>
      <c r="AF51">
        <v>340</v>
      </c>
      <c r="AG51">
        <v>130</v>
      </c>
      <c r="AH51">
        <v>675</v>
      </c>
      <c r="AI51">
        <v>440</v>
      </c>
      <c r="AJ51">
        <v>640</v>
      </c>
      <c r="AK51">
        <v>525</v>
      </c>
      <c r="AL51">
        <v>385</v>
      </c>
      <c r="AM51">
        <v>410</v>
      </c>
      <c r="AN51">
        <v>655</v>
      </c>
      <c r="AO51">
        <v>215</v>
      </c>
      <c r="AP51">
        <v>312</v>
      </c>
      <c r="AQ51">
        <v>534</v>
      </c>
      <c r="AR51">
        <v>508</v>
      </c>
      <c r="AS51">
        <v>627</v>
      </c>
      <c r="AT51">
        <v>279</v>
      </c>
      <c r="AU51">
        <v>425</v>
      </c>
      <c r="AV51">
        <v>290</v>
      </c>
      <c r="AW51">
        <v>155</v>
      </c>
      <c r="AX51">
        <v>498</v>
      </c>
      <c r="AY51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1"/>
  <sheetViews>
    <sheetView topLeftCell="H1" workbookViewId="0">
      <selection activeCell="Q9" sqref="Q9"/>
    </sheetView>
  </sheetViews>
  <sheetFormatPr defaultRowHeight="14.4" x14ac:dyDescent="0.3"/>
  <cols>
    <col min="1" max="1" width="20.6640625" style="53" customWidth="1"/>
    <col min="2" max="26" width="4" bestFit="1" customWidth="1"/>
    <col min="27" max="27" width="5.33203125" customWidth="1"/>
    <col min="28" max="36" width="4" bestFit="1" customWidth="1"/>
    <col min="37" max="37" width="5.109375" customWidth="1"/>
    <col min="38" max="50" width="4" bestFit="1" customWidth="1"/>
    <col min="51" max="51" width="4.77734375" customWidth="1"/>
    <col min="239" max="306" width="4" bestFit="1" customWidth="1"/>
    <col min="307" max="307" width="18.6640625" bestFit="1" customWidth="1"/>
    <col min="495" max="562" width="4" bestFit="1" customWidth="1"/>
    <col min="563" max="563" width="18.6640625" bestFit="1" customWidth="1"/>
    <col min="751" max="818" width="4" bestFit="1" customWidth="1"/>
    <col min="819" max="819" width="18.6640625" bestFit="1" customWidth="1"/>
    <col min="1007" max="1074" width="4" bestFit="1" customWidth="1"/>
    <col min="1075" max="1075" width="18.6640625" bestFit="1" customWidth="1"/>
    <col min="1263" max="1330" width="4" bestFit="1" customWidth="1"/>
    <col min="1331" max="1331" width="18.6640625" bestFit="1" customWidth="1"/>
    <col min="1519" max="1586" width="4" bestFit="1" customWidth="1"/>
    <col min="1587" max="1587" width="18.6640625" bestFit="1" customWidth="1"/>
    <col min="1775" max="1842" width="4" bestFit="1" customWidth="1"/>
    <col min="1843" max="1843" width="18.6640625" bestFit="1" customWidth="1"/>
    <col min="2031" max="2098" width="4" bestFit="1" customWidth="1"/>
    <col min="2099" max="2099" width="18.6640625" bestFit="1" customWidth="1"/>
    <col min="2287" max="2354" width="4" bestFit="1" customWidth="1"/>
    <col min="2355" max="2355" width="18.6640625" bestFit="1" customWidth="1"/>
    <col min="2543" max="2610" width="4" bestFit="1" customWidth="1"/>
    <col min="2611" max="2611" width="18.6640625" bestFit="1" customWidth="1"/>
    <col min="2799" max="2866" width="4" bestFit="1" customWidth="1"/>
    <col min="2867" max="2867" width="18.6640625" bestFit="1" customWidth="1"/>
    <col min="3055" max="3122" width="4" bestFit="1" customWidth="1"/>
    <col min="3123" max="3123" width="18.6640625" bestFit="1" customWidth="1"/>
    <col min="3311" max="3378" width="4" bestFit="1" customWidth="1"/>
    <col min="3379" max="3379" width="18.6640625" bestFit="1" customWidth="1"/>
    <col min="3567" max="3634" width="4" bestFit="1" customWidth="1"/>
    <col min="3635" max="3635" width="18.6640625" bestFit="1" customWidth="1"/>
    <col min="3823" max="3890" width="4" bestFit="1" customWidth="1"/>
    <col min="3891" max="3891" width="18.6640625" bestFit="1" customWidth="1"/>
    <col min="4079" max="4146" width="4" bestFit="1" customWidth="1"/>
    <col min="4147" max="4147" width="18.6640625" bestFit="1" customWidth="1"/>
    <col min="4335" max="4402" width="4" bestFit="1" customWidth="1"/>
    <col min="4403" max="4403" width="18.6640625" bestFit="1" customWidth="1"/>
    <col min="4591" max="4658" width="4" bestFit="1" customWidth="1"/>
    <col min="4659" max="4659" width="18.6640625" bestFit="1" customWidth="1"/>
    <col min="4847" max="4914" width="4" bestFit="1" customWidth="1"/>
    <col min="4915" max="4915" width="18.6640625" bestFit="1" customWidth="1"/>
    <col min="5103" max="5170" width="4" bestFit="1" customWidth="1"/>
    <col min="5171" max="5171" width="18.6640625" bestFit="1" customWidth="1"/>
    <col min="5359" max="5426" width="4" bestFit="1" customWidth="1"/>
    <col min="5427" max="5427" width="18.6640625" bestFit="1" customWidth="1"/>
    <col min="5615" max="5682" width="4" bestFit="1" customWidth="1"/>
    <col min="5683" max="5683" width="18.6640625" bestFit="1" customWidth="1"/>
    <col min="5871" max="5938" width="4" bestFit="1" customWidth="1"/>
    <col min="5939" max="5939" width="18.6640625" bestFit="1" customWidth="1"/>
    <col min="6127" max="6194" width="4" bestFit="1" customWidth="1"/>
    <col min="6195" max="6195" width="18.6640625" bestFit="1" customWidth="1"/>
    <col min="6383" max="6450" width="4" bestFit="1" customWidth="1"/>
    <col min="6451" max="6451" width="18.6640625" bestFit="1" customWidth="1"/>
    <col min="6639" max="6706" width="4" bestFit="1" customWidth="1"/>
    <col min="6707" max="6707" width="18.6640625" bestFit="1" customWidth="1"/>
    <col min="6895" max="6962" width="4" bestFit="1" customWidth="1"/>
    <col min="6963" max="6963" width="18.6640625" bestFit="1" customWidth="1"/>
    <col min="7151" max="7218" width="4" bestFit="1" customWidth="1"/>
    <col min="7219" max="7219" width="18.6640625" bestFit="1" customWidth="1"/>
    <col min="7407" max="7474" width="4" bestFit="1" customWidth="1"/>
    <col min="7475" max="7475" width="18.6640625" bestFit="1" customWidth="1"/>
    <col min="7663" max="7730" width="4" bestFit="1" customWidth="1"/>
    <col min="7731" max="7731" width="18.6640625" bestFit="1" customWidth="1"/>
    <col min="7919" max="7986" width="4" bestFit="1" customWidth="1"/>
    <col min="7987" max="7987" width="18.6640625" bestFit="1" customWidth="1"/>
    <col min="8175" max="8242" width="4" bestFit="1" customWidth="1"/>
    <col min="8243" max="8243" width="18.6640625" bestFit="1" customWidth="1"/>
    <col min="8431" max="8498" width="4" bestFit="1" customWidth="1"/>
    <col min="8499" max="8499" width="18.6640625" bestFit="1" customWidth="1"/>
    <col min="8687" max="8754" width="4" bestFit="1" customWidth="1"/>
    <col min="8755" max="8755" width="18.6640625" bestFit="1" customWidth="1"/>
    <col min="8943" max="9010" width="4" bestFit="1" customWidth="1"/>
    <col min="9011" max="9011" width="18.6640625" bestFit="1" customWidth="1"/>
    <col min="9199" max="9266" width="4" bestFit="1" customWidth="1"/>
    <col min="9267" max="9267" width="18.6640625" bestFit="1" customWidth="1"/>
    <col min="9455" max="9522" width="4" bestFit="1" customWidth="1"/>
    <col min="9523" max="9523" width="18.6640625" bestFit="1" customWidth="1"/>
    <col min="9711" max="9778" width="4" bestFit="1" customWidth="1"/>
    <col min="9779" max="9779" width="18.6640625" bestFit="1" customWidth="1"/>
    <col min="9967" max="10034" width="4" bestFit="1" customWidth="1"/>
    <col min="10035" max="10035" width="18.6640625" bestFit="1" customWidth="1"/>
    <col min="10223" max="10290" width="4" bestFit="1" customWidth="1"/>
    <col min="10291" max="10291" width="18.6640625" bestFit="1" customWidth="1"/>
    <col min="10479" max="10546" width="4" bestFit="1" customWidth="1"/>
    <col min="10547" max="10547" width="18.6640625" bestFit="1" customWidth="1"/>
    <col min="10735" max="10802" width="4" bestFit="1" customWidth="1"/>
    <col min="10803" max="10803" width="18.6640625" bestFit="1" customWidth="1"/>
    <col min="10991" max="11058" width="4" bestFit="1" customWidth="1"/>
    <col min="11059" max="11059" width="18.6640625" bestFit="1" customWidth="1"/>
    <col min="11247" max="11314" width="4" bestFit="1" customWidth="1"/>
    <col min="11315" max="11315" width="18.6640625" bestFit="1" customWidth="1"/>
    <col min="11503" max="11570" width="4" bestFit="1" customWidth="1"/>
    <col min="11571" max="11571" width="18.6640625" bestFit="1" customWidth="1"/>
    <col min="11759" max="11826" width="4" bestFit="1" customWidth="1"/>
    <col min="11827" max="11827" width="18.6640625" bestFit="1" customWidth="1"/>
    <col min="12015" max="12082" width="4" bestFit="1" customWidth="1"/>
    <col min="12083" max="12083" width="18.6640625" bestFit="1" customWidth="1"/>
    <col min="12271" max="12338" width="4" bestFit="1" customWidth="1"/>
    <col min="12339" max="12339" width="18.6640625" bestFit="1" customWidth="1"/>
    <col min="12527" max="12594" width="4" bestFit="1" customWidth="1"/>
    <col min="12595" max="12595" width="18.6640625" bestFit="1" customWidth="1"/>
    <col min="12783" max="12850" width="4" bestFit="1" customWidth="1"/>
    <col min="12851" max="12851" width="18.6640625" bestFit="1" customWidth="1"/>
    <col min="13039" max="13106" width="4" bestFit="1" customWidth="1"/>
    <col min="13107" max="13107" width="18.6640625" bestFit="1" customWidth="1"/>
    <col min="13295" max="13362" width="4" bestFit="1" customWidth="1"/>
    <col min="13363" max="13363" width="18.6640625" bestFit="1" customWidth="1"/>
    <col min="13551" max="13618" width="4" bestFit="1" customWidth="1"/>
    <col min="13619" max="13619" width="18.6640625" bestFit="1" customWidth="1"/>
    <col min="13807" max="13874" width="4" bestFit="1" customWidth="1"/>
    <col min="13875" max="13875" width="18.6640625" bestFit="1" customWidth="1"/>
    <col min="14063" max="14130" width="4" bestFit="1" customWidth="1"/>
    <col min="14131" max="14131" width="18.6640625" bestFit="1" customWidth="1"/>
    <col min="14319" max="14386" width="4" bestFit="1" customWidth="1"/>
    <col min="14387" max="14387" width="18.6640625" bestFit="1" customWidth="1"/>
    <col min="14575" max="14642" width="4" bestFit="1" customWidth="1"/>
    <col min="14643" max="14643" width="18.6640625" bestFit="1" customWidth="1"/>
    <col min="14831" max="14898" width="4" bestFit="1" customWidth="1"/>
    <col min="14899" max="14899" width="18.6640625" bestFit="1" customWidth="1"/>
    <col min="15087" max="15154" width="4" bestFit="1" customWidth="1"/>
    <col min="15155" max="15155" width="18.6640625" bestFit="1" customWidth="1"/>
    <col min="15343" max="15410" width="4" bestFit="1" customWidth="1"/>
    <col min="15411" max="15411" width="18.6640625" bestFit="1" customWidth="1"/>
    <col min="15599" max="15666" width="4" bestFit="1" customWidth="1"/>
    <col min="15667" max="15667" width="18.6640625" bestFit="1" customWidth="1"/>
    <col min="15855" max="15922" width="4" bestFit="1" customWidth="1"/>
    <col min="15923" max="15923" width="18.6640625" bestFit="1" customWidth="1"/>
    <col min="16111" max="16178" width="4" bestFit="1" customWidth="1"/>
    <col min="16179" max="16179" width="18.6640625" bestFit="1" customWidth="1"/>
  </cols>
  <sheetData>
    <row r="1" spans="1:51" s="52" customFormat="1" ht="15" x14ac:dyDescent="0.3">
      <c r="A1" s="53" t="s">
        <v>175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</row>
    <row r="2" spans="1:51" ht="15.6" x14ac:dyDescent="0.3">
      <c r="A2" s="53" t="s">
        <v>0</v>
      </c>
      <c r="B2">
        <v>0</v>
      </c>
      <c r="C2">
        <v>382</v>
      </c>
      <c r="D2">
        <v>224</v>
      </c>
      <c r="E2">
        <v>622</v>
      </c>
      <c r="F2">
        <v>288</v>
      </c>
      <c r="G2">
        <v>208</v>
      </c>
      <c r="H2">
        <v>741</v>
      </c>
      <c r="I2">
        <v>490</v>
      </c>
      <c r="J2">
        <v>133</v>
      </c>
      <c r="K2">
        <v>192</v>
      </c>
      <c r="L2">
        <v>489</v>
      </c>
      <c r="M2">
        <v>57</v>
      </c>
      <c r="N2">
        <v>647</v>
      </c>
      <c r="O2">
        <v>428</v>
      </c>
      <c r="P2">
        <v>567</v>
      </c>
      <c r="Q2">
        <v>485</v>
      </c>
      <c r="R2">
        <v>371</v>
      </c>
      <c r="S2">
        <v>395</v>
      </c>
      <c r="T2">
        <v>621</v>
      </c>
      <c r="U2">
        <v>704</v>
      </c>
      <c r="V2">
        <v>580</v>
      </c>
      <c r="W2">
        <v>480</v>
      </c>
      <c r="X2">
        <v>437</v>
      </c>
      <c r="Y2">
        <v>364</v>
      </c>
      <c r="Z2">
        <v>662</v>
      </c>
      <c r="AA2">
        <v>89</v>
      </c>
      <c r="AB2">
        <v>609</v>
      </c>
      <c r="AC2">
        <v>564</v>
      </c>
      <c r="AD2">
        <v>179</v>
      </c>
      <c r="AE2">
        <v>409</v>
      </c>
      <c r="AF2">
        <v>267</v>
      </c>
      <c r="AG2">
        <v>403</v>
      </c>
      <c r="AH2">
        <v>642</v>
      </c>
      <c r="AI2">
        <v>411</v>
      </c>
      <c r="AJ2">
        <v>609</v>
      </c>
      <c r="AK2">
        <v>321</v>
      </c>
      <c r="AL2">
        <v>359</v>
      </c>
      <c r="AM2">
        <v>326</v>
      </c>
      <c r="AN2">
        <v>186</v>
      </c>
      <c r="AO2">
        <v>539</v>
      </c>
      <c r="AP2">
        <v>546</v>
      </c>
      <c r="AQ2">
        <v>540</v>
      </c>
      <c r="AR2">
        <v>603</v>
      </c>
      <c r="AS2">
        <v>421</v>
      </c>
      <c r="AT2">
        <v>256</v>
      </c>
      <c r="AU2">
        <v>308</v>
      </c>
      <c r="AV2">
        <v>314</v>
      </c>
      <c r="AW2">
        <v>564</v>
      </c>
      <c r="AX2">
        <v>728</v>
      </c>
      <c r="AY2">
        <v>550</v>
      </c>
    </row>
    <row r="3" spans="1:51" ht="16.2" x14ac:dyDescent="0.3">
      <c r="A3" s="53" t="s">
        <v>1</v>
      </c>
      <c r="B3">
        <v>382</v>
      </c>
      <c r="C3">
        <v>0</v>
      </c>
      <c r="D3">
        <v>154</v>
      </c>
      <c r="E3">
        <v>491</v>
      </c>
      <c r="F3">
        <v>415</v>
      </c>
      <c r="G3">
        <v>237</v>
      </c>
      <c r="H3">
        <v>496</v>
      </c>
      <c r="I3">
        <v>383</v>
      </c>
      <c r="J3">
        <v>428</v>
      </c>
      <c r="K3">
        <v>487</v>
      </c>
      <c r="L3">
        <v>600</v>
      </c>
      <c r="M3">
        <v>245</v>
      </c>
      <c r="N3">
        <v>631</v>
      </c>
      <c r="O3">
        <v>416</v>
      </c>
      <c r="P3">
        <v>460</v>
      </c>
      <c r="Q3">
        <v>268</v>
      </c>
      <c r="R3">
        <v>364</v>
      </c>
      <c r="S3">
        <v>600</v>
      </c>
      <c r="T3">
        <v>374</v>
      </c>
      <c r="U3">
        <v>621</v>
      </c>
      <c r="V3">
        <v>576</v>
      </c>
      <c r="W3">
        <v>505</v>
      </c>
      <c r="X3">
        <v>121</v>
      </c>
      <c r="Y3">
        <v>297</v>
      </c>
      <c r="Z3">
        <v>406</v>
      </c>
      <c r="AA3">
        <v>238</v>
      </c>
      <c r="AB3">
        <v>662</v>
      </c>
      <c r="AC3">
        <v>477</v>
      </c>
      <c r="AD3">
        <v>203</v>
      </c>
      <c r="AE3">
        <v>297</v>
      </c>
      <c r="AF3">
        <v>274</v>
      </c>
      <c r="AG3">
        <v>466</v>
      </c>
      <c r="AH3">
        <v>336</v>
      </c>
      <c r="AI3">
        <v>94</v>
      </c>
      <c r="AJ3">
        <v>296</v>
      </c>
      <c r="AK3">
        <v>61</v>
      </c>
      <c r="AL3">
        <v>242</v>
      </c>
      <c r="AM3">
        <v>587</v>
      </c>
      <c r="AN3">
        <v>270</v>
      </c>
      <c r="AO3">
        <v>675</v>
      </c>
      <c r="AP3">
        <v>675</v>
      </c>
      <c r="AQ3">
        <v>225</v>
      </c>
      <c r="AR3">
        <v>347</v>
      </c>
      <c r="AS3">
        <v>39</v>
      </c>
      <c r="AT3">
        <v>369</v>
      </c>
      <c r="AU3">
        <v>162</v>
      </c>
      <c r="AV3">
        <v>322</v>
      </c>
      <c r="AW3">
        <v>504</v>
      </c>
      <c r="AX3">
        <v>481</v>
      </c>
      <c r="AY3">
        <v>588</v>
      </c>
    </row>
    <row r="4" spans="1:51" ht="15.6" x14ac:dyDescent="0.3">
      <c r="A4" s="53" t="s">
        <v>2</v>
      </c>
      <c r="B4">
        <v>224</v>
      </c>
      <c r="C4">
        <v>154</v>
      </c>
      <c r="D4">
        <v>0</v>
      </c>
      <c r="E4">
        <v>542</v>
      </c>
      <c r="F4">
        <v>400</v>
      </c>
      <c r="G4">
        <v>190</v>
      </c>
      <c r="H4">
        <v>562</v>
      </c>
      <c r="I4">
        <v>410</v>
      </c>
      <c r="J4">
        <v>335</v>
      </c>
      <c r="K4">
        <v>395</v>
      </c>
      <c r="L4">
        <v>608</v>
      </c>
      <c r="M4">
        <v>400</v>
      </c>
      <c r="N4">
        <v>630</v>
      </c>
      <c r="O4">
        <v>445</v>
      </c>
      <c r="P4">
        <v>490</v>
      </c>
      <c r="Q4">
        <v>365</v>
      </c>
      <c r="R4">
        <v>390</v>
      </c>
      <c r="S4">
        <v>585</v>
      </c>
      <c r="T4">
        <v>445</v>
      </c>
      <c r="U4">
        <v>649</v>
      </c>
      <c r="V4">
        <v>610</v>
      </c>
      <c r="W4">
        <v>510</v>
      </c>
      <c r="X4">
        <v>295</v>
      </c>
      <c r="Y4">
        <v>215</v>
      </c>
      <c r="Z4">
        <v>510</v>
      </c>
      <c r="AA4">
        <v>235</v>
      </c>
      <c r="AB4">
        <v>716</v>
      </c>
      <c r="AC4">
        <v>505</v>
      </c>
      <c r="AD4">
        <v>113</v>
      </c>
      <c r="AE4">
        <v>330</v>
      </c>
      <c r="AF4">
        <v>275</v>
      </c>
      <c r="AG4">
        <v>485</v>
      </c>
      <c r="AH4">
        <v>470</v>
      </c>
      <c r="AI4">
        <v>295</v>
      </c>
      <c r="AJ4">
        <v>430</v>
      </c>
      <c r="AK4">
        <v>170</v>
      </c>
      <c r="AL4">
        <v>270</v>
      </c>
      <c r="AM4">
        <v>525</v>
      </c>
      <c r="AN4">
        <v>116</v>
      </c>
      <c r="AO4">
        <v>660</v>
      </c>
      <c r="AP4">
        <v>710</v>
      </c>
      <c r="AQ4">
        <v>390</v>
      </c>
      <c r="AR4">
        <v>480</v>
      </c>
      <c r="AS4">
        <v>193</v>
      </c>
      <c r="AT4">
        <v>350</v>
      </c>
      <c r="AU4">
        <v>190</v>
      </c>
      <c r="AV4">
        <v>315</v>
      </c>
      <c r="AW4">
        <v>535</v>
      </c>
      <c r="AX4">
        <v>636</v>
      </c>
      <c r="AY4">
        <v>615</v>
      </c>
    </row>
    <row r="5" spans="1:51" ht="16.2" x14ac:dyDescent="0.3">
      <c r="A5" s="53" t="s">
        <v>3</v>
      </c>
      <c r="B5">
        <v>622</v>
      </c>
      <c r="C5">
        <v>491</v>
      </c>
      <c r="D5">
        <v>542</v>
      </c>
      <c r="E5">
        <v>0</v>
      </c>
      <c r="F5">
        <v>460</v>
      </c>
      <c r="G5">
        <v>500</v>
      </c>
      <c r="H5">
        <v>35</v>
      </c>
      <c r="I5">
        <v>130</v>
      </c>
      <c r="J5">
        <v>595</v>
      </c>
      <c r="K5">
        <v>595</v>
      </c>
      <c r="L5">
        <v>495</v>
      </c>
      <c r="M5">
        <v>392</v>
      </c>
      <c r="N5">
        <v>340</v>
      </c>
      <c r="O5">
        <v>300</v>
      </c>
      <c r="P5">
        <v>55</v>
      </c>
      <c r="Q5">
        <v>225</v>
      </c>
      <c r="R5">
        <v>340</v>
      </c>
      <c r="S5">
        <v>640</v>
      </c>
      <c r="T5">
        <v>85</v>
      </c>
      <c r="U5">
        <v>256</v>
      </c>
      <c r="V5">
        <v>300</v>
      </c>
      <c r="W5">
        <v>325</v>
      </c>
      <c r="X5">
        <v>340</v>
      </c>
      <c r="Y5">
        <v>260</v>
      </c>
      <c r="Z5">
        <v>150</v>
      </c>
      <c r="AA5">
        <v>535</v>
      </c>
      <c r="AB5">
        <v>458</v>
      </c>
      <c r="AC5">
        <v>145</v>
      </c>
      <c r="AD5">
        <v>514</v>
      </c>
      <c r="AE5">
        <v>215</v>
      </c>
      <c r="AF5">
        <v>355</v>
      </c>
      <c r="AG5">
        <v>400</v>
      </c>
      <c r="AH5">
        <v>340</v>
      </c>
      <c r="AI5">
        <v>295</v>
      </c>
      <c r="AJ5">
        <v>255</v>
      </c>
      <c r="AK5">
        <v>480</v>
      </c>
      <c r="AL5">
        <v>300</v>
      </c>
      <c r="AM5">
        <v>660</v>
      </c>
      <c r="AN5">
        <v>674</v>
      </c>
      <c r="AO5">
        <v>600</v>
      </c>
      <c r="AP5">
        <v>728</v>
      </c>
      <c r="AQ5">
        <v>233</v>
      </c>
      <c r="AR5">
        <v>170</v>
      </c>
      <c r="AS5">
        <v>530</v>
      </c>
      <c r="AT5">
        <v>420</v>
      </c>
      <c r="AU5">
        <v>400</v>
      </c>
      <c r="AV5">
        <v>360</v>
      </c>
      <c r="AW5">
        <v>230</v>
      </c>
      <c r="AX5">
        <v>129</v>
      </c>
      <c r="AY5">
        <v>385</v>
      </c>
    </row>
    <row r="6" spans="1:51" ht="15.6" x14ac:dyDescent="0.3">
      <c r="A6" s="53" t="s">
        <v>4</v>
      </c>
      <c r="B6">
        <v>288</v>
      </c>
      <c r="C6">
        <v>415</v>
      </c>
      <c r="D6">
        <v>400</v>
      </c>
      <c r="E6">
        <v>460</v>
      </c>
      <c r="F6">
        <v>0</v>
      </c>
      <c r="G6">
        <v>205</v>
      </c>
      <c r="H6">
        <v>479</v>
      </c>
      <c r="I6">
        <v>330</v>
      </c>
      <c r="J6">
        <v>175</v>
      </c>
      <c r="K6">
        <v>170</v>
      </c>
      <c r="L6">
        <v>210</v>
      </c>
      <c r="M6">
        <v>576</v>
      </c>
      <c r="N6">
        <v>375</v>
      </c>
      <c r="O6">
        <v>180</v>
      </c>
      <c r="P6">
        <v>405</v>
      </c>
      <c r="Q6">
        <v>345</v>
      </c>
      <c r="R6">
        <v>120</v>
      </c>
      <c r="S6">
        <v>185</v>
      </c>
      <c r="T6">
        <v>477</v>
      </c>
      <c r="U6">
        <v>432</v>
      </c>
      <c r="V6">
        <v>375</v>
      </c>
      <c r="W6">
        <v>205</v>
      </c>
      <c r="X6">
        <v>420</v>
      </c>
      <c r="Y6">
        <v>205</v>
      </c>
      <c r="Z6">
        <v>520</v>
      </c>
      <c r="AA6">
        <v>200</v>
      </c>
      <c r="AB6">
        <v>336</v>
      </c>
      <c r="AC6">
        <v>340</v>
      </c>
      <c r="AD6">
        <v>290</v>
      </c>
      <c r="AE6">
        <v>275</v>
      </c>
      <c r="AF6">
        <v>150</v>
      </c>
      <c r="AG6">
        <v>130</v>
      </c>
      <c r="AH6">
        <v>590</v>
      </c>
      <c r="AI6">
        <v>315</v>
      </c>
      <c r="AJ6">
        <v>525</v>
      </c>
      <c r="AK6">
        <v>355</v>
      </c>
      <c r="AL6">
        <v>240</v>
      </c>
      <c r="AM6">
        <v>200</v>
      </c>
      <c r="AN6">
        <v>408</v>
      </c>
      <c r="AO6">
        <v>260</v>
      </c>
      <c r="AP6">
        <v>312</v>
      </c>
      <c r="AQ6">
        <v>449</v>
      </c>
      <c r="AR6">
        <v>460</v>
      </c>
      <c r="AS6">
        <v>454</v>
      </c>
      <c r="AT6">
        <v>45</v>
      </c>
      <c r="AU6">
        <v>255</v>
      </c>
      <c r="AV6">
        <v>105</v>
      </c>
      <c r="AW6">
        <v>275</v>
      </c>
      <c r="AX6">
        <v>584</v>
      </c>
      <c r="AY6">
        <v>260</v>
      </c>
    </row>
    <row r="7" spans="1:51" ht="15.6" x14ac:dyDescent="0.3">
      <c r="A7" s="53" t="s">
        <v>5</v>
      </c>
      <c r="B7">
        <v>208</v>
      </c>
      <c r="C7">
        <v>237</v>
      </c>
      <c r="D7">
        <v>190</v>
      </c>
      <c r="E7">
        <v>500</v>
      </c>
      <c r="F7">
        <v>205</v>
      </c>
      <c r="G7">
        <v>0</v>
      </c>
      <c r="H7">
        <v>472</v>
      </c>
      <c r="I7">
        <v>320</v>
      </c>
      <c r="J7">
        <v>220</v>
      </c>
      <c r="K7">
        <v>280</v>
      </c>
      <c r="L7">
        <v>425</v>
      </c>
      <c r="M7">
        <v>412</v>
      </c>
      <c r="N7">
        <v>575</v>
      </c>
      <c r="O7">
        <v>265</v>
      </c>
      <c r="P7">
        <v>400</v>
      </c>
      <c r="Q7">
        <v>275</v>
      </c>
      <c r="R7">
        <v>205</v>
      </c>
      <c r="S7">
        <v>390</v>
      </c>
      <c r="T7">
        <v>415</v>
      </c>
      <c r="U7">
        <v>559</v>
      </c>
      <c r="V7">
        <v>445</v>
      </c>
      <c r="W7">
        <v>345</v>
      </c>
      <c r="X7">
        <v>280</v>
      </c>
      <c r="Y7">
        <v>180</v>
      </c>
      <c r="Z7">
        <v>455</v>
      </c>
      <c r="AA7">
        <v>120</v>
      </c>
      <c r="AB7">
        <v>497</v>
      </c>
      <c r="AC7">
        <v>415</v>
      </c>
      <c r="AD7">
        <v>84</v>
      </c>
      <c r="AE7">
        <v>240</v>
      </c>
      <c r="AF7">
        <v>85</v>
      </c>
      <c r="AG7">
        <v>290</v>
      </c>
      <c r="AH7">
        <v>475</v>
      </c>
      <c r="AI7">
        <v>205</v>
      </c>
      <c r="AJ7">
        <v>410</v>
      </c>
      <c r="AK7">
        <v>175</v>
      </c>
      <c r="AL7">
        <v>175</v>
      </c>
      <c r="AM7">
        <v>360</v>
      </c>
      <c r="AN7">
        <v>253</v>
      </c>
      <c r="AO7">
        <v>465</v>
      </c>
      <c r="AP7">
        <v>518</v>
      </c>
      <c r="AQ7">
        <v>332</v>
      </c>
      <c r="AR7">
        <v>395</v>
      </c>
      <c r="AS7">
        <v>276</v>
      </c>
      <c r="AT7">
        <v>160</v>
      </c>
      <c r="AU7">
        <v>100</v>
      </c>
      <c r="AV7">
        <v>130</v>
      </c>
      <c r="AW7">
        <v>445</v>
      </c>
      <c r="AX7">
        <v>520</v>
      </c>
      <c r="AY7">
        <v>425</v>
      </c>
    </row>
    <row r="8" spans="1:51" ht="15.6" x14ac:dyDescent="0.3">
      <c r="A8" s="53" t="s">
        <v>10</v>
      </c>
      <c r="B8">
        <v>741</v>
      </c>
      <c r="C8">
        <v>496</v>
      </c>
      <c r="D8">
        <v>562</v>
      </c>
      <c r="E8">
        <v>35</v>
      </c>
      <c r="F8">
        <v>479</v>
      </c>
      <c r="G8">
        <v>472</v>
      </c>
      <c r="H8">
        <v>0</v>
      </c>
      <c r="I8">
        <v>151</v>
      </c>
      <c r="J8">
        <v>652</v>
      </c>
      <c r="K8">
        <v>670</v>
      </c>
      <c r="L8">
        <v>509</v>
      </c>
      <c r="M8">
        <v>427</v>
      </c>
      <c r="N8">
        <v>277</v>
      </c>
      <c r="O8">
        <v>320</v>
      </c>
      <c r="P8">
        <v>74</v>
      </c>
      <c r="Q8">
        <v>286</v>
      </c>
      <c r="R8">
        <v>358</v>
      </c>
      <c r="S8">
        <v>664</v>
      </c>
      <c r="T8">
        <v>122</v>
      </c>
      <c r="U8">
        <v>234</v>
      </c>
      <c r="V8">
        <v>313</v>
      </c>
      <c r="W8">
        <v>336</v>
      </c>
      <c r="X8">
        <v>375</v>
      </c>
      <c r="Y8">
        <v>277</v>
      </c>
      <c r="Z8">
        <v>187</v>
      </c>
      <c r="AA8">
        <v>522</v>
      </c>
      <c r="AB8">
        <v>391</v>
      </c>
      <c r="AC8">
        <v>156</v>
      </c>
      <c r="AD8">
        <v>486</v>
      </c>
      <c r="AE8">
        <v>232</v>
      </c>
      <c r="AF8">
        <v>374</v>
      </c>
      <c r="AG8">
        <v>413</v>
      </c>
      <c r="AH8">
        <v>374</v>
      </c>
      <c r="AI8">
        <v>332</v>
      </c>
      <c r="AJ8">
        <v>290</v>
      </c>
      <c r="AK8">
        <v>473</v>
      </c>
      <c r="AL8">
        <v>322</v>
      </c>
      <c r="AM8">
        <v>723</v>
      </c>
      <c r="AN8">
        <v>646</v>
      </c>
      <c r="AO8">
        <v>613</v>
      </c>
      <c r="AP8">
        <v>696</v>
      </c>
      <c r="AQ8">
        <v>268</v>
      </c>
      <c r="AR8">
        <v>205</v>
      </c>
      <c r="AS8">
        <v>535</v>
      </c>
      <c r="AT8">
        <v>437</v>
      </c>
      <c r="AU8">
        <v>372</v>
      </c>
      <c r="AV8">
        <v>379</v>
      </c>
      <c r="AW8">
        <v>241</v>
      </c>
      <c r="AX8">
        <v>164</v>
      </c>
      <c r="AY8">
        <v>397</v>
      </c>
    </row>
    <row r="9" spans="1:51" ht="16.2" x14ac:dyDescent="0.3">
      <c r="A9" s="53" t="s">
        <v>11</v>
      </c>
      <c r="B9">
        <v>490</v>
      </c>
      <c r="C9">
        <v>383</v>
      </c>
      <c r="D9">
        <v>410</v>
      </c>
      <c r="E9">
        <v>130</v>
      </c>
      <c r="F9">
        <v>330</v>
      </c>
      <c r="G9">
        <v>320</v>
      </c>
      <c r="H9">
        <v>151</v>
      </c>
      <c r="I9">
        <v>0</v>
      </c>
      <c r="J9">
        <v>500</v>
      </c>
      <c r="K9">
        <v>450</v>
      </c>
      <c r="L9">
        <v>435</v>
      </c>
      <c r="M9">
        <v>401</v>
      </c>
      <c r="N9">
        <v>300</v>
      </c>
      <c r="O9">
        <v>195</v>
      </c>
      <c r="P9">
        <v>75</v>
      </c>
      <c r="Q9">
        <v>135</v>
      </c>
      <c r="R9">
        <v>209</v>
      </c>
      <c r="S9">
        <v>490</v>
      </c>
      <c r="T9">
        <v>150</v>
      </c>
      <c r="U9">
        <v>238</v>
      </c>
      <c r="V9">
        <v>250</v>
      </c>
      <c r="W9">
        <v>275</v>
      </c>
      <c r="X9">
        <v>290</v>
      </c>
      <c r="Y9">
        <v>129</v>
      </c>
      <c r="Z9">
        <v>250</v>
      </c>
      <c r="AA9">
        <v>400</v>
      </c>
      <c r="AB9">
        <v>457</v>
      </c>
      <c r="AC9">
        <v>95</v>
      </c>
      <c r="AD9">
        <v>335</v>
      </c>
      <c r="AE9">
        <v>80</v>
      </c>
      <c r="AF9">
        <v>229</v>
      </c>
      <c r="AG9">
        <v>280</v>
      </c>
      <c r="AH9">
        <v>385</v>
      </c>
      <c r="AI9">
        <v>185</v>
      </c>
      <c r="AJ9">
        <v>315</v>
      </c>
      <c r="AK9">
        <v>320</v>
      </c>
      <c r="AL9">
        <v>170</v>
      </c>
      <c r="AM9">
        <v>570</v>
      </c>
      <c r="AN9">
        <v>646</v>
      </c>
      <c r="AO9">
        <v>550</v>
      </c>
      <c r="AP9">
        <v>631</v>
      </c>
      <c r="AQ9">
        <v>241</v>
      </c>
      <c r="AR9">
        <v>237</v>
      </c>
      <c r="AS9">
        <v>422</v>
      </c>
      <c r="AT9">
        <v>320</v>
      </c>
      <c r="AU9">
        <v>220</v>
      </c>
      <c r="AV9">
        <v>380</v>
      </c>
      <c r="AW9">
        <v>180</v>
      </c>
      <c r="AX9">
        <v>239</v>
      </c>
      <c r="AY9">
        <v>335</v>
      </c>
    </row>
    <row r="10" spans="1:51" ht="15.6" x14ac:dyDescent="0.3">
      <c r="A10" s="53" t="s">
        <v>12</v>
      </c>
      <c r="B10">
        <v>133</v>
      </c>
      <c r="C10">
        <v>428</v>
      </c>
      <c r="D10">
        <v>335</v>
      </c>
      <c r="E10">
        <v>595</v>
      </c>
      <c r="F10">
        <v>175</v>
      </c>
      <c r="G10">
        <v>220</v>
      </c>
      <c r="H10">
        <v>652</v>
      </c>
      <c r="I10">
        <v>500</v>
      </c>
      <c r="J10">
        <v>0</v>
      </c>
      <c r="K10">
        <v>60</v>
      </c>
      <c r="L10">
        <v>355</v>
      </c>
      <c r="M10">
        <v>617</v>
      </c>
      <c r="N10">
        <v>520</v>
      </c>
      <c r="O10">
        <v>350</v>
      </c>
      <c r="P10">
        <v>580</v>
      </c>
      <c r="Q10">
        <v>495</v>
      </c>
      <c r="R10">
        <v>295</v>
      </c>
      <c r="S10">
        <v>260</v>
      </c>
      <c r="T10">
        <v>630</v>
      </c>
      <c r="U10">
        <v>711</v>
      </c>
      <c r="V10">
        <v>455</v>
      </c>
      <c r="W10">
        <v>355</v>
      </c>
      <c r="X10">
        <v>485</v>
      </c>
      <c r="Y10">
        <v>375</v>
      </c>
      <c r="Z10">
        <v>675</v>
      </c>
      <c r="AA10">
        <v>100</v>
      </c>
      <c r="AB10">
        <v>509</v>
      </c>
      <c r="AC10">
        <v>515</v>
      </c>
      <c r="AD10">
        <v>225</v>
      </c>
      <c r="AE10">
        <v>280</v>
      </c>
      <c r="AF10">
        <v>280</v>
      </c>
      <c r="AG10">
        <v>305</v>
      </c>
      <c r="AH10">
        <v>695</v>
      </c>
      <c r="AI10">
        <v>420</v>
      </c>
      <c r="AJ10">
        <v>625</v>
      </c>
      <c r="AK10">
        <v>365</v>
      </c>
      <c r="AL10">
        <v>365</v>
      </c>
      <c r="AM10">
        <v>195</v>
      </c>
      <c r="AN10">
        <v>309</v>
      </c>
      <c r="AO10">
        <v>405</v>
      </c>
      <c r="AP10">
        <v>441</v>
      </c>
      <c r="AQ10">
        <v>551</v>
      </c>
      <c r="AR10">
        <v>615</v>
      </c>
      <c r="AS10">
        <v>467</v>
      </c>
      <c r="AT10">
        <v>180</v>
      </c>
      <c r="AU10">
        <v>320</v>
      </c>
      <c r="AV10">
        <v>235</v>
      </c>
      <c r="AW10">
        <v>470</v>
      </c>
      <c r="AX10">
        <v>739</v>
      </c>
      <c r="AY10">
        <v>435</v>
      </c>
    </row>
    <row r="11" spans="1:51" ht="15.6" x14ac:dyDescent="0.3">
      <c r="A11" s="53" t="s">
        <v>13</v>
      </c>
      <c r="B11">
        <v>192</v>
      </c>
      <c r="C11">
        <v>487</v>
      </c>
      <c r="D11">
        <v>395</v>
      </c>
      <c r="E11">
        <v>595</v>
      </c>
      <c r="F11">
        <v>170</v>
      </c>
      <c r="G11">
        <v>280</v>
      </c>
      <c r="H11">
        <v>670</v>
      </c>
      <c r="I11">
        <v>450</v>
      </c>
      <c r="J11">
        <v>60</v>
      </c>
      <c r="K11">
        <v>0</v>
      </c>
      <c r="L11">
        <v>315</v>
      </c>
      <c r="M11">
        <v>660</v>
      </c>
      <c r="N11">
        <v>570</v>
      </c>
      <c r="O11">
        <v>300</v>
      </c>
      <c r="P11">
        <v>530</v>
      </c>
      <c r="Q11">
        <v>505</v>
      </c>
      <c r="R11">
        <v>245</v>
      </c>
      <c r="S11">
        <v>205</v>
      </c>
      <c r="T11">
        <v>610</v>
      </c>
      <c r="U11">
        <v>645</v>
      </c>
      <c r="V11">
        <v>505</v>
      </c>
      <c r="W11">
        <v>405</v>
      </c>
      <c r="X11">
        <v>515</v>
      </c>
      <c r="Y11">
        <v>340</v>
      </c>
      <c r="Z11">
        <v>680</v>
      </c>
      <c r="AA11">
        <v>160</v>
      </c>
      <c r="AB11">
        <v>487</v>
      </c>
      <c r="AC11">
        <v>515</v>
      </c>
      <c r="AD11">
        <v>284</v>
      </c>
      <c r="AE11">
        <v>410</v>
      </c>
      <c r="AF11">
        <v>285</v>
      </c>
      <c r="AG11">
        <v>330</v>
      </c>
      <c r="AH11">
        <v>750</v>
      </c>
      <c r="AI11">
        <v>450</v>
      </c>
      <c r="AJ11">
        <v>685</v>
      </c>
      <c r="AK11">
        <v>425</v>
      </c>
      <c r="AL11">
        <v>365</v>
      </c>
      <c r="AM11">
        <v>135</v>
      </c>
      <c r="AN11">
        <v>368</v>
      </c>
      <c r="AO11">
        <v>365</v>
      </c>
      <c r="AP11">
        <v>354</v>
      </c>
      <c r="AQ11">
        <v>610</v>
      </c>
      <c r="AR11">
        <v>620</v>
      </c>
      <c r="AS11">
        <v>526</v>
      </c>
      <c r="AT11">
        <v>180</v>
      </c>
      <c r="AU11">
        <v>341</v>
      </c>
      <c r="AV11">
        <v>235</v>
      </c>
      <c r="AW11">
        <v>485</v>
      </c>
      <c r="AX11">
        <v>691</v>
      </c>
      <c r="AY11">
        <v>425</v>
      </c>
    </row>
    <row r="12" spans="1:51" ht="16.8" x14ac:dyDescent="0.3">
      <c r="A12" s="53" t="s">
        <v>14</v>
      </c>
      <c r="B12">
        <v>489</v>
      </c>
      <c r="C12">
        <v>600</v>
      </c>
      <c r="D12">
        <v>608</v>
      </c>
      <c r="E12">
        <v>495</v>
      </c>
      <c r="F12">
        <v>210</v>
      </c>
      <c r="G12">
        <v>425</v>
      </c>
      <c r="H12">
        <v>509</v>
      </c>
      <c r="I12">
        <v>435</v>
      </c>
      <c r="J12">
        <v>355</v>
      </c>
      <c r="K12">
        <v>315</v>
      </c>
      <c r="L12">
        <v>0</v>
      </c>
      <c r="M12">
        <v>723</v>
      </c>
      <c r="N12">
        <v>255</v>
      </c>
      <c r="O12">
        <v>245</v>
      </c>
      <c r="P12">
        <v>465</v>
      </c>
      <c r="Q12">
        <v>465</v>
      </c>
      <c r="R12">
        <v>235</v>
      </c>
      <c r="S12">
        <v>225</v>
      </c>
      <c r="T12">
        <v>585</v>
      </c>
      <c r="U12">
        <v>376</v>
      </c>
      <c r="V12">
        <v>215</v>
      </c>
      <c r="W12">
        <v>210</v>
      </c>
      <c r="X12">
        <v>580</v>
      </c>
      <c r="Y12">
        <v>345</v>
      </c>
      <c r="Z12">
        <v>650</v>
      </c>
      <c r="AA12">
        <v>410</v>
      </c>
      <c r="AB12">
        <v>186</v>
      </c>
      <c r="AC12">
        <v>355</v>
      </c>
      <c r="AD12">
        <v>509</v>
      </c>
      <c r="AE12">
        <v>370</v>
      </c>
      <c r="AF12">
        <v>340</v>
      </c>
      <c r="AG12">
        <v>135</v>
      </c>
      <c r="AH12">
        <v>710</v>
      </c>
      <c r="AI12">
        <v>475</v>
      </c>
      <c r="AJ12">
        <v>645</v>
      </c>
      <c r="AK12">
        <v>540</v>
      </c>
      <c r="AL12">
        <v>380</v>
      </c>
      <c r="AM12">
        <v>295</v>
      </c>
      <c r="AN12">
        <v>616</v>
      </c>
      <c r="AO12">
        <v>105</v>
      </c>
      <c r="AP12">
        <v>200</v>
      </c>
      <c r="AQ12">
        <v>570</v>
      </c>
      <c r="AR12">
        <v>580</v>
      </c>
      <c r="AS12">
        <v>639</v>
      </c>
      <c r="AT12">
        <v>255</v>
      </c>
      <c r="AU12">
        <v>440</v>
      </c>
      <c r="AV12">
        <v>295</v>
      </c>
      <c r="AW12">
        <v>270</v>
      </c>
      <c r="AX12">
        <v>625</v>
      </c>
      <c r="AY12">
        <v>110</v>
      </c>
    </row>
    <row r="13" spans="1:51" ht="15.6" x14ac:dyDescent="0.3">
      <c r="A13" s="53" t="s">
        <v>15</v>
      </c>
      <c r="B13">
        <v>57</v>
      </c>
      <c r="C13">
        <v>245</v>
      </c>
      <c r="D13">
        <v>400</v>
      </c>
      <c r="E13">
        <v>392</v>
      </c>
      <c r="F13">
        <v>576</v>
      </c>
      <c r="G13">
        <v>412</v>
      </c>
      <c r="H13">
        <v>427</v>
      </c>
      <c r="I13">
        <v>401</v>
      </c>
      <c r="J13">
        <v>617</v>
      </c>
      <c r="K13">
        <v>660</v>
      </c>
      <c r="L13">
        <v>723</v>
      </c>
      <c r="M13">
        <v>0</v>
      </c>
      <c r="N13">
        <v>685</v>
      </c>
      <c r="O13">
        <v>479</v>
      </c>
      <c r="P13">
        <v>433</v>
      </c>
      <c r="Q13">
        <v>266</v>
      </c>
      <c r="R13">
        <v>486</v>
      </c>
      <c r="S13">
        <v>749</v>
      </c>
      <c r="T13">
        <v>306</v>
      </c>
      <c r="U13">
        <v>595</v>
      </c>
      <c r="V13">
        <v>630</v>
      </c>
      <c r="W13">
        <v>604</v>
      </c>
      <c r="X13">
        <v>144</v>
      </c>
      <c r="Y13">
        <v>396</v>
      </c>
      <c r="Z13">
        <v>346</v>
      </c>
      <c r="AA13">
        <v>531</v>
      </c>
      <c r="AB13">
        <v>729</v>
      </c>
      <c r="AC13">
        <v>515</v>
      </c>
      <c r="AD13">
        <v>402</v>
      </c>
      <c r="AE13">
        <v>351</v>
      </c>
      <c r="AF13">
        <v>424</v>
      </c>
      <c r="AG13">
        <v>589</v>
      </c>
      <c r="AH13">
        <v>119</v>
      </c>
      <c r="AI13">
        <v>248</v>
      </c>
      <c r="AJ13">
        <v>150</v>
      </c>
      <c r="AK13">
        <v>260</v>
      </c>
      <c r="AL13">
        <v>362</v>
      </c>
      <c r="AM13">
        <v>727</v>
      </c>
      <c r="AN13">
        <v>516</v>
      </c>
      <c r="AO13">
        <v>825</v>
      </c>
      <c r="AP13">
        <v>877</v>
      </c>
      <c r="AQ13">
        <v>160</v>
      </c>
      <c r="AR13">
        <v>235</v>
      </c>
      <c r="AS13">
        <v>284</v>
      </c>
      <c r="AT13">
        <v>530</v>
      </c>
      <c r="AU13">
        <v>312</v>
      </c>
      <c r="AV13">
        <v>472</v>
      </c>
      <c r="AW13">
        <v>558</v>
      </c>
      <c r="AX13">
        <v>443</v>
      </c>
      <c r="AY13">
        <v>687</v>
      </c>
    </row>
    <row r="14" spans="1:51" ht="15.6" x14ac:dyDescent="0.3">
      <c r="A14" s="53" t="s">
        <v>16</v>
      </c>
      <c r="B14">
        <v>647</v>
      </c>
      <c r="C14">
        <v>631</v>
      </c>
      <c r="D14">
        <v>630</v>
      </c>
      <c r="E14">
        <v>340</v>
      </c>
      <c r="F14">
        <v>375</v>
      </c>
      <c r="G14">
        <v>575</v>
      </c>
      <c r="H14">
        <v>277</v>
      </c>
      <c r="I14">
        <v>300</v>
      </c>
      <c r="J14">
        <v>520</v>
      </c>
      <c r="K14">
        <v>570</v>
      </c>
      <c r="L14">
        <v>255</v>
      </c>
      <c r="M14">
        <v>685</v>
      </c>
      <c r="N14">
        <v>0</v>
      </c>
      <c r="O14">
        <v>245</v>
      </c>
      <c r="P14">
        <v>310</v>
      </c>
      <c r="Q14">
        <v>435</v>
      </c>
      <c r="R14">
        <v>375</v>
      </c>
      <c r="S14">
        <v>485</v>
      </c>
      <c r="T14">
        <v>390</v>
      </c>
      <c r="U14">
        <v>154</v>
      </c>
      <c r="V14">
        <v>65</v>
      </c>
      <c r="W14">
        <v>165</v>
      </c>
      <c r="X14">
        <v>510</v>
      </c>
      <c r="Y14">
        <v>355</v>
      </c>
      <c r="Z14">
        <v>490</v>
      </c>
      <c r="AA14">
        <v>560</v>
      </c>
      <c r="AB14">
        <v>150</v>
      </c>
      <c r="AC14">
        <v>205</v>
      </c>
      <c r="AD14">
        <v>588</v>
      </c>
      <c r="AE14">
        <v>335</v>
      </c>
      <c r="AF14">
        <v>430</v>
      </c>
      <c r="AG14">
        <v>245</v>
      </c>
      <c r="AH14">
        <v>610</v>
      </c>
      <c r="AI14">
        <v>435</v>
      </c>
      <c r="AJ14">
        <v>560</v>
      </c>
      <c r="AK14">
        <v>575</v>
      </c>
      <c r="AL14">
        <v>425</v>
      </c>
      <c r="AM14">
        <v>520</v>
      </c>
      <c r="AN14">
        <v>748</v>
      </c>
      <c r="AO14">
        <v>360</v>
      </c>
      <c r="AP14">
        <v>457</v>
      </c>
      <c r="AQ14">
        <v>541</v>
      </c>
      <c r="AR14">
        <v>475</v>
      </c>
      <c r="AS14">
        <v>670</v>
      </c>
      <c r="AT14">
        <v>370</v>
      </c>
      <c r="AU14">
        <v>475</v>
      </c>
      <c r="AV14">
        <v>380</v>
      </c>
      <c r="AW14">
        <v>125</v>
      </c>
      <c r="AX14">
        <v>453</v>
      </c>
      <c r="AY14">
        <v>145</v>
      </c>
    </row>
    <row r="15" spans="1:51" ht="15.6" x14ac:dyDescent="0.3">
      <c r="A15" s="53" t="s">
        <v>17</v>
      </c>
      <c r="B15">
        <v>428</v>
      </c>
      <c r="C15">
        <v>416</v>
      </c>
      <c r="D15">
        <v>445</v>
      </c>
      <c r="E15">
        <v>300</v>
      </c>
      <c r="F15">
        <v>180</v>
      </c>
      <c r="G15">
        <v>265</v>
      </c>
      <c r="H15">
        <v>320</v>
      </c>
      <c r="I15">
        <v>195</v>
      </c>
      <c r="J15">
        <v>350</v>
      </c>
      <c r="K15">
        <v>300</v>
      </c>
      <c r="L15">
        <v>245</v>
      </c>
      <c r="M15">
        <v>479</v>
      </c>
      <c r="N15">
        <v>245</v>
      </c>
      <c r="O15">
        <v>0</v>
      </c>
      <c r="P15">
        <v>270</v>
      </c>
      <c r="Q15">
        <v>220</v>
      </c>
      <c r="R15">
        <v>55</v>
      </c>
      <c r="S15">
        <v>350</v>
      </c>
      <c r="T15">
        <v>340</v>
      </c>
      <c r="U15">
        <v>260</v>
      </c>
      <c r="V15">
        <v>190</v>
      </c>
      <c r="W15">
        <v>125</v>
      </c>
      <c r="X15">
        <v>335</v>
      </c>
      <c r="Y15">
        <v>120</v>
      </c>
      <c r="Z15">
        <v>415</v>
      </c>
      <c r="AA15">
        <v>360</v>
      </c>
      <c r="AB15">
        <v>282</v>
      </c>
      <c r="AC15">
        <v>165</v>
      </c>
      <c r="AD15">
        <v>346</v>
      </c>
      <c r="AE15">
        <v>130</v>
      </c>
      <c r="AF15">
        <v>185</v>
      </c>
      <c r="AG15">
        <v>110</v>
      </c>
      <c r="AH15">
        <v>470</v>
      </c>
      <c r="AI15">
        <v>230</v>
      </c>
      <c r="AJ15">
        <v>400</v>
      </c>
      <c r="AK15">
        <v>355</v>
      </c>
      <c r="AL15">
        <v>180</v>
      </c>
      <c r="AM15">
        <v>380</v>
      </c>
      <c r="AN15">
        <v>515</v>
      </c>
      <c r="AO15">
        <v>350</v>
      </c>
      <c r="AP15">
        <v>438</v>
      </c>
      <c r="AQ15">
        <v>326</v>
      </c>
      <c r="AR15">
        <v>340</v>
      </c>
      <c r="AS15">
        <v>455</v>
      </c>
      <c r="AT15">
        <v>170</v>
      </c>
      <c r="AU15">
        <v>255</v>
      </c>
      <c r="AV15">
        <v>130</v>
      </c>
      <c r="AW15">
        <v>120</v>
      </c>
      <c r="AX15">
        <v>407</v>
      </c>
      <c r="AY15">
        <v>210</v>
      </c>
    </row>
    <row r="16" spans="1:51" ht="15.6" x14ac:dyDescent="0.3">
      <c r="A16" s="53" t="s">
        <v>18</v>
      </c>
      <c r="B16">
        <v>567</v>
      </c>
      <c r="C16">
        <v>460</v>
      </c>
      <c r="D16">
        <v>490</v>
      </c>
      <c r="E16">
        <v>55</v>
      </c>
      <c r="F16">
        <v>405</v>
      </c>
      <c r="G16">
        <v>400</v>
      </c>
      <c r="H16">
        <v>74</v>
      </c>
      <c r="I16">
        <v>75</v>
      </c>
      <c r="J16">
        <v>580</v>
      </c>
      <c r="K16">
        <v>530</v>
      </c>
      <c r="L16">
        <v>465</v>
      </c>
      <c r="M16">
        <v>433</v>
      </c>
      <c r="N16">
        <v>310</v>
      </c>
      <c r="O16">
        <v>270</v>
      </c>
      <c r="P16">
        <v>0</v>
      </c>
      <c r="Q16">
        <v>210</v>
      </c>
      <c r="R16">
        <v>285</v>
      </c>
      <c r="S16">
        <v>590</v>
      </c>
      <c r="T16">
        <v>70</v>
      </c>
      <c r="U16">
        <v>217</v>
      </c>
      <c r="V16">
        <v>270</v>
      </c>
      <c r="W16">
        <v>290</v>
      </c>
      <c r="X16">
        <v>330</v>
      </c>
      <c r="Y16">
        <v>205</v>
      </c>
      <c r="Z16">
        <v>175</v>
      </c>
      <c r="AA16">
        <v>480</v>
      </c>
      <c r="AB16">
        <v>427</v>
      </c>
      <c r="AC16">
        <v>110</v>
      </c>
      <c r="AD16">
        <v>412</v>
      </c>
      <c r="AE16">
        <v>160</v>
      </c>
      <c r="AF16">
        <v>300</v>
      </c>
      <c r="AG16">
        <v>360</v>
      </c>
      <c r="AH16">
        <v>325</v>
      </c>
      <c r="AI16">
        <v>260</v>
      </c>
      <c r="AJ16">
        <v>240</v>
      </c>
      <c r="AK16">
        <v>400</v>
      </c>
      <c r="AL16">
        <v>245</v>
      </c>
      <c r="AM16">
        <v>650</v>
      </c>
      <c r="AN16">
        <v>572</v>
      </c>
      <c r="AO16">
        <v>570</v>
      </c>
      <c r="AP16">
        <v>378</v>
      </c>
      <c r="AQ16">
        <v>218</v>
      </c>
      <c r="AR16">
        <v>155</v>
      </c>
      <c r="AS16">
        <v>499</v>
      </c>
      <c r="AT16">
        <v>365</v>
      </c>
      <c r="AU16">
        <v>300</v>
      </c>
      <c r="AV16">
        <v>305</v>
      </c>
      <c r="AW16">
        <v>195</v>
      </c>
      <c r="AX16">
        <v>162</v>
      </c>
      <c r="AY16">
        <v>355</v>
      </c>
    </row>
    <row r="17" spans="1:51" ht="15.6" x14ac:dyDescent="0.3">
      <c r="A17" s="53" t="s">
        <v>19</v>
      </c>
      <c r="B17">
        <v>485</v>
      </c>
      <c r="C17">
        <v>268</v>
      </c>
      <c r="D17">
        <v>365</v>
      </c>
      <c r="E17">
        <v>225</v>
      </c>
      <c r="F17">
        <v>345</v>
      </c>
      <c r="G17">
        <v>275</v>
      </c>
      <c r="H17">
        <v>286</v>
      </c>
      <c r="I17">
        <v>135</v>
      </c>
      <c r="J17">
        <v>495</v>
      </c>
      <c r="K17">
        <v>505</v>
      </c>
      <c r="L17">
        <v>465</v>
      </c>
      <c r="M17">
        <v>266</v>
      </c>
      <c r="N17">
        <v>435</v>
      </c>
      <c r="O17">
        <v>220</v>
      </c>
      <c r="P17">
        <v>210</v>
      </c>
      <c r="Q17">
        <v>0</v>
      </c>
      <c r="R17">
        <v>260</v>
      </c>
      <c r="S17">
        <v>530</v>
      </c>
      <c r="T17">
        <v>135</v>
      </c>
      <c r="U17">
        <v>372</v>
      </c>
      <c r="V17">
        <v>370</v>
      </c>
      <c r="W17">
        <v>345</v>
      </c>
      <c r="X17">
        <v>180</v>
      </c>
      <c r="Y17">
        <v>135</v>
      </c>
      <c r="Z17">
        <v>175</v>
      </c>
      <c r="AA17">
        <v>395</v>
      </c>
      <c r="AB17">
        <v>502</v>
      </c>
      <c r="AC17">
        <v>230</v>
      </c>
      <c r="AD17">
        <v>291</v>
      </c>
      <c r="AE17">
        <v>90</v>
      </c>
      <c r="AF17">
        <v>235</v>
      </c>
      <c r="AG17">
        <v>330</v>
      </c>
      <c r="AH17">
        <v>250</v>
      </c>
      <c r="AI17">
        <v>75</v>
      </c>
      <c r="AJ17">
        <v>180</v>
      </c>
      <c r="AK17">
        <v>260</v>
      </c>
      <c r="AL17">
        <v>165</v>
      </c>
      <c r="AM17">
        <v>580</v>
      </c>
      <c r="AN17">
        <v>451</v>
      </c>
      <c r="AO17">
        <v>569</v>
      </c>
      <c r="AP17">
        <v>359</v>
      </c>
      <c r="AQ17">
        <v>106</v>
      </c>
      <c r="AR17">
        <v>120</v>
      </c>
      <c r="AS17">
        <v>307</v>
      </c>
      <c r="AT17">
        <v>295</v>
      </c>
      <c r="AU17">
        <v>175</v>
      </c>
      <c r="AV17">
        <v>240</v>
      </c>
      <c r="AW17">
        <v>300</v>
      </c>
      <c r="AX17">
        <v>243</v>
      </c>
      <c r="AY17">
        <v>430</v>
      </c>
    </row>
    <row r="18" spans="1:51" ht="15.6" x14ac:dyDescent="0.3">
      <c r="A18" s="53" t="s">
        <v>20</v>
      </c>
      <c r="B18">
        <v>371</v>
      </c>
      <c r="C18">
        <v>364</v>
      </c>
      <c r="D18">
        <v>390</v>
      </c>
      <c r="E18">
        <v>340</v>
      </c>
      <c r="F18">
        <v>120</v>
      </c>
      <c r="G18">
        <v>205</v>
      </c>
      <c r="H18">
        <v>358</v>
      </c>
      <c r="I18">
        <v>209</v>
      </c>
      <c r="J18">
        <v>295</v>
      </c>
      <c r="K18">
        <v>245</v>
      </c>
      <c r="L18">
        <v>235</v>
      </c>
      <c r="M18">
        <v>486</v>
      </c>
      <c r="N18">
        <v>375</v>
      </c>
      <c r="O18">
        <v>55</v>
      </c>
      <c r="P18">
        <v>285</v>
      </c>
      <c r="Q18">
        <v>260</v>
      </c>
      <c r="R18">
        <v>0</v>
      </c>
      <c r="S18">
        <v>309</v>
      </c>
      <c r="T18">
        <v>355</v>
      </c>
      <c r="U18">
        <v>317</v>
      </c>
      <c r="V18">
        <v>240</v>
      </c>
      <c r="W18">
        <v>140</v>
      </c>
      <c r="X18">
        <v>369</v>
      </c>
      <c r="Y18">
        <v>110</v>
      </c>
      <c r="Z18">
        <v>455</v>
      </c>
      <c r="AA18">
        <v>280</v>
      </c>
      <c r="AB18">
        <v>298</v>
      </c>
      <c r="AC18">
        <v>220</v>
      </c>
      <c r="AD18">
        <v>294</v>
      </c>
      <c r="AE18">
        <v>155</v>
      </c>
      <c r="AF18">
        <v>129</v>
      </c>
      <c r="AG18">
        <v>100</v>
      </c>
      <c r="AH18">
        <v>509</v>
      </c>
      <c r="AI18">
        <v>269</v>
      </c>
      <c r="AJ18">
        <v>440</v>
      </c>
      <c r="AK18">
        <v>309</v>
      </c>
      <c r="AL18">
        <v>145</v>
      </c>
      <c r="AM18">
        <v>320</v>
      </c>
      <c r="AN18">
        <v>463</v>
      </c>
      <c r="AO18">
        <v>340</v>
      </c>
      <c r="AP18">
        <v>378</v>
      </c>
      <c r="AQ18">
        <v>365</v>
      </c>
      <c r="AR18">
        <v>375</v>
      </c>
      <c r="AS18">
        <v>403</v>
      </c>
      <c r="AT18">
        <v>115</v>
      </c>
      <c r="AU18">
        <v>200</v>
      </c>
      <c r="AV18">
        <v>75</v>
      </c>
      <c r="AW18">
        <v>175</v>
      </c>
      <c r="AX18">
        <v>446</v>
      </c>
      <c r="AY18">
        <v>229</v>
      </c>
    </row>
    <row r="19" spans="1:51" ht="15.6" x14ac:dyDescent="0.3">
      <c r="A19" s="53" t="s">
        <v>21</v>
      </c>
      <c r="B19">
        <v>395</v>
      </c>
      <c r="C19">
        <v>600</v>
      </c>
      <c r="D19">
        <v>585</v>
      </c>
      <c r="E19">
        <v>640</v>
      </c>
      <c r="F19">
        <v>185</v>
      </c>
      <c r="G19">
        <v>390</v>
      </c>
      <c r="H19">
        <v>664</v>
      </c>
      <c r="I19">
        <v>490</v>
      </c>
      <c r="J19">
        <v>260</v>
      </c>
      <c r="K19">
        <v>205</v>
      </c>
      <c r="L19">
        <v>225</v>
      </c>
      <c r="M19">
        <v>749</v>
      </c>
      <c r="N19">
        <v>485</v>
      </c>
      <c r="O19">
        <v>350</v>
      </c>
      <c r="P19">
        <v>590</v>
      </c>
      <c r="Q19">
        <v>530</v>
      </c>
      <c r="R19">
        <v>309</v>
      </c>
      <c r="S19">
        <v>0</v>
      </c>
      <c r="T19">
        <v>660</v>
      </c>
      <c r="U19">
        <v>553</v>
      </c>
      <c r="V19">
        <v>420</v>
      </c>
      <c r="W19">
        <v>310</v>
      </c>
      <c r="X19">
        <v>605</v>
      </c>
      <c r="Y19">
        <v>450</v>
      </c>
      <c r="Z19">
        <v>765</v>
      </c>
      <c r="AA19">
        <v>310</v>
      </c>
      <c r="AB19">
        <v>413</v>
      </c>
      <c r="AC19">
        <v>515</v>
      </c>
      <c r="AD19">
        <v>475</v>
      </c>
      <c r="AE19">
        <v>435</v>
      </c>
      <c r="AF19">
        <v>335</v>
      </c>
      <c r="AG19">
        <v>240</v>
      </c>
      <c r="AH19">
        <v>770</v>
      </c>
      <c r="AI19">
        <v>500</v>
      </c>
      <c r="AJ19">
        <v>705</v>
      </c>
      <c r="AK19">
        <v>510</v>
      </c>
      <c r="AL19">
        <v>415</v>
      </c>
      <c r="AM19">
        <v>70</v>
      </c>
      <c r="AN19">
        <v>519</v>
      </c>
      <c r="AO19">
        <v>160</v>
      </c>
      <c r="AP19">
        <v>151</v>
      </c>
      <c r="AQ19">
        <v>630</v>
      </c>
      <c r="AR19">
        <v>615</v>
      </c>
      <c r="AS19">
        <v>639</v>
      </c>
      <c r="AT19">
        <v>230</v>
      </c>
      <c r="AU19">
        <v>395</v>
      </c>
      <c r="AV19">
        <v>290</v>
      </c>
      <c r="AW19">
        <v>415</v>
      </c>
      <c r="AX19">
        <v>761</v>
      </c>
      <c r="AY19">
        <v>340</v>
      </c>
    </row>
    <row r="20" spans="1:51" ht="15.6" x14ac:dyDescent="0.3">
      <c r="A20" s="53" t="s">
        <v>22</v>
      </c>
      <c r="B20">
        <v>621</v>
      </c>
      <c r="C20">
        <v>374</v>
      </c>
      <c r="D20">
        <v>445</v>
      </c>
      <c r="E20">
        <v>85</v>
      </c>
      <c r="F20">
        <v>477</v>
      </c>
      <c r="G20">
        <v>415</v>
      </c>
      <c r="H20">
        <v>122</v>
      </c>
      <c r="I20">
        <v>150</v>
      </c>
      <c r="J20">
        <v>630</v>
      </c>
      <c r="K20">
        <v>610</v>
      </c>
      <c r="L20">
        <v>585</v>
      </c>
      <c r="M20">
        <v>306</v>
      </c>
      <c r="N20">
        <v>390</v>
      </c>
      <c r="O20">
        <v>340</v>
      </c>
      <c r="P20">
        <v>70</v>
      </c>
      <c r="Q20">
        <v>135</v>
      </c>
      <c r="R20">
        <v>355</v>
      </c>
      <c r="S20">
        <v>660</v>
      </c>
      <c r="T20">
        <v>0</v>
      </c>
      <c r="U20">
        <v>289</v>
      </c>
      <c r="V20">
        <v>340</v>
      </c>
      <c r="W20">
        <v>369</v>
      </c>
      <c r="X20">
        <v>255</v>
      </c>
      <c r="Y20">
        <v>275</v>
      </c>
      <c r="Z20">
        <v>100</v>
      </c>
      <c r="AA20">
        <v>537</v>
      </c>
      <c r="AB20">
        <v>466</v>
      </c>
      <c r="AC20">
        <v>185</v>
      </c>
      <c r="AD20">
        <v>427</v>
      </c>
      <c r="AE20">
        <v>237</v>
      </c>
      <c r="AF20">
        <v>380</v>
      </c>
      <c r="AG20">
        <v>440</v>
      </c>
      <c r="AH20">
        <v>250</v>
      </c>
      <c r="AI20">
        <v>210</v>
      </c>
      <c r="AJ20">
        <v>170</v>
      </c>
      <c r="AK20">
        <v>395</v>
      </c>
      <c r="AL20">
        <v>320</v>
      </c>
      <c r="AM20">
        <v>720</v>
      </c>
      <c r="AN20">
        <v>587</v>
      </c>
      <c r="AO20">
        <v>690</v>
      </c>
      <c r="AP20">
        <v>798</v>
      </c>
      <c r="AQ20">
        <v>146</v>
      </c>
      <c r="AR20">
        <v>85</v>
      </c>
      <c r="AS20">
        <v>413</v>
      </c>
      <c r="AT20">
        <v>480</v>
      </c>
      <c r="AU20">
        <v>315</v>
      </c>
      <c r="AV20">
        <v>420</v>
      </c>
      <c r="AW20">
        <v>270</v>
      </c>
      <c r="AX20">
        <v>107</v>
      </c>
      <c r="AY20">
        <v>475</v>
      </c>
    </row>
    <row r="21" spans="1:51" ht="16.2" x14ac:dyDescent="0.3">
      <c r="A21" s="53" t="s">
        <v>23</v>
      </c>
      <c r="B21">
        <v>704</v>
      </c>
      <c r="C21">
        <v>621</v>
      </c>
      <c r="D21">
        <v>649</v>
      </c>
      <c r="E21">
        <v>256</v>
      </c>
      <c r="F21">
        <v>432</v>
      </c>
      <c r="G21">
        <v>559</v>
      </c>
      <c r="H21">
        <v>234</v>
      </c>
      <c r="I21">
        <v>238</v>
      </c>
      <c r="J21">
        <v>711</v>
      </c>
      <c r="K21">
        <v>645</v>
      </c>
      <c r="L21">
        <v>376</v>
      </c>
      <c r="M21">
        <v>595</v>
      </c>
      <c r="N21">
        <v>154</v>
      </c>
      <c r="O21">
        <v>260</v>
      </c>
      <c r="P21">
        <v>217</v>
      </c>
      <c r="Q21">
        <v>372</v>
      </c>
      <c r="R21">
        <v>317</v>
      </c>
      <c r="S21">
        <v>553</v>
      </c>
      <c r="T21">
        <v>289</v>
      </c>
      <c r="U21">
        <v>0</v>
      </c>
      <c r="V21">
        <v>159</v>
      </c>
      <c r="W21">
        <v>235</v>
      </c>
      <c r="X21">
        <v>551</v>
      </c>
      <c r="Y21">
        <v>344</v>
      </c>
      <c r="Z21">
        <v>390</v>
      </c>
      <c r="AA21">
        <v>615</v>
      </c>
      <c r="AB21">
        <v>284</v>
      </c>
      <c r="AC21">
        <v>144</v>
      </c>
      <c r="AD21">
        <v>573</v>
      </c>
      <c r="AE21">
        <v>319</v>
      </c>
      <c r="AF21">
        <v>443</v>
      </c>
      <c r="AG21">
        <v>317</v>
      </c>
      <c r="AH21">
        <v>580</v>
      </c>
      <c r="AI21">
        <v>447</v>
      </c>
      <c r="AJ21">
        <v>496</v>
      </c>
      <c r="AK21">
        <v>560</v>
      </c>
      <c r="AL21">
        <v>436</v>
      </c>
      <c r="AM21">
        <v>595</v>
      </c>
      <c r="AN21">
        <v>736</v>
      </c>
      <c r="AO21">
        <v>480</v>
      </c>
      <c r="AP21">
        <v>576</v>
      </c>
      <c r="AQ21">
        <v>435</v>
      </c>
      <c r="AR21">
        <v>372</v>
      </c>
      <c r="AS21">
        <v>663</v>
      </c>
      <c r="AT21">
        <v>436</v>
      </c>
      <c r="AU21">
        <v>487</v>
      </c>
      <c r="AV21">
        <v>394</v>
      </c>
      <c r="AW21">
        <v>140</v>
      </c>
      <c r="AX21">
        <v>379</v>
      </c>
      <c r="AY21">
        <v>264</v>
      </c>
    </row>
    <row r="22" spans="1:51" ht="15.6" x14ac:dyDescent="0.3">
      <c r="A22" s="53" t="s">
        <v>24</v>
      </c>
      <c r="B22">
        <v>580</v>
      </c>
      <c r="C22">
        <v>576</v>
      </c>
      <c r="D22">
        <v>610</v>
      </c>
      <c r="E22">
        <v>300</v>
      </c>
      <c r="F22">
        <v>375</v>
      </c>
      <c r="G22">
        <v>445</v>
      </c>
      <c r="H22">
        <v>313</v>
      </c>
      <c r="I22">
        <v>250</v>
      </c>
      <c r="J22">
        <v>455</v>
      </c>
      <c r="K22">
        <v>505</v>
      </c>
      <c r="L22">
        <v>215</v>
      </c>
      <c r="M22">
        <v>630</v>
      </c>
      <c r="N22">
        <v>65</v>
      </c>
      <c r="O22">
        <v>190</v>
      </c>
      <c r="P22">
        <v>270</v>
      </c>
      <c r="Q22">
        <v>370</v>
      </c>
      <c r="R22">
        <v>240</v>
      </c>
      <c r="S22">
        <v>420</v>
      </c>
      <c r="T22">
        <v>340</v>
      </c>
      <c r="U22">
        <v>159</v>
      </c>
      <c r="V22">
        <v>0</v>
      </c>
      <c r="W22">
        <v>100</v>
      </c>
      <c r="X22">
        <v>485</v>
      </c>
      <c r="Y22">
        <v>295</v>
      </c>
      <c r="Z22">
        <v>440</v>
      </c>
      <c r="AA22">
        <v>490</v>
      </c>
      <c r="AB22">
        <v>125</v>
      </c>
      <c r="AC22">
        <v>155</v>
      </c>
      <c r="AD22">
        <v>533</v>
      </c>
      <c r="AE22">
        <v>280</v>
      </c>
      <c r="AF22">
        <v>375</v>
      </c>
      <c r="AG22">
        <v>175</v>
      </c>
      <c r="AH22">
        <v>595</v>
      </c>
      <c r="AI22">
        <v>380</v>
      </c>
      <c r="AJ22">
        <v>510</v>
      </c>
      <c r="AK22">
        <v>520</v>
      </c>
      <c r="AL22">
        <v>370</v>
      </c>
      <c r="AM22">
        <v>455</v>
      </c>
      <c r="AN22">
        <v>693</v>
      </c>
      <c r="AO22">
        <v>320</v>
      </c>
      <c r="AP22">
        <v>417</v>
      </c>
      <c r="AQ22">
        <v>492</v>
      </c>
      <c r="AR22">
        <v>425</v>
      </c>
      <c r="AS22">
        <v>620</v>
      </c>
      <c r="AT22">
        <v>325</v>
      </c>
      <c r="AU22">
        <v>420</v>
      </c>
      <c r="AV22">
        <v>315</v>
      </c>
      <c r="AW22">
        <v>70</v>
      </c>
      <c r="AX22">
        <v>571</v>
      </c>
      <c r="AY22">
        <v>105</v>
      </c>
    </row>
    <row r="23" spans="1:51" ht="15.6" x14ac:dyDescent="0.3">
      <c r="A23" s="53" t="s">
        <v>25</v>
      </c>
      <c r="B23">
        <v>480</v>
      </c>
      <c r="C23">
        <v>505</v>
      </c>
      <c r="D23">
        <v>510</v>
      </c>
      <c r="E23">
        <v>325</v>
      </c>
      <c r="F23">
        <v>205</v>
      </c>
      <c r="G23">
        <v>345</v>
      </c>
      <c r="H23">
        <v>336</v>
      </c>
      <c r="I23">
        <v>275</v>
      </c>
      <c r="J23">
        <v>355</v>
      </c>
      <c r="K23">
        <v>405</v>
      </c>
      <c r="L23">
        <v>210</v>
      </c>
      <c r="M23">
        <v>604</v>
      </c>
      <c r="N23">
        <v>165</v>
      </c>
      <c r="O23">
        <v>125</v>
      </c>
      <c r="P23">
        <v>290</v>
      </c>
      <c r="Q23">
        <v>345</v>
      </c>
      <c r="R23">
        <v>140</v>
      </c>
      <c r="S23">
        <v>310</v>
      </c>
      <c r="T23">
        <v>369</v>
      </c>
      <c r="U23">
        <v>235</v>
      </c>
      <c r="V23">
        <v>100</v>
      </c>
      <c r="W23">
        <v>0</v>
      </c>
      <c r="X23">
        <v>460</v>
      </c>
      <c r="Y23">
        <v>245</v>
      </c>
      <c r="Z23">
        <v>465</v>
      </c>
      <c r="AA23">
        <v>390</v>
      </c>
      <c r="AB23">
        <v>157</v>
      </c>
      <c r="AC23">
        <v>180</v>
      </c>
      <c r="AD23">
        <v>433</v>
      </c>
      <c r="AE23">
        <v>255</v>
      </c>
      <c r="AF23">
        <v>265</v>
      </c>
      <c r="AG23">
        <v>75</v>
      </c>
      <c r="AH23">
        <v>615</v>
      </c>
      <c r="AI23">
        <v>355</v>
      </c>
      <c r="AJ23">
        <v>525</v>
      </c>
      <c r="AK23">
        <v>445</v>
      </c>
      <c r="AL23">
        <v>305</v>
      </c>
      <c r="AM23">
        <v>355</v>
      </c>
      <c r="AN23">
        <v>579</v>
      </c>
      <c r="AO23">
        <v>325</v>
      </c>
      <c r="AP23">
        <v>421</v>
      </c>
      <c r="AQ23">
        <v>451</v>
      </c>
      <c r="AR23">
        <v>445</v>
      </c>
      <c r="AS23">
        <v>544</v>
      </c>
      <c r="AT23">
        <v>255</v>
      </c>
      <c r="AU23">
        <v>345</v>
      </c>
      <c r="AV23">
        <v>215</v>
      </c>
      <c r="AW23">
        <v>95</v>
      </c>
      <c r="AX23">
        <v>454</v>
      </c>
      <c r="AY23">
        <v>85</v>
      </c>
    </row>
    <row r="24" spans="1:51" ht="15.6" x14ac:dyDescent="0.3">
      <c r="A24" s="53" t="s">
        <v>26</v>
      </c>
      <c r="B24">
        <v>437</v>
      </c>
      <c r="C24">
        <v>121</v>
      </c>
      <c r="D24">
        <v>295</v>
      </c>
      <c r="E24">
        <v>340</v>
      </c>
      <c r="F24">
        <v>420</v>
      </c>
      <c r="G24">
        <v>280</v>
      </c>
      <c r="H24">
        <v>375</v>
      </c>
      <c r="I24">
        <v>290</v>
      </c>
      <c r="J24">
        <v>485</v>
      </c>
      <c r="K24">
        <v>515</v>
      </c>
      <c r="L24">
        <v>580</v>
      </c>
      <c r="M24">
        <v>144</v>
      </c>
      <c r="N24">
        <v>510</v>
      </c>
      <c r="O24">
        <v>335</v>
      </c>
      <c r="P24">
        <v>330</v>
      </c>
      <c r="Q24">
        <v>180</v>
      </c>
      <c r="R24">
        <v>369</v>
      </c>
      <c r="S24">
        <v>605</v>
      </c>
      <c r="T24">
        <v>255</v>
      </c>
      <c r="U24">
        <v>551</v>
      </c>
      <c r="V24">
        <v>485</v>
      </c>
      <c r="W24">
        <v>460</v>
      </c>
      <c r="X24">
        <v>0</v>
      </c>
      <c r="Y24">
        <v>250</v>
      </c>
      <c r="Z24">
        <v>285</v>
      </c>
      <c r="AA24">
        <v>385</v>
      </c>
      <c r="AB24">
        <v>585</v>
      </c>
      <c r="AC24">
        <v>405</v>
      </c>
      <c r="AD24">
        <v>258</v>
      </c>
      <c r="AE24">
        <v>205</v>
      </c>
      <c r="AF24">
        <v>280</v>
      </c>
      <c r="AG24">
        <v>445</v>
      </c>
      <c r="AH24">
        <v>215</v>
      </c>
      <c r="AI24">
        <v>105</v>
      </c>
      <c r="AJ24">
        <v>175</v>
      </c>
      <c r="AK24">
        <v>115</v>
      </c>
      <c r="AL24">
        <v>220</v>
      </c>
      <c r="AM24">
        <v>595</v>
      </c>
      <c r="AN24">
        <v>372</v>
      </c>
      <c r="AO24">
        <v>680</v>
      </c>
      <c r="AP24">
        <v>733</v>
      </c>
      <c r="AQ24">
        <v>134</v>
      </c>
      <c r="AR24">
        <v>225</v>
      </c>
      <c r="AS24">
        <v>160</v>
      </c>
      <c r="AT24">
        <v>375</v>
      </c>
      <c r="AU24">
        <v>170</v>
      </c>
      <c r="AV24">
        <v>330</v>
      </c>
      <c r="AW24">
        <v>415</v>
      </c>
      <c r="AX24">
        <v>360</v>
      </c>
      <c r="AY24">
        <v>545</v>
      </c>
    </row>
    <row r="25" spans="1:51" ht="15.6" x14ac:dyDescent="0.3">
      <c r="A25" s="53" t="s">
        <v>27</v>
      </c>
      <c r="B25">
        <v>364</v>
      </c>
      <c r="C25">
        <v>297</v>
      </c>
      <c r="D25">
        <v>215</v>
      </c>
      <c r="E25">
        <v>260</v>
      </c>
      <c r="F25">
        <v>205</v>
      </c>
      <c r="G25">
        <v>180</v>
      </c>
      <c r="H25">
        <v>277</v>
      </c>
      <c r="I25">
        <v>129</v>
      </c>
      <c r="J25">
        <v>375</v>
      </c>
      <c r="K25">
        <v>340</v>
      </c>
      <c r="L25">
        <v>345</v>
      </c>
      <c r="M25">
        <v>396</v>
      </c>
      <c r="N25">
        <v>355</v>
      </c>
      <c r="O25">
        <v>120</v>
      </c>
      <c r="P25">
        <v>205</v>
      </c>
      <c r="Q25">
        <v>135</v>
      </c>
      <c r="R25">
        <v>110</v>
      </c>
      <c r="S25">
        <v>450</v>
      </c>
      <c r="T25">
        <v>275</v>
      </c>
      <c r="U25">
        <v>344</v>
      </c>
      <c r="V25">
        <v>295</v>
      </c>
      <c r="W25">
        <v>245</v>
      </c>
      <c r="X25">
        <v>250</v>
      </c>
      <c r="Y25">
        <v>0</v>
      </c>
      <c r="Z25">
        <v>315</v>
      </c>
      <c r="AA25">
        <v>275</v>
      </c>
      <c r="AB25">
        <v>395</v>
      </c>
      <c r="AC25">
        <v>200</v>
      </c>
      <c r="AD25">
        <v>253</v>
      </c>
      <c r="AE25">
        <v>45</v>
      </c>
      <c r="AF25">
        <v>95</v>
      </c>
      <c r="AG25">
        <v>210</v>
      </c>
      <c r="AH25">
        <v>385</v>
      </c>
      <c r="AI25">
        <v>150</v>
      </c>
      <c r="AJ25">
        <v>320</v>
      </c>
      <c r="AK25">
        <v>235</v>
      </c>
      <c r="AL25">
        <v>60</v>
      </c>
      <c r="AM25">
        <v>405</v>
      </c>
      <c r="AN25">
        <v>409</v>
      </c>
      <c r="AO25">
        <v>450</v>
      </c>
      <c r="AP25">
        <v>538</v>
      </c>
      <c r="AQ25">
        <v>243</v>
      </c>
      <c r="AR25">
        <v>255</v>
      </c>
      <c r="AS25">
        <v>336</v>
      </c>
      <c r="AT25">
        <v>160</v>
      </c>
      <c r="AU25">
        <v>135</v>
      </c>
      <c r="AV25">
        <v>100</v>
      </c>
      <c r="AW25">
        <v>225</v>
      </c>
      <c r="AX25">
        <v>365</v>
      </c>
      <c r="AY25">
        <v>325</v>
      </c>
    </row>
    <row r="26" spans="1:51" ht="15.6" x14ac:dyDescent="0.3">
      <c r="A26" s="53" t="s">
        <v>28</v>
      </c>
      <c r="B26">
        <v>662</v>
      </c>
      <c r="C26">
        <v>406</v>
      </c>
      <c r="D26">
        <v>510</v>
      </c>
      <c r="E26">
        <v>150</v>
      </c>
      <c r="F26">
        <v>520</v>
      </c>
      <c r="G26">
        <v>455</v>
      </c>
      <c r="H26">
        <v>187</v>
      </c>
      <c r="I26">
        <v>250</v>
      </c>
      <c r="J26">
        <v>675</v>
      </c>
      <c r="K26">
        <v>680</v>
      </c>
      <c r="L26">
        <v>650</v>
      </c>
      <c r="M26">
        <v>346</v>
      </c>
      <c r="N26">
        <v>490</v>
      </c>
      <c r="O26">
        <v>415</v>
      </c>
      <c r="P26">
        <v>175</v>
      </c>
      <c r="Q26">
        <v>175</v>
      </c>
      <c r="R26">
        <v>455</v>
      </c>
      <c r="S26">
        <v>765</v>
      </c>
      <c r="T26">
        <v>100</v>
      </c>
      <c r="U26">
        <v>390</v>
      </c>
      <c r="V26">
        <v>440</v>
      </c>
      <c r="W26">
        <v>465</v>
      </c>
      <c r="X26">
        <v>285</v>
      </c>
      <c r="Y26">
        <v>315</v>
      </c>
      <c r="Z26">
        <v>0</v>
      </c>
      <c r="AA26">
        <v>575</v>
      </c>
      <c r="AB26">
        <v>567</v>
      </c>
      <c r="AC26">
        <v>285</v>
      </c>
      <c r="AD26">
        <v>468</v>
      </c>
      <c r="AE26">
        <v>270</v>
      </c>
      <c r="AF26">
        <v>440</v>
      </c>
      <c r="AG26">
        <v>509</v>
      </c>
      <c r="AH26">
        <v>229</v>
      </c>
      <c r="AI26">
        <v>250</v>
      </c>
      <c r="AJ26">
        <v>160</v>
      </c>
      <c r="AK26">
        <v>409</v>
      </c>
      <c r="AL26">
        <v>369</v>
      </c>
      <c r="AM26">
        <v>770</v>
      </c>
      <c r="AN26">
        <v>657</v>
      </c>
      <c r="AO26">
        <v>641</v>
      </c>
      <c r="AP26">
        <v>842</v>
      </c>
      <c r="AQ26">
        <v>151</v>
      </c>
      <c r="AR26">
        <v>59</v>
      </c>
      <c r="AS26">
        <v>445</v>
      </c>
      <c r="AT26">
        <v>415</v>
      </c>
      <c r="AU26">
        <v>355</v>
      </c>
      <c r="AV26">
        <v>355</v>
      </c>
      <c r="AW26">
        <v>370</v>
      </c>
      <c r="AX26">
        <v>98</v>
      </c>
      <c r="AY26">
        <v>529</v>
      </c>
    </row>
    <row r="27" spans="1:51" ht="15.6" x14ac:dyDescent="0.3">
      <c r="A27" s="53" t="s">
        <v>29</v>
      </c>
      <c r="B27">
        <v>89</v>
      </c>
      <c r="C27">
        <v>238</v>
      </c>
      <c r="D27">
        <v>235</v>
      </c>
      <c r="E27">
        <v>535</v>
      </c>
      <c r="F27">
        <v>200</v>
      </c>
      <c r="G27">
        <v>120</v>
      </c>
      <c r="H27">
        <v>522</v>
      </c>
      <c r="I27">
        <v>400</v>
      </c>
      <c r="J27">
        <v>100</v>
      </c>
      <c r="K27">
        <v>160</v>
      </c>
      <c r="L27">
        <v>410</v>
      </c>
      <c r="M27">
        <v>531</v>
      </c>
      <c r="N27">
        <v>560</v>
      </c>
      <c r="O27">
        <v>360</v>
      </c>
      <c r="P27">
        <v>480</v>
      </c>
      <c r="Q27">
        <v>395</v>
      </c>
      <c r="R27">
        <v>280</v>
      </c>
      <c r="S27">
        <v>310</v>
      </c>
      <c r="T27">
        <v>537</v>
      </c>
      <c r="U27">
        <v>615</v>
      </c>
      <c r="V27">
        <v>490</v>
      </c>
      <c r="W27">
        <v>390</v>
      </c>
      <c r="X27">
        <v>385</v>
      </c>
      <c r="Y27">
        <v>275</v>
      </c>
      <c r="Z27">
        <v>575</v>
      </c>
      <c r="AA27">
        <v>0</v>
      </c>
      <c r="AB27">
        <v>535</v>
      </c>
      <c r="AC27">
        <v>475</v>
      </c>
      <c r="AD27">
        <v>125</v>
      </c>
      <c r="AE27">
        <v>310</v>
      </c>
      <c r="AF27">
        <v>180</v>
      </c>
      <c r="AG27">
        <v>330</v>
      </c>
      <c r="AH27">
        <v>595</v>
      </c>
      <c r="AI27">
        <v>310</v>
      </c>
      <c r="AJ27">
        <v>525</v>
      </c>
      <c r="AK27">
        <v>265</v>
      </c>
      <c r="AL27">
        <v>270</v>
      </c>
      <c r="AM27">
        <v>295</v>
      </c>
      <c r="AN27">
        <v>209</v>
      </c>
      <c r="AO27">
        <v>460</v>
      </c>
      <c r="AP27">
        <v>467</v>
      </c>
      <c r="AQ27">
        <v>451</v>
      </c>
      <c r="AR27">
        <v>515</v>
      </c>
      <c r="AS27">
        <v>367</v>
      </c>
      <c r="AT27">
        <v>165</v>
      </c>
      <c r="AU27">
        <v>220</v>
      </c>
      <c r="AV27">
        <v>215</v>
      </c>
      <c r="AW27">
        <v>475</v>
      </c>
      <c r="AX27">
        <v>639</v>
      </c>
      <c r="AY27">
        <v>460</v>
      </c>
    </row>
    <row r="28" spans="1:51" ht="15.6" x14ac:dyDescent="0.3">
      <c r="A28" s="53" t="s">
        <v>30</v>
      </c>
      <c r="B28">
        <v>609</v>
      </c>
      <c r="C28">
        <v>662</v>
      </c>
      <c r="D28">
        <v>716</v>
      </c>
      <c r="E28">
        <v>458</v>
      </c>
      <c r="F28">
        <v>336</v>
      </c>
      <c r="G28">
        <v>497</v>
      </c>
      <c r="H28">
        <v>391</v>
      </c>
      <c r="I28">
        <v>457</v>
      </c>
      <c r="J28">
        <v>509</v>
      </c>
      <c r="K28">
        <v>487</v>
      </c>
      <c r="L28">
        <v>186</v>
      </c>
      <c r="M28">
        <v>729</v>
      </c>
      <c r="N28">
        <v>150</v>
      </c>
      <c r="O28">
        <v>282</v>
      </c>
      <c r="P28">
        <v>427</v>
      </c>
      <c r="Q28">
        <v>502</v>
      </c>
      <c r="R28">
        <v>298</v>
      </c>
      <c r="S28">
        <v>413</v>
      </c>
      <c r="T28">
        <v>466</v>
      </c>
      <c r="U28">
        <v>284</v>
      </c>
      <c r="V28">
        <v>125</v>
      </c>
      <c r="W28">
        <v>157</v>
      </c>
      <c r="X28">
        <v>585</v>
      </c>
      <c r="Y28">
        <v>395</v>
      </c>
      <c r="Z28">
        <v>567</v>
      </c>
      <c r="AA28">
        <v>535</v>
      </c>
      <c r="AB28">
        <v>0</v>
      </c>
      <c r="AC28">
        <v>282</v>
      </c>
      <c r="AD28">
        <v>581</v>
      </c>
      <c r="AE28">
        <v>378</v>
      </c>
      <c r="AF28">
        <v>413</v>
      </c>
      <c r="AG28">
        <v>206</v>
      </c>
      <c r="AH28">
        <v>718</v>
      </c>
      <c r="AI28">
        <v>481</v>
      </c>
      <c r="AJ28">
        <v>634</v>
      </c>
      <c r="AK28">
        <v>601</v>
      </c>
      <c r="AL28">
        <v>457</v>
      </c>
      <c r="AM28">
        <v>482</v>
      </c>
      <c r="AN28">
        <v>729</v>
      </c>
      <c r="AO28">
        <v>290</v>
      </c>
      <c r="AP28">
        <v>386</v>
      </c>
      <c r="AQ28">
        <v>591</v>
      </c>
      <c r="AR28">
        <v>549</v>
      </c>
      <c r="AS28">
        <v>701</v>
      </c>
      <c r="AT28">
        <v>353</v>
      </c>
      <c r="AU28">
        <v>500</v>
      </c>
      <c r="AV28">
        <v>365</v>
      </c>
      <c r="AW28">
        <v>197</v>
      </c>
      <c r="AX28">
        <v>696</v>
      </c>
      <c r="AY28">
        <v>74</v>
      </c>
    </row>
    <row r="29" spans="1:51" ht="15.6" x14ac:dyDescent="0.3">
      <c r="A29" s="53" t="s">
        <v>31</v>
      </c>
      <c r="B29">
        <v>564</v>
      </c>
      <c r="C29">
        <v>477</v>
      </c>
      <c r="D29">
        <v>505</v>
      </c>
      <c r="E29">
        <v>145</v>
      </c>
      <c r="F29">
        <v>340</v>
      </c>
      <c r="G29">
        <v>415</v>
      </c>
      <c r="H29">
        <v>156</v>
      </c>
      <c r="I29">
        <v>95</v>
      </c>
      <c r="J29">
        <v>515</v>
      </c>
      <c r="K29">
        <v>515</v>
      </c>
      <c r="L29">
        <v>355</v>
      </c>
      <c r="M29">
        <v>515</v>
      </c>
      <c r="N29">
        <v>205</v>
      </c>
      <c r="O29">
        <v>165</v>
      </c>
      <c r="P29">
        <v>110</v>
      </c>
      <c r="Q29">
        <v>230</v>
      </c>
      <c r="R29">
        <v>220</v>
      </c>
      <c r="S29">
        <v>515</v>
      </c>
      <c r="T29">
        <v>185</v>
      </c>
      <c r="U29">
        <v>144</v>
      </c>
      <c r="V29">
        <v>155</v>
      </c>
      <c r="W29">
        <v>180</v>
      </c>
      <c r="X29">
        <v>405</v>
      </c>
      <c r="Y29">
        <v>200</v>
      </c>
      <c r="Z29">
        <v>285</v>
      </c>
      <c r="AA29">
        <v>475</v>
      </c>
      <c r="AB29">
        <v>282</v>
      </c>
      <c r="AC29">
        <v>0</v>
      </c>
      <c r="AD29">
        <v>429</v>
      </c>
      <c r="AE29">
        <v>175</v>
      </c>
      <c r="AF29">
        <v>315</v>
      </c>
      <c r="AG29">
        <v>255</v>
      </c>
      <c r="AH29">
        <v>435</v>
      </c>
      <c r="AI29">
        <v>305</v>
      </c>
      <c r="AJ29">
        <v>350</v>
      </c>
      <c r="AK29">
        <v>415</v>
      </c>
      <c r="AL29">
        <v>265</v>
      </c>
      <c r="AM29">
        <v>535</v>
      </c>
      <c r="AN29">
        <v>589</v>
      </c>
      <c r="AO29">
        <v>455</v>
      </c>
      <c r="AP29">
        <v>553</v>
      </c>
      <c r="AQ29">
        <v>335</v>
      </c>
      <c r="AR29">
        <v>265</v>
      </c>
      <c r="AS29">
        <v>516</v>
      </c>
      <c r="AT29">
        <v>335</v>
      </c>
      <c r="AU29">
        <v>315</v>
      </c>
      <c r="AV29">
        <v>295</v>
      </c>
      <c r="AW29">
        <v>85</v>
      </c>
      <c r="AX29">
        <v>274</v>
      </c>
      <c r="AY29">
        <v>240</v>
      </c>
    </row>
    <row r="30" spans="1:51" ht="15.6" x14ac:dyDescent="0.3">
      <c r="A30" s="53" t="s">
        <v>32</v>
      </c>
      <c r="B30">
        <v>179</v>
      </c>
      <c r="C30">
        <v>203</v>
      </c>
      <c r="D30">
        <v>113</v>
      </c>
      <c r="E30">
        <v>514</v>
      </c>
      <c r="F30">
        <v>290</v>
      </c>
      <c r="G30">
        <v>84</v>
      </c>
      <c r="H30">
        <v>486</v>
      </c>
      <c r="I30">
        <v>335</v>
      </c>
      <c r="J30">
        <v>225</v>
      </c>
      <c r="K30">
        <v>284</v>
      </c>
      <c r="L30">
        <v>509</v>
      </c>
      <c r="M30">
        <v>402</v>
      </c>
      <c r="N30">
        <v>588</v>
      </c>
      <c r="O30">
        <v>346</v>
      </c>
      <c r="P30">
        <v>412</v>
      </c>
      <c r="Q30">
        <v>291</v>
      </c>
      <c r="R30">
        <v>294</v>
      </c>
      <c r="S30">
        <v>475</v>
      </c>
      <c r="T30">
        <v>427</v>
      </c>
      <c r="U30">
        <v>573</v>
      </c>
      <c r="V30">
        <v>533</v>
      </c>
      <c r="W30">
        <v>433</v>
      </c>
      <c r="X30">
        <v>258</v>
      </c>
      <c r="Y30">
        <v>253</v>
      </c>
      <c r="Z30">
        <v>468</v>
      </c>
      <c r="AA30">
        <v>125</v>
      </c>
      <c r="AB30">
        <v>581</v>
      </c>
      <c r="AC30">
        <v>429</v>
      </c>
      <c r="AD30">
        <v>0</v>
      </c>
      <c r="AE30">
        <v>254</v>
      </c>
      <c r="AF30">
        <v>168</v>
      </c>
      <c r="AG30">
        <v>375</v>
      </c>
      <c r="AH30">
        <v>463</v>
      </c>
      <c r="AI30">
        <v>217</v>
      </c>
      <c r="AJ30">
        <v>423</v>
      </c>
      <c r="AK30">
        <v>142</v>
      </c>
      <c r="AL30">
        <v>194</v>
      </c>
      <c r="AM30">
        <v>410</v>
      </c>
      <c r="AN30">
        <v>169</v>
      </c>
      <c r="AO30">
        <v>550</v>
      </c>
      <c r="AP30">
        <v>602</v>
      </c>
      <c r="AQ30">
        <v>346</v>
      </c>
      <c r="AR30">
        <v>409</v>
      </c>
      <c r="AS30">
        <v>242</v>
      </c>
      <c r="AT30">
        <v>244</v>
      </c>
      <c r="AU30">
        <v>114</v>
      </c>
      <c r="AV30">
        <v>216</v>
      </c>
      <c r="AW30">
        <v>461</v>
      </c>
      <c r="AX30">
        <v>53</v>
      </c>
      <c r="AY30">
        <v>507</v>
      </c>
    </row>
    <row r="31" spans="1:51" ht="16.8" x14ac:dyDescent="0.3">
      <c r="A31" s="53" t="s">
        <v>33</v>
      </c>
      <c r="B31">
        <v>409</v>
      </c>
      <c r="C31">
        <v>297</v>
      </c>
      <c r="D31">
        <v>330</v>
      </c>
      <c r="E31">
        <v>215</v>
      </c>
      <c r="F31">
        <v>275</v>
      </c>
      <c r="G31">
        <v>240</v>
      </c>
      <c r="H31">
        <v>232</v>
      </c>
      <c r="I31">
        <v>80</v>
      </c>
      <c r="J31">
        <v>280</v>
      </c>
      <c r="K31">
        <v>410</v>
      </c>
      <c r="L31">
        <v>370</v>
      </c>
      <c r="M31">
        <v>351</v>
      </c>
      <c r="N31">
        <v>335</v>
      </c>
      <c r="O31">
        <v>130</v>
      </c>
      <c r="P31">
        <v>160</v>
      </c>
      <c r="Q31">
        <v>90</v>
      </c>
      <c r="R31">
        <v>155</v>
      </c>
      <c r="S31">
        <v>435</v>
      </c>
      <c r="T31">
        <v>237</v>
      </c>
      <c r="U31">
        <v>319</v>
      </c>
      <c r="V31">
        <v>280</v>
      </c>
      <c r="W31">
        <v>255</v>
      </c>
      <c r="X31">
        <v>205</v>
      </c>
      <c r="Y31">
        <v>45</v>
      </c>
      <c r="Z31">
        <v>270</v>
      </c>
      <c r="AA31">
        <v>310</v>
      </c>
      <c r="AB31">
        <v>378</v>
      </c>
      <c r="AC31">
        <v>175</v>
      </c>
      <c r="AD31">
        <v>254</v>
      </c>
      <c r="AE31">
        <v>0</v>
      </c>
      <c r="AF31">
        <v>140</v>
      </c>
      <c r="AG31">
        <v>240</v>
      </c>
      <c r="AH31">
        <v>340</v>
      </c>
      <c r="AI31">
        <v>105</v>
      </c>
      <c r="AJ31">
        <v>275</v>
      </c>
      <c r="AK31">
        <v>240</v>
      </c>
      <c r="AL31">
        <v>90</v>
      </c>
      <c r="AM31">
        <v>490</v>
      </c>
      <c r="AN31">
        <v>414</v>
      </c>
      <c r="AO31">
        <v>475</v>
      </c>
      <c r="AP31">
        <v>566</v>
      </c>
      <c r="AQ31">
        <v>198</v>
      </c>
      <c r="AR31">
        <v>210</v>
      </c>
      <c r="AS31">
        <v>336</v>
      </c>
      <c r="AT31">
        <v>195</v>
      </c>
      <c r="AU31">
        <v>140</v>
      </c>
      <c r="AV31">
        <v>145</v>
      </c>
      <c r="AW31">
        <v>205</v>
      </c>
      <c r="AX31">
        <v>335</v>
      </c>
      <c r="AY31">
        <v>335</v>
      </c>
    </row>
    <row r="32" spans="1:51" ht="15.6" x14ac:dyDescent="0.3">
      <c r="A32" s="53" t="s">
        <v>34</v>
      </c>
      <c r="B32">
        <v>267</v>
      </c>
      <c r="C32">
        <v>274</v>
      </c>
      <c r="D32">
        <v>275</v>
      </c>
      <c r="E32">
        <v>355</v>
      </c>
      <c r="F32">
        <v>150</v>
      </c>
      <c r="G32">
        <v>85</v>
      </c>
      <c r="H32">
        <v>374</v>
      </c>
      <c r="I32">
        <v>229</v>
      </c>
      <c r="J32">
        <v>280</v>
      </c>
      <c r="K32">
        <v>285</v>
      </c>
      <c r="L32">
        <v>340</v>
      </c>
      <c r="M32">
        <v>424</v>
      </c>
      <c r="N32">
        <v>430</v>
      </c>
      <c r="O32">
        <v>185</v>
      </c>
      <c r="P32">
        <v>300</v>
      </c>
      <c r="Q32">
        <v>235</v>
      </c>
      <c r="R32">
        <v>129</v>
      </c>
      <c r="S32">
        <v>335</v>
      </c>
      <c r="T32">
        <v>380</v>
      </c>
      <c r="U32">
        <v>443</v>
      </c>
      <c r="V32">
        <v>375</v>
      </c>
      <c r="W32">
        <v>265</v>
      </c>
      <c r="X32">
        <v>280</v>
      </c>
      <c r="Y32">
        <v>95</v>
      </c>
      <c r="Z32">
        <v>440</v>
      </c>
      <c r="AA32">
        <v>180</v>
      </c>
      <c r="AB32">
        <v>413</v>
      </c>
      <c r="AC32">
        <v>315</v>
      </c>
      <c r="AD32">
        <v>168</v>
      </c>
      <c r="AE32">
        <v>140</v>
      </c>
      <c r="AF32">
        <v>0</v>
      </c>
      <c r="AG32">
        <v>209</v>
      </c>
      <c r="AH32">
        <v>440</v>
      </c>
      <c r="AI32">
        <v>170</v>
      </c>
      <c r="AJ32">
        <v>375</v>
      </c>
      <c r="AK32">
        <v>215</v>
      </c>
      <c r="AL32">
        <v>90</v>
      </c>
      <c r="AM32">
        <v>355</v>
      </c>
      <c r="AN32">
        <v>337</v>
      </c>
      <c r="AO32">
        <v>410</v>
      </c>
      <c r="AP32">
        <v>464</v>
      </c>
      <c r="AQ32">
        <v>299</v>
      </c>
      <c r="AR32">
        <v>350</v>
      </c>
      <c r="AS32">
        <v>313</v>
      </c>
      <c r="AT32">
        <v>109</v>
      </c>
      <c r="AU32">
        <v>110</v>
      </c>
      <c r="AV32">
        <v>50</v>
      </c>
      <c r="AW32">
        <v>309</v>
      </c>
      <c r="AX32">
        <v>477</v>
      </c>
      <c r="AY32">
        <v>340</v>
      </c>
    </row>
    <row r="33" spans="1:51" ht="15.6" x14ac:dyDescent="0.3">
      <c r="A33" s="53" t="s">
        <v>35</v>
      </c>
      <c r="B33">
        <v>403</v>
      </c>
      <c r="C33">
        <v>466</v>
      </c>
      <c r="D33">
        <v>485</v>
      </c>
      <c r="E33">
        <v>400</v>
      </c>
      <c r="F33">
        <v>130</v>
      </c>
      <c r="G33">
        <v>290</v>
      </c>
      <c r="H33">
        <v>413</v>
      </c>
      <c r="I33">
        <v>280</v>
      </c>
      <c r="J33">
        <v>305</v>
      </c>
      <c r="K33">
        <v>330</v>
      </c>
      <c r="L33">
        <v>135</v>
      </c>
      <c r="M33">
        <v>589</v>
      </c>
      <c r="N33">
        <v>245</v>
      </c>
      <c r="O33">
        <v>110</v>
      </c>
      <c r="P33">
        <v>360</v>
      </c>
      <c r="Q33">
        <v>330</v>
      </c>
      <c r="R33">
        <v>100</v>
      </c>
      <c r="S33">
        <v>240</v>
      </c>
      <c r="T33">
        <v>440</v>
      </c>
      <c r="U33">
        <v>317</v>
      </c>
      <c r="V33">
        <v>175</v>
      </c>
      <c r="W33">
        <v>75</v>
      </c>
      <c r="X33">
        <v>445</v>
      </c>
      <c r="Y33">
        <v>210</v>
      </c>
      <c r="Z33">
        <v>509</v>
      </c>
      <c r="AA33">
        <v>330</v>
      </c>
      <c r="AB33">
        <v>206</v>
      </c>
      <c r="AC33">
        <v>255</v>
      </c>
      <c r="AD33">
        <v>375</v>
      </c>
      <c r="AE33">
        <v>240</v>
      </c>
      <c r="AF33">
        <v>209</v>
      </c>
      <c r="AG33">
        <v>0</v>
      </c>
      <c r="AH33">
        <v>595</v>
      </c>
      <c r="AI33">
        <v>340</v>
      </c>
      <c r="AJ33">
        <v>510</v>
      </c>
      <c r="AK33">
        <v>405</v>
      </c>
      <c r="AL33">
        <v>245</v>
      </c>
      <c r="AM33">
        <v>280</v>
      </c>
      <c r="AN33">
        <v>523</v>
      </c>
      <c r="AO33">
        <v>240</v>
      </c>
      <c r="AP33">
        <v>328</v>
      </c>
      <c r="AQ33">
        <v>436</v>
      </c>
      <c r="AR33">
        <v>450</v>
      </c>
      <c r="AS33">
        <v>505</v>
      </c>
      <c r="AT33">
        <v>145</v>
      </c>
      <c r="AU33">
        <v>305</v>
      </c>
      <c r="AV33">
        <v>160</v>
      </c>
      <c r="AW33">
        <v>170</v>
      </c>
      <c r="AX33">
        <v>517</v>
      </c>
      <c r="AY33">
        <v>130</v>
      </c>
    </row>
    <row r="34" spans="1:51" ht="15.6" x14ac:dyDescent="0.3">
      <c r="A34" s="53" t="s">
        <v>36</v>
      </c>
      <c r="B34">
        <v>642</v>
      </c>
      <c r="C34">
        <v>336</v>
      </c>
      <c r="D34">
        <v>470</v>
      </c>
      <c r="E34">
        <v>340</v>
      </c>
      <c r="F34">
        <v>590</v>
      </c>
      <c r="G34">
        <v>475</v>
      </c>
      <c r="H34">
        <v>374</v>
      </c>
      <c r="I34">
        <v>385</v>
      </c>
      <c r="J34">
        <v>695</v>
      </c>
      <c r="K34">
        <v>750</v>
      </c>
      <c r="L34">
        <v>710</v>
      </c>
      <c r="M34">
        <v>119</v>
      </c>
      <c r="N34">
        <v>610</v>
      </c>
      <c r="O34">
        <v>470</v>
      </c>
      <c r="P34">
        <v>325</v>
      </c>
      <c r="Q34">
        <v>250</v>
      </c>
      <c r="R34">
        <v>509</v>
      </c>
      <c r="S34">
        <v>770</v>
      </c>
      <c r="T34">
        <v>250</v>
      </c>
      <c r="U34">
        <v>580</v>
      </c>
      <c r="V34">
        <v>595</v>
      </c>
      <c r="W34">
        <v>615</v>
      </c>
      <c r="X34">
        <v>215</v>
      </c>
      <c r="Y34">
        <v>385</v>
      </c>
      <c r="Z34">
        <v>229</v>
      </c>
      <c r="AA34">
        <v>595</v>
      </c>
      <c r="AB34">
        <v>718</v>
      </c>
      <c r="AC34">
        <v>435</v>
      </c>
      <c r="AD34">
        <v>463</v>
      </c>
      <c r="AE34">
        <v>340</v>
      </c>
      <c r="AF34">
        <v>440</v>
      </c>
      <c r="AG34">
        <v>595</v>
      </c>
      <c r="AH34">
        <v>0</v>
      </c>
      <c r="AI34">
        <v>270</v>
      </c>
      <c r="AJ34">
        <v>85</v>
      </c>
      <c r="AK34">
        <v>330</v>
      </c>
      <c r="AL34">
        <v>385</v>
      </c>
      <c r="AM34">
        <v>810</v>
      </c>
      <c r="AN34">
        <v>587</v>
      </c>
      <c r="AO34">
        <v>835</v>
      </c>
      <c r="AP34">
        <v>924</v>
      </c>
      <c r="AQ34">
        <v>142</v>
      </c>
      <c r="AR34">
        <v>170</v>
      </c>
      <c r="AS34">
        <v>375</v>
      </c>
      <c r="AT34">
        <v>540</v>
      </c>
      <c r="AU34">
        <v>375</v>
      </c>
      <c r="AV34">
        <v>485</v>
      </c>
      <c r="AW34">
        <v>520</v>
      </c>
      <c r="AX34">
        <v>325</v>
      </c>
      <c r="AY34">
        <v>675</v>
      </c>
    </row>
    <row r="35" spans="1:51" ht="15.6" x14ac:dyDescent="0.3">
      <c r="A35" s="53" t="s">
        <v>37</v>
      </c>
      <c r="B35">
        <v>411</v>
      </c>
      <c r="C35">
        <v>94</v>
      </c>
      <c r="D35">
        <v>295</v>
      </c>
      <c r="E35">
        <v>295</v>
      </c>
      <c r="F35">
        <v>315</v>
      </c>
      <c r="G35">
        <v>205</v>
      </c>
      <c r="H35">
        <v>332</v>
      </c>
      <c r="I35">
        <v>185</v>
      </c>
      <c r="J35">
        <v>420</v>
      </c>
      <c r="K35">
        <v>450</v>
      </c>
      <c r="L35">
        <v>475</v>
      </c>
      <c r="M35">
        <v>248</v>
      </c>
      <c r="N35">
        <v>435</v>
      </c>
      <c r="O35">
        <v>230</v>
      </c>
      <c r="P35">
        <v>260</v>
      </c>
      <c r="Q35">
        <v>75</v>
      </c>
      <c r="R35">
        <v>269</v>
      </c>
      <c r="S35">
        <v>500</v>
      </c>
      <c r="T35">
        <v>210</v>
      </c>
      <c r="U35">
        <v>447</v>
      </c>
      <c r="V35">
        <v>380</v>
      </c>
      <c r="W35">
        <v>355</v>
      </c>
      <c r="X35">
        <v>105</v>
      </c>
      <c r="Y35">
        <v>150</v>
      </c>
      <c r="Z35">
        <v>250</v>
      </c>
      <c r="AA35">
        <v>310</v>
      </c>
      <c r="AB35">
        <v>481</v>
      </c>
      <c r="AC35">
        <v>305</v>
      </c>
      <c r="AD35">
        <v>217</v>
      </c>
      <c r="AE35">
        <v>105</v>
      </c>
      <c r="AF35">
        <v>170</v>
      </c>
      <c r="AG35">
        <v>340</v>
      </c>
      <c r="AH35">
        <v>270</v>
      </c>
      <c r="AI35">
        <v>0</v>
      </c>
      <c r="AJ35">
        <v>205</v>
      </c>
      <c r="AK35">
        <v>185</v>
      </c>
      <c r="AL35">
        <v>115</v>
      </c>
      <c r="AM35">
        <v>530</v>
      </c>
      <c r="AN35">
        <v>377</v>
      </c>
      <c r="AO35">
        <v>580</v>
      </c>
      <c r="AP35">
        <v>658</v>
      </c>
      <c r="AQ35">
        <v>129</v>
      </c>
      <c r="AR35">
        <v>190</v>
      </c>
      <c r="AS35">
        <v>233</v>
      </c>
      <c r="AT35">
        <v>270</v>
      </c>
      <c r="AU35">
        <v>105</v>
      </c>
      <c r="AV35">
        <v>210</v>
      </c>
      <c r="AW35">
        <v>310</v>
      </c>
      <c r="AX35">
        <v>317</v>
      </c>
      <c r="AY35">
        <v>440</v>
      </c>
    </row>
    <row r="36" spans="1:51" ht="15.6" x14ac:dyDescent="0.3">
      <c r="A36" s="53" t="s">
        <v>38</v>
      </c>
      <c r="B36">
        <v>609</v>
      </c>
      <c r="C36">
        <v>296</v>
      </c>
      <c r="D36">
        <v>430</v>
      </c>
      <c r="E36">
        <v>255</v>
      </c>
      <c r="F36">
        <v>525</v>
      </c>
      <c r="G36">
        <v>410</v>
      </c>
      <c r="H36">
        <v>290</v>
      </c>
      <c r="I36">
        <v>315</v>
      </c>
      <c r="J36">
        <v>625</v>
      </c>
      <c r="K36">
        <v>685</v>
      </c>
      <c r="L36">
        <v>645</v>
      </c>
      <c r="M36">
        <v>150</v>
      </c>
      <c r="N36">
        <v>560</v>
      </c>
      <c r="O36">
        <v>400</v>
      </c>
      <c r="P36">
        <v>240</v>
      </c>
      <c r="Q36">
        <v>180</v>
      </c>
      <c r="R36">
        <v>440</v>
      </c>
      <c r="S36">
        <v>705</v>
      </c>
      <c r="T36">
        <v>170</v>
      </c>
      <c r="U36">
        <v>496</v>
      </c>
      <c r="V36">
        <v>510</v>
      </c>
      <c r="W36">
        <v>525</v>
      </c>
      <c r="X36">
        <v>175</v>
      </c>
      <c r="Y36">
        <v>320</v>
      </c>
      <c r="Z36">
        <v>160</v>
      </c>
      <c r="AA36">
        <v>525</v>
      </c>
      <c r="AB36">
        <v>634</v>
      </c>
      <c r="AC36">
        <v>350</v>
      </c>
      <c r="AD36">
        <v>423</v>
      </c>
      <c r="AE36">
        <v>275</v>
      </c>
      <c r="AF36">
        <v>375</v>
      </c>
      <c r="AG36">
        <v>510</v>
      </c>
      <c r="AH36">
        <v>85</v>
      </c>
      <c r="AI36">
        <v>205</v>
      </c>
      <c r="AJ36">
        <v>0</v>
      </c>
      <c r="AK36">
        <v>300</v>
      </c>
      <c r="AL36">
        <v>320</v>
      </c>
      <c r="AM36">
        <v>735</v>
      </c>
      <c r="AN36">
        <v>547</v>
      </c>
      <c r="AO36">
        <v>750</v>
      </c>
      <c r="AP36">
        <v>840</v>
      </c>
      <c r="AQ36">
        <v>76</v>
      </c>
      <c r="AR36">
        <v>85</v>
      </c>
      <c r="AS36">
        <v>335</v>
      </c>
      <c r="AT36">
        <v>475</v>
      </c>
      <c r="AU36">
        <v>310</v>
      </c>
      <c r="AV36">
        <v>415</v>
      </c>
      <c r="AW36">
        <v>435</v>
      </c>
      <c r="AX36">
        <v>242</v>
      </c>
      <c r="AY36">
        <v>640</v>
      </c>
    </row>
    <row r="37" spans="1:51" ht="15.6" x14ac:dyDescent="0.3">
      <c r="A37" s="53" t="s">
        <v>39</v>
      </c>
      <c r="B37">
        <v>321</v>
      </c>
      <c r="C37">
        <v>61</v>
      </c>
      <c r="D37">
        <v>170</v>
      </c>
      <c r="E37">
        <v>480</v>
      </c>
      <c r="F37">
        <v>355</v>
      </c>
      <c r="G37">
        <v>175</v>
      </c>
      <c r="H37">
        <v>473</v>
      </c>
      <c r="I37">
        <v>320</v>
      </c>
      <c r="J37">
        <v>365</v>
      </c>
      <c r="K37">
        <v>425</v>
      </c>
      <c r="L37">
        <v>540</v>
      </c>
      <c r="M37">
        <v>260</v>
      </c>
      <c r="N37">
        <v>575</v>
      </c>
      <c r="O37">
        <v>355</v>
      </c>
      <c r="P37">
        <v>400</v>
      </c>
      <c r="Q37">
        <v>260</v>
      </c>
      <c r="R37">
        <v>309</v>
      </c>
      <c r="S37">
        <v>510</v>
      </c>
      <c r="T37">
        <v>395</v>
      </c>
      <c r="U37">
        <v>560</v>
      </c>
      <c r="V37">
        <v>520</v>
      </c>
      <c r="W37">
        <v>445</v>
      </c>
      <c r="X37">
        <v>115</v>
      </c>
      <c r="Y37">
        <v>235</v>
      </c>
      <c r="Z37">
        <v>409</v>
      </c>
      <c r="AA37">
        <v>265</v>
      </c>
      <c r="AB37">
        <v>601</v>
      </c>
      <c r="AC37">
        <v>415</v>
      </c>
      <c r="AD37">
        <v>142</v>
      </c>
      <c r="AE37">
        <v>240</v>
      </c>
      <c r="AF37">
        <v>215</v>
      </c>
      <c r="AG37">
        <v>405</v>
      </c>
      <c r="AH37">
        <v>330</v>
      </c>
      <c r="AI37">
        <v>185</v>
      </c>
      <c r="AJ37">
        <v>300</v>
      </c>
      <c r="AK37">
        <v>0</v>
      </c>
      <c r="AL37">
        <v>180</v>
      </c>
      <c r="AM37">
        <v>525</v>
      </c>
      <c r="AN37">
        <v>282</v>
      </c>
      <c r="AO37">
        <v>615</v>
      </c>
      <c r="AP37">
        <v>666</v>
      </c>
      <c r="AQ37">
        <v>250</v>
      </c>
      <c r="AR37">
        <v>340</v>
      </c>
      <c r="AS37">
        <v>100</v>
      </c>
      <c r="AT37">
        <v>310</v>
      </c>
      <c r="AU37">
        <v>100</v>
      </c>
      <c r="AV37">
        <v>260</v>
      </c>
      <c r="AW37">
        <v>450</v>
      </c>
      <c r="AX37">
        <v>501</v>
      </c>
      <c r="AY37">
        <v>525</v>
      </c>
    </row>
    <row r="38" spans="1:51" ht="16.2" x14ac:dyDescent="0.3">
      <c r="A38" s="53" t="s">
        <v>40</v>
      </c>
      <c r="B38">
        <v>359</v>
      </c>
      <c r="C38">
        <v>242</v>
      </c>
      <c r="D38">
        <v>270</v>
      </c>
      <c r="E38">
        <v>300</v>
      </c>
      <c r="F38">
        <v>240</v>
      </c>
      <c r="G38">
        <v>175</v>
      </c>
      <c r="H38">
        <v>322</v>
      </c>
      <c r="I38">
        <v>170</v>
      </c>
      <c r="J38">
        <v>365</v>
      </c>
      <c r="K38">
        <v>365</v>
      </c>
      <c r="L38">
        <v>380</v>
      </c>
      <c r="M38">
        <v>362</v>
      </c>
      <c r="N38">
        <v>425</v>
      </c>
      <c r="O38">
        <v>180</v>
      </c>
      <c r="P38">
        <v>245</v>
      </c>
      <c r="Q38">
        <v>165</v>
      </c>
      <c r="R38">
        <v>145</v>
      </c>
      <c r="S38">
        <v>415</v>
      </c>
      <c r="T38">
        <v>320</v>
      </c>
      <c r="U38">
        <v>436</v>
      </c>
      <c r="V38">
        <v>370</v>
      </c>
      <c r="W38">
        <v>305</v>
      </c>
      <c r="X38">
        <v>220</v>
      </c>
      <c r="Y38">
        <v>60</v>
      </c>
      <c r="Z38">
        <v>369</v>
      </c>
      <c r="AA38">
        <v>270</v>
      </c>
      <c r="AB38">
        <v>457</v>
      </c>
      <c r="AC38">
        <v>265</v>
      </c>
      <c r="AD38">
        <v>194</v>
      </c>
      <c r="AE38">
        <v>90</v>
      </c>
      <c r="AF38">
        <v>90</v>
      </c>
      <c r="AG38">
        <v>245</v>
      </c>
      <c r="AH38">
        <v>385</v>
      </c>
      <c r="AI38">
        <v>115</v>
      </c>
      <c r="AJ38">
        <v>320</v>
      </c>
      <c r="AK38">
        <v>180</v>
      </c>
      <c r="AL38">
        <v>0</v>
      </c>
      <c r="AM38">
        <v>435</v>
      </c>
      <c r="AN38">
        <v>354</v>
      </c>
      <c r="AO38">
        <v>490</v>
      </c>
      <c r="AP38">
        <v>544</v>
      </c>
      <c r="AQ38">
        <v>243</v>
      </c>
      <c r="AR38">
        <v>300</v>
      </c>
      <c r="AS38">
        <v>281</v>
      </c>
      <c r="AT38">
        <v>185</v>
      </c>
      <c r="AU38">
        <v>80</v>
      </c>
      <c r="AV38">
        <v>130</v>
      </c>
      <c r="AW38">
        <v>295</v>
      </c>
      <c r="AX38">
        <v>409</v>
      </c>
      <c r="AY38">
        <v>385</v>
      </c>
    </row>
    <row r="39" spans="1:51" ht="15.6" x14ac:dyDescent="0.3">
      <c r="A39" s="53" t="s">
        <v>41</v>
      </c>
      <c r="B39">
        <v>326</v>
      </c>
      <c r="C39">
        <v>587</v>
      </c>
      <c r="D39">
        <v>525</v>
      </c>
      <c r="E39">
        <v>660</v>
      </c>
      <c r="F39">
        <v>200</v>
      </c>
      <c r="G39">
        <v>360</v>
      </c>
      <c r="H39">
        <v>723</v>
      </c>
      <c r="I39">
        <v>570</v>
      </c>
      <c r="J39">
        <v>195</v>
      </c>
      <c r="K39">
        <v>135</v>
      </c>
      <c r="L39">
        <v>295</v>
      </c>
      <c r="M39">
        <v>727</v>
      </c>
      <c r="N39">
        <v>520</v>
      </c>
      <c r="O39">
        <v>380</v>
      </c>
      <c r="P39">
        <v>650</v>
      </c>
      <c r="Q39">
        <v>580</v>
      </c>
      <c r="R39">
        <v>320</v>
      </c>
      <c r="S39">
        <v>70</v>
      </c>
      <c r="T39">
        <v>720</v>
      </c>
      <c r="U39">
        <v>595</v>
      </c>
      <c r="V39">
        <v>455</v>
      </c>
      <c r="W39">
        <v>355</v>
      </c>
      <c r="X39">
        <v>595</v>
      </c>
      <c r="Y39">
        <v>405</v>
      </c>
      <c r="Z39">
        <v>770</v>
      </c>
      <c r="AA39">
        <v>295</v>
      </c>
      <c r="AB39">
        <v>482</v>
      </c>
      <c r="AC39">
        <v>535</v>
      </c>
      <c r="AD39">
        <v>410</v>
      </c>
      <c r="AE39">
        <v>490</v>
      </c>
      <c r="AF39">
        <v>355</v>
      </c>
      <c r="AG39">
        <v>280</v>
      </c>
      <c r="AH39">
        <v>810</v>
      </c>
      <c r="AI39">
        <v>530</v>
      </c>
      <c r="AJ39">
        <v>735</v>
      </c>
      <c r="AK39">
        <v>525</v>
      </c>
      <c r="AL39">
        <v>435</v>
      </c>
      <c r="AM39">
        <v>0</v>
      </c>
      <c r="AN39">
        <v>502</v>
      </c>
      <c r="AO39">
        <v>230</v>
      </c>
      <c r="AP39">
        <v>233</v>
      </c>
      <c r="AQ39">
        <v>687</v>
      </c>
      <c r="AR39">
        <v>700</v>
      </c>
      <c r="AS39">
        <v>626</v>
      </c>
      <c r="AT39">
        <v>245</v>
      </c>
      <c r="AU39">
        <v>425</v>
      </c>
      <c r="AV39">
        <v>305</v>
      </c>
      <c r="AW39">
        <v>450</v>
      </c>
      <c r="AX39">
        <v>809</v>
      </c>
      <c r="AY39">
        <v>410</v>
      </c>
    </row>
    <row r="40" spans="1:51" ht="15.6" x14ac:dyDescent="0.3">
      <c r="A40" s="53" t="s">
        <v>42</v>
      </c>
      <c r="B40">
        <v>186</v>
      </c>
      <c r="C40">
        <v>270</v>
      </c>
      <c r="D40">
        <v>116</v>
      </c>
      <c r="E40">
        <v>674</v>
      </c>
      <c r="F40">
        <v>408</v>
      </c>
      <c r="G40">
        <v>253</v>
      </c>
      <c r="H40">
        <v>646</v>
      </c>
      <c r="I40">
        <v>646</v>
      </c>
      <c r="J40">
        <v>309</v>
      </c>
      <c r="K40">
        <v>368</v>
      </c>
      <c r="L40">
        <v>616</v>
      </c>
      <c r="M40">
        <v>516</v>
      </c>
      <c r="N40">
        <v>748</v>
      </c>
      <c r="O40">
        <v>515</v>
      </c>
      <c r="P40">
        <v>572</v>
      </c>
      <c r="Q40">
        <v>451</v>
      </c>
      <c r="R40">
        <v>463</v>
      </c>
      <c r="S40">
        <v>519</v>
      </c>
      <c r="T40">
        <v>587</v>
      </c>
      <c r="U40">
        <v>736</v>
      </c>
      <c r="V40">
        <v>693</v>
      </c>
      <c r="W40">
        <v>579</v>
      </c>
      <c r="X40">
        <v>372</v>
      </c>
      <c r="Y40">
        <v>409</v>
      </c>
      <c r="Z40">
        <v>657</v>
      </c>
      <c r="AA40">
        <v>209</v>
      </c>
      <c r="AB40">
        <v>729</v>
      </c>
      <c r="AC40">
        <v>589</v>
      </c>
      <c r="AD40">
        <v>169</v>
      </c>
      <c r="AE40">
        <v>414</v>
      </c>
      <c r="AF40">
        <v>337</v>
      </c>
      <c r="AG40">
        <v>523</v>
      </c>
      <c r="AH40">
        <v>587</v>
      </c>
      <c r="AI40">
        <v>377</v>
      </c>
      <c r="AJ40">
        <v>547</v>
      </c>
      <c r="AK40">
        <v>282</v>
      </c>
      <c r="AL40">
        <v>354</v>
      </c>
      <c r="AM40">
        <v>502</v>
      </c>
      <c r="AN40">
        <v>0</v>
      </c>
      <c r="AO40">
        <v>668</v>
      </c>
      <c r="AP40">
        <v>689</v>
      </c>
      <c r="AQ40">
        <v>506</v>
      </c>
      <c r="AR40">
        <v>598</v>
      </c>
      <c r="AS40">
        <v>309</v>
      </c>
      <c r="AT40">
        <v>376</v>
      </c>
      <c r="AU40">
        <v>274</v>
      </c>
      <c r="AV40">
        <v>385</v>
      </c>
      <c r="AW40">
        <v>621</v>
      </c>
      <c r="AX40">
        <v>394</v>
      </c>
      <c r="AY40">
        <v>655</v>
      </c>
    </row>
    <row r="41" spans="1:51" ht="15.6" x14ac:dyDescent="0.3">
      <c r="A41" s="53" t="s">
        <v>43</v>
      </c>
      <c r="B41">
        <v>539</v>
      </c>
      <c r="C41">
        <v>675</v>
      </c>
      <c r="D41">
        <v>660</v>
      </c>
      <c r="E41">
        <v>600</v>
      </c>
      <c r="F41">
        <v>260</v>
      </c>
      <c r="G41">
        <v>465</v>
      </c>
      <c r="H41">
        <v>613</v>
      </c>
      <c r="I41">
        <v>550</v>
      </c>
      <c r="J41">
        <v>405</v>
      </c>
      <c r="K41">
        <v>365</v>
      </c>
      <c r="L41">
        <v>105</v>
      </c>
      <c r="M41">
        <v>825</v>
      </c>
      <c r="N41">
        <v>360</v>
      </c>
      <c r="O41">
        <v>350</v>
      </c>
      <c r="P41">
        <v>570</v>
      </c>
      <c r="Q41">
        <v>569</v>
      </c>
      <c r="R41">
        <v>340</v>
      </c>
      <c r="S41">
        <v>160</v>
      </c>
      <c r="T41">
        <v>690</v>
      </c>
      <c r="U41">
        <v>480</v>
      </c>
      <c r="V41">
        <v>320</v>
      </c>
      <c r="W41">
        <v>325</v>
      </c>
      <c r="X41">
        <v>680</v>
      </c>
      <c r="Y41">
        <v>450</v>
      </c>
      <c r="Z41">
        <v>641</v>
      </c>
      <c r="AA41">
        <v>460</v>
      </c>
      <c r="AB41">
        <v>290</v>
      </c>
      <c r="AC41">
        <v>455</v>
      </c>
      <c r="AD41">
        <v>550</v>
      </c>
      <c r="AE41">
        <v>475</v>
      </c>
      <c r="AF41">
        <v>410</v>
      </c>
      <c r="AG41">
        <v>240</v>
      </c>
      <c r="AH41">
        <v>835</v>
      </c>
      <c r="AI41">
        <v>580</v>
      </c>
      <c r="AJ41">
        <v>750</v>
      </c>
      <c r="AK41">
        <v>615</v>
      </c>
      <c r="AL41">
        <v>490</v>
      </c>
      <c r="AM41">
        <v>230</v>
      </c>
      <c r="AN41">
        <v>668</v>
      </c>
      <c r="AO41">
        <v>0</v>
      </c>
      <c r="AP41">
        <v>109</v>
      </c>
      <c r="AQ41">
        <v>674</v>
      </c>
      <c r="AR41">
        <v>729</v>
      </c>
      <c r="AS41">
        <v>714</v>
      </c>
      <c r="AT41">
        <v>309</v>
      </c>
      <c r="AU41">
        <v>515</v>
      </c>
      <c r="AV41">
        <v>369</v>
      </c>
      <c r="AW41">
        <v>370</v>
      </c>
      <c r="AX41">
        <v>714</v>
      </c>
      <c r="AY41">
        <v>215</v>
      </c>
    </row>
    <row r="42" spans="1:51" ht="15.6" x14ac:dyDescent="0.3">
      <c r="A42" s="53" t="s">
        <v>44</v>
      </c>
      <c r="B42">
        <v>546</v>
      </c>
      <c r="C42">
        <v>675</v>
      </c>
      <c r="D42">
        <v>710</v>
      </c>
      <c r="E42">
        <v>728</v>
      </c>
      <c r="F42">
        <v>312</v>
      </c>
      <c r="G42">
        <v>518</v>
      </c>
      <c r="H42">
        <v>696</v>
      </c>
      <c r="I42">
        <v>631</v>
      </c>
      <c r="J42">
        <v>441</v>
      </c>
      <c r="K42">
        <v>354</v>
      </c>
      <c r="L42">
        <v>200</v>
      </c>
      <c r="M42">
        <v>877</v>
      </c>
      <c r="N42">
        <v>457</v>
      </c>
      <c r="O42">
        <v>438</v>
      </c>
      <c r="P42">
        <v>378</v>
      </c>
      <c r="Q42">
        <v>359</v>
      </c>
      <c r="R42">
        <v>378</v>
      </c>
      <c r="S42">
        <v>151</v>
      </c>
      <c r="T42">
        <v>798</v>
      </c>
      <c r="U42">
        <v>576</v>
      </c>
      <c r="V42">
        <v>417</v>
      </c>
      <c r="W42">
        <v>421</v>
      </c>
      <c r="X42">
        <v>733</v>
      </c>
      <c r="Y42">
        <v>538</v>
      </c>
      <c r="Z42">
        <v>842</v>
      </c>
      <c r="AA42">
        <v>467</v>
      </c>
      <c r="AB42">
        <v>386</v>
      </c>
      <c r="AC42">
        <v>553</v>
      </c>
      <c r="AD42">
        <v>602</v>
      </c>
      <c r="AE42">
        <v>566</v>
      </c>
      <c r="AF42">
        <v>464</v>
      </c>
      <c r="AG42">
        <v>328</v>
      </c>
      <c r="AH42">
        <v>924</v>
      </c>
      <c r="AI42">
        <v>658</v>
      </c>
      <c r="AJ42">
        <v>840</v>
      </c>
      <c r="AK42">
        <v>666</v>
      </c>
      <c r="AL42">
        <v>544</v>
      </c>
      <c r="AM42">
        <v>233</v>
      </c>
      <c r="AN42">
        <v>689</v>
      </c>
      <c r="AO42">
        <v>109</v>
      </c>
      <c r="AP42">
        <v>0</v>
      </c>
      <c r="AQ42">
        <v>764</v>
      </c>
      <c r="AR42">
        <v>763</v>
      </c>
      <c r="AS42">
        <v>766</v>
      </c>
      <c r="AT42">
        <v>358</v>
      </c>
      <c r="AU42">
        <v>565</v>
      </c>
      <c r="AV42">
        <v>416</v>
      </c>
      <c r="AW42">
        <v>468</v>
      </c>
      <c r="AX42">
        <v>827</v>
      </c>
      <c r="AY42">
        <v>312</v>
      </c>
    </row>
    <row r="43" spans="1:51" ht="15.6" x14ac:dyDescent="0.3">
      <c r="A43" s="53" t="s">
        <v>45</v>
      </c>
      <c r="B43">
        <v>540</v>
      </c>
      <c r="C43">
        <v>225</v>
      </c>
      <c r="D43">
        <v>390</v>
      </c>
      <c r="E43">
        <v>233</v>
      </c>
      <c r="F43">
        <v>449</v>
      </c>
      <c r="G43">
        <v>332</v>
      </c>
      <c r="H43">
        <v>268</v>
      </c>
      <c r="I43">
        <v>241</v>
      </c>
      <c r="J43">
        <v>551</v>
      </c>
      <c r="K43">
        <v>610</v>
      </c>
      <c r="L43">
        <v>570</v>
      </c>
      <c r="M43">
        <v>160</v>
      </c>
      <c r="N43">
        <v>541</v>
      </c>
      <c r="O43">
        <v>326</v>
      </c>
      <c r="P43">
        <v>218</v>
      </c>
      <c r="Q43">
        <v>106</v>
      </c>
      <c r="R43">
        <v>365</v>
      </c>
      <c r="S43">
        <v>630</v>
      </c>
      <c r="T43">
        <v>146</v>
      </c>
      <c r="U43">
        <v>435</v>
      </c>
      <c r="V43">
        <v>492</v>
      </c>
      <c r="W43">
        <v>451</v>
      </c>
      <c r="X43">
        <v>134</v>
      </c>
      <c r="Y43">
        <v>243</v>
      </c>
      <c r="Z43">
        <v>151</v>
      </c>
      <c r="AA43">
        <v>451</v>
      </c>
      <c r="AB43">
        <v>591</v>
      </c>
      <c r="AC43">
        <v>335</v>
      </c>
      <c r="AD43">
        <v>346</v>
      </c>
      <c r="AE43">
        <v>198</v>
      </c>
      <c r="AF43">
        <v>299</v>
      </c>
      <c r="AG43">
        <v>436</v>
      </c>
      <c r="AH43">
        <v>142</v>
      </c>
      <c r="AI43">
        <v>129</v>
      </c>
      <c r="AJ43">
        <v>76</v>
      </c>
      <c r="AK43">
        <v>250</v>
      </c>
      <c r="AL43">
        <v>243</v>
      </c>
      <c r="AM43">
        <v>687</v>
      </c>
      <c r="AN43">
        <v>506</v>
      </c>
      <c r="AO43">
        <v>674</v>
      </c>
      <c r="AP43">
        <v>764</v>
      </c>
      <c r="AQ43">
        <v>0</v>
      </c>
      <c r="AR43">
        <v>92</v>
      </c>
      <c r="AS43">
        <v>264</v>
      </c>
      <c r="AT43">
        <v>403</v>
      </c>
      <c r="AU43">
        <v>232</v>
      </c>
      <c r="AV43">
        <v>345</v>
      </c>
      <c r="AW43">
        <v>420</v>
      </c>
      <c r="AX43">
        <v>253</v>
      </c>
      <c r="AY43">
        <v>534</v>
      </c>
    </row>
    <row r="44" spans="1:51" ht="15.6" x14ac:dyDescent="0.3">
      <c r="A44" s="53" t="s">
        <v>46</v>
      </c>
      <c r="B44">
        <v>603</v>
      </c>
      <c r="C44">
        <v>347</v>
      </c>
      <c r="D44">
        <v>480</v>
      </c>
      <c r="E44">
        <v>170</v>
      </c>
      <c r="F44">
        <v>460</v>
      </c>
      <c r="G44">
        <v>395</v>
      </c>
      <c r="H44">
        <v>205</v>
      </c>
      <c r="I44">
        <v>237</v>
      </c>
      <c r="J44">
        <v>615</v>
      </c>
      <c r="K44">
        <v>620</v>
      </c>
      <c r="L44">
        <v>580</v>
      </c>
      <c r="M44">
        <v>235</v>
      </c>
      <c r="N44">
        <v>475</v>
      </c>
      <c r="O44">
        <v>340</v>
      </c>
      <c r="P44">
        <v>155</v>
      </c>
      <c r="Q44">
        <v>120</v>
      </c>
      <c r="R44">
        <v>375</v>
      </c>
      <c r="S44">
        <v>615</v>
      </c>
      <c r="T44">
        <v>85</v>
      </c>
      <c r="U44">
        <v>372</v>
      </c>
      <c r="V44">
        <v>425</v>
      </c>
      <c r="W44">
        <v>445</v>
      </c>
      <c r="X44">
        <v>225</v>
      </c>
      <c r="Y44">
        <v>255</v>
      </c>
      <c r="Z44">
        <v>59</v>
      </c>
      <c r="AA44">
        <v>515</v>
      </c>
      <c r="AB44">
        <v>549</v>
      </c>
      <c r="AC44">
        <v>265</v>
      </c>
      <c r="AD44">
        <v>409</v>
      </c>
      <c r="AE44">
        <v>210</v>
      </c>
      <c r="AF44">
        <v>350</v>
      </c>
      <c r="AG44">
        <v>450</v>
      </c>
      <c r="AH44">
        <v>170</v>
      </c>
      <c r="AI44">
        <v>190</v>
      </c>
      <c r="AJ44">
        <v>85</v>
      </c>
      <c r="AK44">
        <v>340</v>
      </c>
      <c r="AL44">
        <v>300</v>
      </c>
      <c r="AM44">
        <v>700</v>
      </c>
      <c r="AN44">
        <v>598</v>
      </c>
      <c r="AO44">
        <v>729</v>
      </c>
      <c r="AP44">
        <v>763</v>
      </c>
      <c r="AQ44">
        <v>92</v>
      </c>
      <c r="AR44">
        <v>0</v>
      </c>
      <c r="AS44">
        <v>386</v>
      </c>
      <c r="AT44">
        <v>415</v>
      </c>
      <c r="AU44">
        <v>295</v>
      </c>
      <c r="AV44">
        <v>355</v>
      </c>
      <c r="AW44">
        <v>350</v>
      </c>
      <c r="AX44">
        <v>152</v>
      </c>
      <c r="AY44">
        <v>508</v>
      </c>
    </row>
    <row r="45" spans="1:51" ht="15.6" x14ac:dyDescent="0.3">
      <c r="A45" s="53" t="s">
        <v>47</v>
      </c>
      <c r="B45">
        <v>421</v>
      </c>
      <c r="C45">
        <v>39</v>
      </c>
      <c r="D45">
        <v>193</v>
      </c>
      <c r="E45">
        <v>530</v>
      </c>
      <c r="F45">
        <v>454</v>
      </c>
      <c r="G45">
        <v>276</v>
      </c>
      <c r="H45">
        <v>535</v>
      </c>
      <c r="I45">
        <v>422</v>
      </c>
      <c r="J45">
        <v>467</v>
      </c>
      <c r="K45">
        <v>526</v>
      </c>
      <c r="L45">
        <v>639</v>
      </c>
      <c r="M45">
        <v>284</v>
      </c>
      <c r="N45">
        <v>670</v>
      </c>
      <c r="O45">
        <v>455</v>
      </c>
      <c r="P45">
        <v>499</v>
      </c>
      <c r="Q45">
        <v>307</v>
      </c>
      <c r="R45">
        <v>403</v>
      </c>
      <c r="S45">
        <v>639</v>
      </c>
      <c r="T45">
        <v>413</v>
      </c>
      <c r="U45">
        <v>663</v>
      </c>
      <c r="V45">
        <v>620</v>
      </c>
      <c r="W45">
        <v>544</v>
      </c>
      <c r="X45">
        <v>160</v>
      </c>
      <c r="Y45">
        <v>336</v>
      </c>
      <c r="Z45">
        <v>445</v>
      </c>
      <c r="AA45">
        <v>367</v>
      </c>
      <c r="AB45">
        <v>701</v>
      </c>
      <c r="AC45">
        <v>516</v>
      </c>
      <c r="AD45">
        <v>242</v>
      </c>
      <c r="AE45">
        <v>336</v>
      </c>
      <c r="AF45">
        <v>313</v>
      </c>
      <c r="AG45">
        <v>505</v>
      </c>
      <c r="AH45">
        <v>375</v>
      </c>
      <c r="AI45">
        <v>233</v>
      </c>
      <c r="AJ45">
        <v>335</v>
      </c>
      <c r="AK45">
        <v>100</v>
      </c>
      <c r="AL45">
        <v>281</v>
      </c>
      <c r="AM45">
        <v>626</v>
      </c>
      <c r="AN45">
        <v>309</v>
      </c>
      <c r="AO45">
        <v>714</v>
      </c>
      <c r="AP45">
        <v>766</v>
      </c>
      <c r="AQ45">
        <v>264</v>
      </c>
      <c r="AR45">
        <v>386</v>
      </c>
      <c r="AS45">
        <v>0</v>
      </c>
      <c r="AT45">
        <v>408</v>
      </c>
      <c r="AU45">
        <v>201</v>
      </c>
      <c r="AV45">
        <v>361</v>
      </c>
      <c r="AW45">
        <v>543</v>
      </c>
      <c r="AX45">
        <v>523</v>
      </c>
      <c r="AY45">
        <v>627</v>
      </c>
    </row>
    <row r="46" spans="1:51" ht="15.6" x14ac:dyDescent="0.3">
      <c r="A46" s="53" t="s">
        <v>48</v>
      </c>
      <c r="B46">
        <v>256</v>
      </c>
      <c r="C46">
        <v>369</v>
      </c>
      <c r="D46">
        <v>350</v>
      </c>
      <c r="E46">
        <v>420</v>
      </c>
      <c r="F46">
        <v>45</v>
      </c>
      <c r="G46">
        <v>160</v>
      </c>
      <c r="H46">
        <v>437</v>
      </c>
      <c r="I46">
        <v>320</v>
      </c>
      <c r="J46">
        <v>180</v>
      </c>
      <c r="K46">
        <v>180</v>
      </c>
      <c r="L46">
        <v>255</v>
      </c>
      <c r="M46">
        <v>530</v>
      </c>
      <c r="N46">
        <v>370</v>
      </c>
      <c r="O46">
        <v>170</v>
      </c>
      <c r="P46">
        <v>365</v>
      </c>
      <c r="Q46">
        <v>295</v>
      </c>
      <c r="R46">
        <v>115</v>
      </c>
      <c r="S46">
        <v>230</v>
      </c>
      <c r="T46">
        <v>480</v>
      </c>
      <c r="U46">
        <v>436</v>
      </c>
      <c r="V46">
        <v>325</v>
      </c>
      <c r="W46">
        <v>255</v>
      </c>
      <c r="X46">
        <v>375</v>
      </c>
      <c r="Y46">
        <v>160</v>
      </c>
      <c r="Z46">
        <v>415</v>
      </c>
      <c r="AA46">
        <v>165</v>
      </c>
      <c r="AB46">
        <v>353</v>
      </c>
      <c r="AC46">
        <v>335</v>
      </c>
      <c r="AD46">
        <v>244</v>
      </c>
      <c r="AE46">
        <v>195</v>
      </c>
      <c r="AF46">
        <v>109</v>
      </c>
      <c r="AG46">
        <v>145</v>
      </c>
      <c r="AH46">
        <v>540</v>
      </c>
      <c r="AI46">
        <v>270</v>
      </c>
      <c r="AJ46">
        <v>475</v>
      </c>
      <c r="AK46">
        <v>310</v>
      </c>
      <c r="AL46">
        <v>185</v>
      </c>
      <c r="AM46">
        <v>245</v>
      </c>
      <c r="AN46">
        <v>376</v>
      </c>
      <c r="AO46">
        <v>309</v>
      </c>
      <c r="AP46">
        <v>358</v>
      </c>
      <c r="AQ46">
        <v>403</v>
      </c>
      <c r="AR46">
        <v>415</v>
      </c>
      <c r="AS46">
        <v>408</v>
      </c>
      <c r="AT46">
        <v>0</v>
      </c>
      <c r="AU46">
        <v>205</v>
      </c>
      <c r="AV46">
        <v>60</v>
      </c>
      <c r="AW46">
        <v>290</v>
      </c>
      <c r="AX46">
        <v>510</v>
      </c>
      <c r="AY46">
        <v>279</v>
      </c>
    </row>
    <row r="47" spans="1:51" ht="15.6" x14ac:dyDescent="0.3">
      <c r="A47" s="53" t="s">
        <v>49</v>
      </c>
      <c r="B47">
        <v>308</v>
      </c>
      <c r="C47">
        <v>162</v>
      </c>
      <c r="D47">
        <v>190</v>
      </c>
      <c r="E47">
        <v>400</v>
      </c>
      <c r="F47">
        <v>255</v>
      </c>
      <c r="G47">
        <v>100</v>
      </c>
      <c r="H47">
        <v>372</v>
      </c>
      <c r="I47">
        <v>220</v>
      </c>
      <c r="J47">
        <v>320</v>
      </c>
      <c r="K47">
        <v>341</v>
      </c>
      <c r="L47">
        <v>440</v>
      </c>
      <c r="M47">
        <v>312</v>
      </c>
      <c r="N47">
        <v>475</v>
      </c>
      <c r="O47">
        <v>255</v>
      </c>
      <c r="P47">
        <v>300</v>
      </c>
      <c r="Q47">
        <v>175</v>
      </c>
      <c r="R47">
        <v>200</v>
      </c>
      <c r="S47">
        <v>395</v>
      </c>
      <c r="T47">
        <v>315</v>
      </c>
      <c r="U47">
        <v>487</v>
      </c>
      <c r="V47">
        <v>420</v>
      </c>
      <c r="W47">
        <v>345</v>
      </c>
      <c r="X47">
        <v>170</v>
      </c>
      <c r="Y47">
        <v>135</v>
      </c>
      <c r="Z47">
        <v>355</v>
      </c>
      <c r="AA47">
        <v>220</v>
      </c>
      <c r="AB47">
        <v>500</v>
      </c>
      <c r="AC47">
        <v>315</v>
      </c>
      <c r="AD47">
        <v>114</v>
      </c>
      <c r="AE47">
        <v>140</v>
      </c>
      <c r="AF47">
        <v>110</v>
      </c>
      <c r="AG47">
        <v>305</v>
      </c>
      <c r="AH47">
        <v>375</v>
      </c>
      <c r="AI47">
        <v>105</v>
      </c>
      <c r="AJ47">
        <v>310</v>
      </c>
      <c r="AK47">
        <v>100</v>
      </c>
      <c r="AL47">
        <v>80</v>
      </c>
      <c r="AM47">
        <v>425</v>
      </c>
      <c r="AN47">
        <v>274</v>
      </c>
      <c r="AO47">
        <v>515</v>
      </c>
      <c r="AP47">
        <v>565</v>
      </c>
      <c r="AQ47">
        <v>232</v>
      </c>
      <c r="AR47">
        <v>295</v>
      </c>
      <c r="AS47">
        <v>201</v>
      </c>
      <c r="AT47">
        <v>205</v>
      </c>
      <c r="AU47">
        <v>0</v>
      </c>
      <c r="AV47">
        <v>160</v>
      </c>
      <c r="AW47">
        <v>345</v>
      </c>
      <c r="AX47">
        <v>420</v>
      </c>
      <c r="AY47">
        <v>425</v>
      </c>
    </row>
    <row r="48" spans="1:51" ht="15.6" x14ac:dyDescent="0.3">
      <c r="A48" s="53" t="s">
        <v>50</v>
      </c>
      <c r="B48">
        <v>314</v>
      </c>
      <c r="C48">
        <v>322</v>
      </c>
      <c r="D48">
        <v>315</v>
      </c>
      <c r="E48">
        <v>360</v>
      </c>
      <c r="F48">
        <v>105</v>
      </c>
      <c r="G48">
        <v>130</v>
      </c>
      <c r="H48">
        <v>379</v>
      </c>
      <c r="I48">
        <v>380</v>
      </c>
      <c r="J48">
        <v>235</v>
      </c>
      <c r="K48">
        <v>235</v>
      </c>
      <c r="L48">
        <v>295</v>
      </c>
      <c r="M48">
        <v>472</v>
      </c>
      <c r="N48">
        <v>380</v>
      </c>
      <c r="O48">
        <v>130</v>
      </c>
      <c r="P48">
        <v>305</v>
      </c>
      <c r="Q48">
        <v>240</v>
      </c>
      <c r="R48">
        <v>75</v>
      </c>
      <c r="S48">
        <v>290</v>
      </c>
      <c r="T48">
        <v>420</v>
      </c>
      <c r="U48">
        <v>394</v>
      </c>
      <c r="V48">
        <v>315</v>
      </c>
      <c r="W48">
        <v>215</v>
      </c>
      <c r="X48">
        <v>330</v>
      </c>
      <c r="Y48">
        <v>100</v>
      </c>
      <c r="Z48">
        <v>355</v>
      </c>
      <c r="AA48">
        <v>215</v>
      </c>
      <c r="AB48">
        <v>365</v>
      </c>
      <c r="AC48">
        <v>295</v>
      </c>
      <c r="AD48">
        <v>216</v>
      </c>
      <c r="AE48">
        <v>145</v>
      </c>
      <c r="AF48">
        <v>50</v>
      </c>
      <c r="AG48">
        <v>160</v>
      </c>
      <c r="AH48">
        <v>485</v>
      </c>
      <c r="AI48">
        <v>210</v>
      </c>
      <c r="AJ48">
        <v>415</v>
      </c>
      <c r="AK48">
        <v>260</v>
      </c>
      <c r="AL48">
        <v>130</v>
      </c>
      <c r="AM48">
        <v>305</v>
      </c>
      <c r="AN48">
        <v>385</v>
      </c>
      <c r="AO48">
        <v>369</v>
      </c>
      <c r="AP48">
        <v>416</v>
      </c>
      <c r="AQ48">
        <v>345</v>
      </c>
      <c r="AR48">
        <v>355</v>
      </c>
      <c r="AS48">
        <v>361</v>
      </c>
      <c r="AT48">
        <v>60</v>
      </c>
      <c r="AU48">
        <v>160</v>
      </c>
      <c r="AV48">
        <v>0</v>
      </c>
      <c r="AW48">
        <v>290</v>
      </c>
      <c r="AX48">
        <v>453</v>
      </c>
      <c r="AY48">
        <v>290</v>
      </c>
    </row>
    <row r="49" spans="1:51" ht="15.6" x14ac:dyDescent="0.3">
      <c r="A49" s="53" t="s">
        <v>51</v>
      </c>
      <c r="B49">
        <v>564</v>
      </c>
      <c r="C49">
        <v>504</v>
      </c>
      <c r="D49">
        <v>535</v>
      </c>
      <c r="E49">
        <v>230</v>
      </c>
      <c r="F49">
        <v>275</v>
      </c>
      <c r="G49">
        <v>445</v>
      </c>
      <c r="H49">
        <v>241</v>
      </c>
      <c r="I49">
        <v>180</v>
      </c>
      <c r="J49">
        <v>470</v>
      </c>
      <c r="K49">
        <v>485</v>
      </c>
      <c r="L49">
        <v>270</v>
      </c>
      <c r="M49">
        <v>558</v>
      </c>
      <c r="N49">
        <v>125</v>
      </c>
      <c r="O49">
        <v>120</v>
      </c>
      <c r="P49">
        <v>195</v>
      </c>
      <c r="Q49">
        <v>300</v>
      </c>
      <c r="R49">
        <v>175</v>
      </c>
      <c r="S49">
        <v>415</v>
      </c>
      <c r="T49">
        <v>270</v>
      </c>
      <c r="U49">
        <v>140</v>
      </c>
      <c r="V49">
        <v>70</v>
      </c>
      <c r="W49">
        <v>95</v>
      </c>
      <c r="X49">
        <v>415</v>
      </c>
      <c r="Y49">
        <v>225</v>
      </c>
      <c r="Z49">
        <v>370</v>
      </c>
      <c r="AA49">
        <v>475</v>
      </c>
      <c r="AB49">
        <v>197</v>
      </c>
      <c r="AC49">
        <v>85</v>
      </c>
      <c r="AD49">
        <v>461</v>
      </c>
      <c r="AE49">
        <v>205</v>
      </c>
      <c r="AF49">
        <v>309</v>
      </c>
      <c r="AG49">
        <v>170</v>
      </c>
      <c r="AH49">
        <v>520</v>
      </c>
      <c r="AI49">
        <v>310</v>
      </c>
      <c r="AJ49">
        <v>435</v>
      </c>
      <c r="AK49">
        <v>450</v>
      </c>
      <c r="AL49">
        <v>295</v>
      </c>
      <c r="AM49">
        <v>450</v>
      </c>
      <c r="AN49">
        <v>621</v>
      </c>
      <c r="AO49">
        <v>370</v>
      </c>
      <c r="AP49">
        <v>468</v>
      </c>
      <c r="AQ49">
        <v>420</v>
      </c>
      <c r="AR49">
        <v>350</v>
      </c>
      <c r="AS49">
        <v>543</v>
      </c>
      <c r="AT49">
        <v>290</v>
      </c>
      <c r="AU49">
        <v>345</v>
      </c>
      <c r="AV49">
        <v>290</v>
      </c>
      <c r="AW49">
        <v>0</v>
      </c>
      <c r="AX49">
        <v>342</v>
      </c>
      <c r="AY49">
        <v>155</v>
      </c>
    </row>
    <row r="50" spans="1:51" ht="15.6" x14ac:dyDescent="0.3">
      <c r="A50" s="53" t="s">
        <v>52</v>
      </c>
      <c r="B50">
        <v>728</v>
      </c>
      <c r="C50">
        <v>481</v>
      </c>
      <c r="D50">
        <v>636</v>
      </c>
      <c r="E50">
        <v>129</v>
      </c>
      <c r="F50">
        <v>584</v>
      </c>
      <c r="G50">
        <v>520</v>
      </c>
      <c r="H50">
        <v>164</v>
      </c>
      <c r="I50">
        <v>239</v>
      </c>
      <c r="J50">
        <v>739</v>
      </c>
      <c r="K50">
        <v>691</v>
      </c>
      <c r="L50">
        <v>625</v>
      </c>
      <c r="M50">
        <v>443</v>
      </c>
      <c r="N50">
        <v>453</v>
      </c>
      <c r="O50">
        <v>407</v>
      </c>
      <c r="P50">
        <v>162</v>
      </c>
      <c r="Q50">
        <v>243</v>
      </c>
      <c r="R50">
        <v>446</v>
      </c>
      <c r="S50">
        <v>761</v>
      </c>
      <c r="T50">
        <v>107</v>
      </c>
      <c r="U50">
        <v>379</v>
      </c>
      <c r="V50">
        <v>571</v>
      </c>
      <c r="W50">
        <v>454</v>
      </c>
      <c r="X50">
        <v>360</v>
      </c>
      <c r="Y50">
        <v>365</v>
      </c>
      <c r="Z50">
        <v>98</v>
      </c>
      <c r="AA50">
        <v>639</v>
      </c>
      <c r="AB50">
        <v>696</v>
      </c>
      <c r="AC50">
        <v>274</v>
      </c>
      <c r="AD50">
        <v>53</v>
      </c>
      <c r="AE50">
        <v>335</v>
      </c>
      <c r="AF50">
        <v>477</v>
      </c>
      <c r="AG50">
        <v>517</v>
      </c>
      <c r="AH50">
        <v>325</v>
      </c>
      <c r="AI50">
        <v>317</v>
      </c>
      <c r="AJ50">
        <v>242</v>
      </c>
      <c r="AK50">
        <v>501</v>
      </c>
      <c r="AL50">
        <v>409</v>
      </c>
      <c r="AM50">
        <v>809</v>
      </c>
      <c r="AN50">
        <v>394</v>
      </c>
      <c r="AO50">
        <v>714</v>
      </c>
      <c r="AP50">
        <v>827</v>
      </c>
      <c r="AQ50">
        <v>253</v>
      </c>
      <c r="AR50">
        <v>152</v>
      </c>
      <c r="AS50">
        <v>523</v>
      </c>
      <c r="AT50">
        <v>510</v>
      </c>
      <c r="AU50">
        <v>420</v>
      </c>
      <c r="AV50">
        <v>453</v>
      </c>
      <c r="AW50">
        <v>342</v>
      </c>
      <c r="AX50">
        <v>0</v>
      </c>
      <c r="AY50">
        <v>498</v>
      </c>
    </row>
    <row r="51" spans="1:51" ht="16.2" x14ac:dyDescent="0.3">
      <c r="A51" s="53" t="s">
        <v>53</v>
      </c>
      <c r="B51">
        <v>550</v>
      </c>
      <c r="C51">
        <v>588</v>
      </c>
      <c r="D51">
        <v>615</v>
      </c>
      <c r="E51">
        <v>385</v>
      </c>
      <c r="F51">
        <v>260</v>
      </c>
      <c r="G51">
        <v>425</v>
      </c>
      <c r="H51">
        <v>397</v>
      </c>
      <c r="I51">
        <v>335</v>
      </c>
      <c r="J51">
        <v>435</v>
      </c>
      <c r="K51">
        <v>425</v>
      </c>
      <c r="L51">
        <v>110</v>
      </c>
      <c r="M51">
        <v>687</v>
      </c>
      <c r="N51">
        <v>145</v>
      </c>
      <c r="O51">
        <v>210</v>
      </c>
      <c r="P51">
        <v>355</v>
      </c>
      <c r="Q51">
        <v>430</v>
      </c>
      <c r="R51">
        <v>229</v>
      </c>
      <c r="S51">
        <v>340</v>
      </c>
      <c r="T51">
        <v>475</v>
      </c>
      <c r="U51">
        <v>264</v>
      </c>
      <c r="V51">
        <v>105</v>
      </c>
      <c r="W51">
        <v>85</v>
      </c>
      <c r="X51">
        <v>545</v>
      </c>
      <c r="Y51">
        <v>325</v>
      </c>
      <c r="Z51">
        <v>529</v>
      </c>
      <c r="AA51">
        <v>460</v>
      </c>
      <c r="AB51">
        <v>74</v>
      </c>
      <c r="AC51">
        <v>240</v>
      </c>
      <c r="AD51">
        <v>507</v>
      </c>
      <c r="AE51">
        <v>335</v>
      </c>
      <c r="AF51">
        <v>340</v>
      </c>
      <c r="AG51">
        <v>130</v>
      </c>
      <c r="AH51">
        <v>675</v>
      </c>
      <c r="AI51">
        <v>440</v>
      </c>
      <c r="AJ51">
        <v>640</v>
      </c>
      <c r="AK51">
        <v>525</v>
      </c>
      <c r="AL51">
        <v>385</v>
      </c>
      <c r="AM51">
        <v>410</v>
      </c>
      <c r="AN51">
        <v>655</v>
      </c>
      <c r="AO51">
        <v>215</v>
      </c>
      <c r="AP51">
        <v>312</v>
      </c>
      <c r="AQ51">
        <v>534</v>
      </c>
      <c r="AR51">
        <v>508</v>
      </c>
      <c r="AS51">
        <v>627</v>
      </c>
      <c r="AT51">
        <v>279</v>
      </c>
      <c r="AU51">
        <v>425</v>
      </c>
      <c r="AV51">
        <v>290</v>
      </c>
      <c r="AW51">
        <v>155</v>
      </c>
      <c r="AX51">
        <v>498</v>
      </c>
      <c r="AY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MDS</vt:lpstr>
      <vt:lpstr>MDS example</vt:lpstr>
      <vt:lpstr>PCA</vt:lpstr>
      <vt:lpstr>road data</vt:lpstr>
      <vt:lpstr>full road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Kasia</dc:creator>
  <cp:lastModifiedBy>Kasia</cp:lastModifiedBy>
  <dcterms:created xsi:type="dcterms:W3CDTF">2014-05-25T12:26:05Z</dcterms:created>
  <dcterms:modified xsi:type="dcterms:W3CDTF">2017-10-29T17:14:49Z</dcterms:modified>
</cp:coreProperties>
</file>