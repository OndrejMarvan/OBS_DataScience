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0100" windowHeight="9024" activeTab="1"/>
  </bookViews>
  <sheets>
    <sheet name="possible combinations" sheetId="1" r:id="rId1"/>
    <sheet name="solutions" sheetId="2" r:id="rId2"/>
  </sheets>
  <definedNames>
    <definedName name="_xlnm._FilterDatabase" localSheetId="0" hidden="1">'possible combinations'!$C$52:$C$64</definedName>
    <definedName name="_xlnm.Extract" localSheetId="0">'possible combinations'!$C$48</definedName>
  </definedNames>
  <calcPr calcId="145621"/>
</workbook>
</file>

<file path=xl/calcChain.xml><?xml version="1.0" encoding="utf-8"?>
<calcChain xmlns="http://schemas.openxmlformats.org/spreadsheetml/2006/main">
  <c r="I48" i="2" l="1"/>
  <c r="J55" i="2" l="1"/>
  <c r="I52" i="2"/>
  <c r="K48" i="2"/>
  <c r="O16" i="2" l="1"/>
  <c r="H59" i="2"/>
  <c r="H58" i="2"/>
  <c r="H57" i="2"/>
  <c r="H54" i="2"/>
  <c r="H55" i="2"/>
  <c r="I55" i="2" s="1"/>
  <c r="H53" i="2"/>
  <c r="H50" i="2"/>
  <c r="I50" i="2" s="1"/>
  <c r="H51" i="2"/>
  <c r="I51" i="2" s="1"/>
  <c r="H49" i="2"/>
  <c r="H48" i="2"/>
  <c r="H52" i="2"/>
  <c r="H56" i="2"/>
  <c r="G59" i="2"/>
  <c r="J59" i="2" s="1"/>
  <c r="G56" i="2"/>
  <c r="J56" i="2" s="1"/>
  <c r="G52" i="2"/>
  <c r="J52" i="2" s="1"/>
  <c r="F55" i="2"/>
  <c r="F51" i="2"/>
  <c r="F50" i="2"/>
  <c r="N12" i="2" l="1"/>
  <c r="O12" i="2" s="1"/>
  <c r="N11" i="2"/>
  <c r="O11" i="2" s="1"/>
  <c r="N10" i="2"/>
  <c r="O10" i="2" s="1"/>
  <c r="N7" i="2"/>
  <c r="O7" i="2" s="1"/>
  <c r="N6" i="2"/>
  <c r="O6" i="2" s="1"/>
  <c r="N5" i="2"/>
  <c r="O5" i="2" s="1"/>
  <c r="K21" i="2"/>
  <c r="J21" i="2"/>
  <c r="I21" i="2"/>
  <c r="H21" i="2"/>
  <c r="G21" i="2"/>
  <c r="F21" i="2"/>
  <c r="E21" i="2"/>
  <c r="D21" i="2"/>
  <c r="C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L2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8" i="1"/>
  <c r="E23" i="1"/>
  <c r="F23" i="1"/>
  <c r="G23" i="1"/>
  <c r="H23" i="1"/>
  <c r="I23" i="1"/>
  <c r="J23" i="1"/>
  <c r="K23" i="1"/>
  <c r="D23" i="1"/>
  <c r="D41" i="1"/>
  <c r="D40" i="1"/>
  <c r="D39" i="1"/>
  <c r="D38" i="1"/>
  <c r="D37" i="1"/>
  <c r="D36" i="1"/>
  <c r="D48" i="1"/>
  <c r="D50" i="1"/>
  <c r="D51" i="1"/>
  <c r="D52" i="1"/>
  <c r="D53" i="1"/>
  <c r="D54" i="1"/>
  <c r="D55" i="1"/>
  <c r="D49" i="1"/>
  <c r="D34" i="1" s="1"/>
  <c r="J65" i="1"/>
  <c r="I65" i="1"/>
  <c r="I64" i="1"/>
  <c r="H65" i="1"/>
  <c r="H64" i="1"/>
  <c r="H63" i="1"/>
  <c r="G65" i="1"/>
  <c r="G64" i="1"/>
  <c r="G63" i="1"/>
  <c r="G62" i="1"/>
  <c r="F65" i="1"/>
  <c r="F64" i="1"/>
  <c r="F63" i="1"/>
  <c r="F62" i="1"/>
  <c r="F61" i="1"/>
  <c r="E65" i="1"/>
  <c r="E64" i="1"/>
  <c r="E63" i="1"/>
  <c r="E62" i="1"/>
  <c r="E61" i="1"/>
  <c r="E60" i="1"/>
  <c r="D60" i="1"/>
  <c r="D61" i="1"/>
  <c r="D62" i="1"/>
  <c r="D63" i="1"/>
  <c r="D64" i="1"/>
  <c r="D65" i="1"/>
  <c r="D59" i="1"/>
  <c r="D35" i="1" s="1"/>
  <c r="G49" i="2" l="1"/>
  <c r="J49" i="2" s="1"/>
  <c r="F59" i="2"/>
  <c r="I59" i="2" s="1"/>
  <c r="K59" i="2" s="1"/>
  <c r="F57" i="2"/>
  <c r="I57" i="2" s="1"/>
  <c r="G54" i="2"/>
  <c r="J54" i="2" s="1"/>
  <c r="G50" i="2"/>
  <c r="J50" i="2" s="1"/>
  <c r="K50" i="2" s="1"/>
  <c r="F58" i="2"/>
  <c r="I58" i="2" s="1"/>
  <c r="K58" i="2" s="1"/>
  <c r="G55" i="2"/>
  <c r="K55" i="2" s="1"/>
  <c r="G53" i="2"/>
  <c r="J53" i="2" s="1"/>
  <c r="G58" i="2"/>
  <c r="J58" i="2" s="1"/>
  <c r="F52" i="2"/>
  <c r="K52" i="2" s="1"/>
  <c r="F48" i="2"/>
  <c r="F49" i="2"/>
  <c r="I49" i="2" s="1"/>
  <c r="K49" i="2" s="1"/>
  <c r="G57" i="2"/>
  <c r="J57" i="2" s="1"/>
  <c r="G51" i="2"/>
  <c r="J51" i="2" s="1"/>
  <c r="K51" i="2" s="1"/>
  <c r="F53" i="2"/>
  <c r="I53" i="2" s="1"/>
  <c r="K53" i="2" s="1"/>
  <c r="G48" i="2"/>
  <c r="J48" i="2" s="1"/>
  <c r="F56" i="2"/>
  <c r="I56" i="2" s="1"/>
  <c r="K56" i="2" s="1"/>
  <c r="F54" i="2"/>
  <c r="I54" i="2" s="1"/>
  <c r="K54" i="2" s="1"/>
  <c r="O8" i="2"/>
  <c r="O13" i="2"/>
  <c r="O17" i="2" s="1"/>
  <c r="O14" i="2"/>
  <c r="D42" i="1"/>
  <c r="K57" i="2" l="1"/>
</calcChain>
</file>

<file path=xl/sharedStrings.xml><?xml version="1.0" encoding="utf-8"?>
<sst xmlns="http://schemas.openxmlformats.org/spreadsheetml/2006/main" count="2435" uniqueCount="329">
  <si>
    <t>transaction</t>
  </si>
  <si>
    <t>orange</t>
  </si>
  <si>
    <t>banana</t>
  </si>
  <si>
    <t>apple</t>
  </si>
  <si>
    <t>bread</t>
  </si>
  <si>
    <t xml:space="preserve">butter </t>
  </si>
  <si>
    <t>ham</t>
  </si>
  <si>
    <t>cheese</t>
  </si>
  <si>
    <t>coke</t>
  </si>
  <si>
    <t>orange banana</t>
  </si>
  <si>
    <t>apple banana</t>
  </si>
  <si>
    <t>bread banana</t>
  </si>
  <si>
    <t>butter  banana</t>
  </si>
  <si>
    <t>ham banana</t>
  </si>
  <si>
    <t>cheese banana</t>
  </si>
  <si>
    <t>coke banana</t>
  </si>
  <si>
    <t>apple orange</t>
  </si>
  <si>
    <t>bread orange</t>
  </si>
  <si>
    <t>butter  orange</t>
  </si>
  <si>
    <t>ham orange</t>
  </si>
  <si>
    <t>cheese orange</t>
  </si>
  <si>
    <t>coke orange</t>
  </si>
  <si>
    <t>bread apple</t>
  </si>
  <si>
    <t>butter  apple</t>
  </si>
  <si>
    <t>ham apple</t>
  </si>
  <si>
    <t>cheese apple</t>
  </si>
  <si>
    <t>coke apple</t>
  </si>
  <si>
    <t>butter  bread</t>
  </si>
  <si>
    <t>ham bread</t>
  </si>
  <si>
    <t>cheese bread</t>
  </si>
  <si>
    <t>coke bread</t>
  </si>
  <si>
    <t xml:space="preserve">ham butter </t>
  </si>
  <si>
    <t xml:space="preserve">cheese butter </t>
  </si>
  <si>
    <t xml:space="preserve">coke butter </t>
  </si>
  <si>
    <t>cheese ham</t>
  </si>
  <si>
    <t>coke ham</t>
  </si>
  <si>
    <t>coke cheese</t>
  </si>
  <si>
    <t>X</t>
  </si>
  <si>
    <t>apple orange banana</t>
  </si>
  <si>
    <t>bread orange banana</t>
  </si>
  <si>
    <t>butter  orange banana</t>
  </si>
  <si>
    <t>ham orange banana</t>
  </si>
  <si>
    <t>cheese orange banana</t>
  </si>
  <si>
    <t>coke orange banana</t>
  </si>
  <si>
    <t>bread apple banana</t>
  </si>
  <si>
    <t>bread apple orange</t>
  </si>
  <si>
    <t>butter  apple banana</t>
  </si>
  <si>
    <t>butter  apple orange</t>
  </si>
  <si>
    <t>ham apple banana</t>
  </si>
  <si>
    <t>ham apple orange</t>
  </si>
  <si>
    <t>cheese apple banana</t>
  </si>
  <si>
    <t>cheese apple orange</t>
  </si>
  <si>
    <t>coke apple banana</t>
  </si>
  <si>
    <t>coke apple orange</t>
  </si>
  <si>
    <t>butter  bread banana</t>
  </si>
  <si>
    <t>butter  bread orange</t>
  </si>
  <si>
    <t>butter  bread apple</t>
  </si>
  <si>
    <t>ham bread banana</t>
  </si>
  <si>
    <t>ham bread orange</t>
  </si>
  <si>
    <t>ham bread apple</t>
  </si>
  <si>
    <t>cheese bread banana</t>
  </si>
  <si>
    <t>cheese bread orange</t>
  </si>
  <si>
    <t>cheese bread apple</t>
  </si>
  <si>
    <t>coke bread banana</t>
  </si>
  <si>
    <t>coke bread orange</t>
  </si>
  <si>
    <t>coke bread apple</t>
  </si>
  <si>
    <t>ham butter  banana</t>
  </si>
  <si>
    <t>ham butter  orange</t>
  </si>
  <si>
    <t>ham butter  apple</t>
  </si>
  <si>
    <t>ham butter  bread</t>
  </si>
  <si>
    <t>cheese butter  banana</t>
  </si>
  <si>
    <t>cheese butter  orange</t>
  </si>
  <si>
    <t>cheese butter  apple</t>
  </si>
  <si>
    <t>cheese butter  bread</t>
  </si>
  <si>
    <t>coke butter  banana</t>
  </si>
  <si>
    <t>coke butter  orange</t>
  </si>
  <si>
    <t>coke butter  apple</t>
  </si>
  <si>
    <t>coke butter  bread</t>
  </si>
  <si>
    <t>cheese ham banana</t>
  </si>
  <si>
    <t>cheese ham orange</t>
  </si>
  <si>
    <t>cheese ham apple</t>
  </si>
  <si>
    <t>cheese ham bread</t>
  </si>
  <si>
    <t xml:space="preserve">cheese ham butter </t>
  </si>
  <si>
    <t>coke ham banana</t>
  </si>
  <si>
    <t>coke ham orange</t>
  </si>
  <si>
    <t>coke ham apple</t>
  </si>
  <si>
    <t>coke ham bread</t>
  </si>
  <si>
    <t xml:space="preserve">coke ham butter </t>
  </si>
  <si>
    <t>coke cheese banana</t>
  </si>
  <si>
    <t>coke cheese orange</t>
  </si>
  <si>
    <t>coke cheese apple</t>
  </si>
  <si>
    <t>coke cheese bread</t>
  </si>
  <si>
    <t xml:space="preserve">coke cheese butter </t>
  </si>
  <si>
    <t>coke cheese ham</t>
  </si>
  <si>
    <t>bread apple orange banana</t>
  </si>
  <si>
    <t>butter  apple orange banana</t>
  </si>
  <si>
    <t>ham apple orange banana</t>
  </si>
  <si>
    <t>cheese apple orange banana</t>
  </si>
  <si>
    <t>coke apple orange banana</t>
  </si>
  <si>
    <t>butter  bread orange banana</t>
  </si>
  <si>
    <t>ham bread orange banana</t>
  </si>
  <si>
    <t>cheese bread orange banana</t>
  </si>
  <si>
    <t>coke bread orange banana</t>
  </si>
  <si>
    <t>ham butter  orange banana</t>
  </si>
  <si>
    <t>cheese butter  orange banana</t>
  </si>
  <si>
    <t>coke butter  orange banana</t>
  </si>
  <si>
    <t>cheese ham orange banana</t>
  </si>
  <si>
    <t>coke ham orange banana</t>
  </si>
  <si>
    <t>coke cheese orange banana</t>
  </si>
  <si>
    <t>butter  bread apple banana</t>
  </si>
  <si>
    <t>butter  bread apple orange</t>
  </si>
  <si>
    <t>ham bread apple banana</t>
  </si>
  <si>
    <t>ham bread apple orange</t>
  </si>
  <si>
    <t>cheese bread apple banana</t>
  </si>
  <si>
    <t>cheese bread apple orange</t>
  </si>
  <si>
    <t>coke bread apple banana</t>
  </si>
  <si>
    <t>coke bread apple orange</t>
  </si>
  <si>
    <t>ham butter  apple banana</t>
  </si>
  <si>
    <t>ham butter  apple orange</t>
  </si>
  <si>
    <t>cheese butter  apple banana</t>
  </si>
  <si>
    <t>cheese butter  apple orange</t>
  </si>
  <si>
    <t>coke butter  apple banana</t>
  </si>
  <si>
    <t>coke butter  apple orange</t>
  </si>
  <si>
    <t>cheese ham apple banana</t>
  </si>
  <si>
    <t>cheese ham apple orange</t>
  </si>
  <si>
    <t>coke ham apple banana</t>
  </si>
  <si>
    <t>coke ham apple orange</t>
  </si>
  <si>
    <t>coke cheese apple banana</t>
  </si>
  <si>
    <t>coke cheese apple orange</t>
  </si>
  <si>
    <t>ham butter  bread banana</t>
  </si>
  <si>
    <t>ham butter  bread orange</t>
  </si>
  <si>
    <t>ham butter  bread apple</t>
  </si>
  <si>
    <t>cheese butter  bread banana</t>
  </si>
  <si>
    <t>cheese butter  bread orange</t>
  </si>
  <si>
    <t>cheese butter  bread apple</t>
  </si>
  <si>
    <t>coke butter  bread banana</t>
  </si>
  <si>
    <t>coke butter  bread orange</t>
  </si>
  <si>
    <t>coke butter  bread apple</t>
  </si>
  <si>
    <t>cheese ham bread banana</t>
  </si>
  <si>
    <t>cheese ham bread orange</t>
  </si>
  <si>
    <t>cheese ham bread apple</t>
  </si>
  <si>
    <t>coke ham bread banana</t>
  </si>
  <si>
    <t>coke ham bread orange</t>
  </si>
  <si>
    <t>coke ham bread apple</t>
  </si>
  <si>
    <t>coke cheese bread banana</t>
  </si>
  <si>
    <t>coke cheese bread orange</t>
  </si>
  <si>
    <t>coke cheese bread apple</t>
  </si>
  <si>
    <t>cheese ham butter  banana</t>
  </si>
  <si>
    <t>cheese ham butter  orange</t>
  </si>
  <si>
    <t>cheese ham butter  apple</t>
  </si>
  <si>
    <t>cheese ham butter  bread</t>
  </si>
  <si>
    <t>coke ham butter  banana</t>
  </si>
  <si>
    <t>coke ham butter  orange</t>
  </si>
  <si>
    <t>coke ham butter  apple</t>
  </si>
  <si>
    <t>coke ham butter  bread</t>
  </si>
  <si>
    <t>coke cheese butter  banana</t>
  </si>
  <si>
    <t>coke cheese butter  orange</t>
  </si>
  <si>
    <t>coke cheese butter  apple</t>
  </si>
  <si>
    <t>coke cheese butter  bread</t>
  </si>
  <si>
    <t>coke cheese ham banana</t>
  </si>
  <si>
    <t>coke cheese ham orange</t>
  </si>
  <si>
    <t>coke cheese ham apple</t>
  </si>
  <si>
    <t>coke cheese ham bread</t>
  </si>
  <si>
    <t xml:space="preserve">coke cheese ham butter </t>
  </si>
  <si>
    <t>butter  bread apple orange banana</t>
  </si>
  <si>
    <t>ham bread apple orange banana</t>
  </si>
  <si>
    <t>cheese bread apple orange banana</t>
  </si>
  <si>
    <t>coke bread apple orange banana</t>
  </si>
  <si>
    <t>ham butter  apple orange banana</t>
  </si>
  <si>
    <t>cheese butter  apple orange banana</t>
  </si>
  <si>
    <t>coke butter  apple orange banana</t>
  </si>
  <si>
    <t>cheese ham apple orange banana</t>
  </si>
  <si>
    <t>coke ham apple orange banana</t>
  </si>
  <si>
    <t>coke cheese apple orange banana</t>
  </si>
  <si>
    <t>ham butter  bread orange banana</t>
  </si>
  <si>
    <t>cheese butter  bread orange banana</t>
  </si>
  <si>
    <t>coke butter  bread orange banana</t>
  </si>
  <si>
    <t>cheese ham bread orange banana</t>
  </si>
  <si>
    <t>coke ham bread orange banana</t>
  </si>
  <si>
    <t>coke cheese bread orange banana</t>
  </si>
  <si>
    <t>cheese ham butter  orange banana</t>
  </si>
  <si>
    <t>coke ham butter  orange banana</t>
  </si>
  <si>
    <t>coke cheese butter  orange banana</t>
  </si>
  <si>
    <t>coke cheese ham orange banana</t>
  </si>
  <si>
    <t>ham butter  bread apple banana</t>
  </si>
  <si>
    <t>ham butter  bread apple orange</t>
  </si>
  <si>
    <t>cheese butter  bread apple banana</t>
  </si>
  <si>
    <t>cheese butter  bread apple orange</t>
  </si>
  <si>
    <t>coke butter  bread apple banana</t>
  </si>
  <si>
    <t>coke butter  bread apple orange</t>
  </si>
  <si>
    <t>cheese ham bread apple banana</t>
  </si>
  <si>
    <t>cheese ham bread apple orange</t>
  </si>
  <si>
    <t>coke ham bread apple banana</t>
  </si>
  <si>
    <t>coke ham bread apple orange</t>
  </si>
  <si>
    <t>coke cheese bread apple banana</t>
  </si>
  <si>
    <t>coke cheese bread apple orange</t>
  </si>
  <si>
    <t>cheese ham butter  apple banana</t>
  </si>
  <si>
    <t>cheese ham butter  apple orange</t>
  </si>
  <si>
    <t>coke ham butter  apple banana</t>
  </si>
  <si>
    <t>coke ham butter  apple orange</t>
  </si>
  <si>
    <t>coke cheese butter  apple banana</t>
  </si>
  <si>
    <t>coke cheese butter  apple orange</t>
  </si>
  <si>
    <t>coke cheese ham apple banana</t>
  </si>
  <si>
    <t>coke cheese ham apple orange</t>
  </si>
  <si>
    <t>cheese ham butter  bread banana</t>
  </si>
  <si>
    <t>cheese ham butter  bread orange</t>
  </si>
  <si>
    <t>cheese ham butter  bread apple</t>
  </si>
  <si>
    <t>coke ham butter  bread banana</t>
  </si>
  <si>
    <t>coke ham butter  bread orange</t>
  </si>
  <si>
    <t>coke ham butter  bread apple</t>
  </si>
  <si>
    <t>coke cheese butter  bread banana</t>
  </si>
  <si>
    <t>coke cheese butter  bread orange</t>
  </si>
  <si>
    <t>coke cheese butter  bread apple</t>
  </si>
  <si>
    <t>coke cheese ham bread banana</t>
  </si>
  <si>
    <t>coke cheese ham bread orange</t>
  </si>
  <si>
    <t>coke cheese ham bread apple</t>
  </si>
  <si>
    <t>coke cheese ham butter  banana</t>
  </si>
  <si>
    <t>coke cheese ham butter  orange</t>
  </si>
  <si>
    <t>coke cheese ham butter  apple</t>
  </si>
  <si>
    <t>coke cheese ham butter  bread</t>
  </si>
  <si>
    <t>ham butter  bread apple orange banana</t>
  </si>
  <si>
    <t>cheese butter  bread apple orange banana</t>
  </si>
  <si>
    <t>coke butter  bread apple orange banana</t>
  </si>
  <si>
    <t>cheese ham bread apple orange banana</t>
  </si>
  <si>
    <t>coke ham bread apple orange banana</t>
  </si>
  <si>
    <t>coke cheese bread apple orange banana</t>
  </si>
  <si>
    <t>cheese ham butter  apple orange banana</t>
  </si>
  <si>
    <t>coke ham butter  apple orange banana</t>
  </si>
  <si>
    <t>coke cheese butter  apple orange banana</t>
  </si>
  <si>
    <t>coke cheese ham apple orange banana</t>
  </si>
  <si>
    <t>cheese ham butter  bread orange banana</t>
  </si>
  <si>
    <t>coke ham butter  bread orange banana</t>
  </si>
  <si>
    <t>coke cheese butter  bread orange banana</t>
  </si>
  <si>
    <t>coke cheese ham bread orange banana</t>
  </si>
  <si>
    <t>coke cheese ham butter  orange banana</t>
  </si>
  <si>
    <t>cheese ham butter  bread apple banana</t>
  </si>
  <si>
    <t>cheese ham butter  bread apple orange</t>
  </si>
  <si>
    <t>coke ham butter  bread apple banana</t>
  </si>
  <si>
    <t>coke ham butter  bread apple orange</t>
  </si>
  <si>
    <t>coke cheese butter  bread apple banana</t>
  </si>
  <si>
    <t>coke cheese butter  bread apple orange</t>
  </si>
  <si>
    <t>coke cheese ham bread apple banana</t>
  </si>
  <si>
    <t>coke cheese ham bread apple orange</t>
  </si>
  <si>
    <t>coke cheese ham butter  apple banana</t>
  </si>
  <si>
    <t>coke cheese ham butter  apple orange</t>
  </si>
  <si>
    <t>coke cheese ham butter  bread banana</t>
  </si>
  <si>
    <t>coke cheese ham butter  bread orange</t>
  </si>
  <si>
    <t>coke cheese ham butter  bread apple</t>
  </si>
  <si>
    <t>cheese ham butter  bread apple orange banana</t>
  </si>
  <si>
    <t>coke ham butter  bread apple orange banana</t>
  </si>
  <si>
    <t>coke cheese butter  bread apple orange banana</t>
  </si>
  <si>
    <t>coke cheese ham bread apple orange banana</t>
  </si>
  <si>
    <t>coke cheese ham butter  apple orange banana</t>
  </si>
  <si>
    <t>coke cheese ham butter  bread orange banana</t>
  </si>
  <si>
    <t>coke cheese ham butter  bread apple banana</t>
  </si>
  <si>
    <t>coke cheese ham butter  bread apple orange</t>
  </si>
  <si>
    <t>coke cheese ham butter  bread apple orange banana</t>
  </si>
  <si>
    <t>possible combinations</t>
  </si>
  <si>
    <t>1-item</t>
  </si>
  <si>
    <t>2-items</t>
  </si>
  <si>
    <t>3-items</t>
  </si>
  <si>
    <t>4-items</t>
  </si>
  <si>
    <t>5-items</t>
  </si>
  <si>
    <t>6-items</t>
  </si>
  <si>
    <t>7-items</t>
  </si>
  <si>
    <t>8-items</t>
  </si>
  <si>
    <t>how many comb.</t>
  </si>
  <si>
    <t>Dataset</t>
  </si>
  <si>
    <t>Possible combinations</t>
  </si>
  <si>
    <t>Total</t>
  </si>
  <si>
    <t xml:space="preserve"> - to save time and calculations capacity we are to analyse only the most frequent combinations, not all of them</t>
  </si>
  <si>
    <t>support {if apple then orange}</t>
  </si>
  <si>
    <r>
      <t xml:space="preserve"> - we are to check </t>
    </r>
    <r>
      <rPr>
        <b/>
        <sz val="11"/>
        <color theme="1"/>
        <rFont val="Calibri"/>
        <family val="2"/>
        <charset val="238"/>
        <scheme val="minor"/>
      </rPr>
      <t xml:space="preserve">rules "if - then" </t>
    </r>
    <r>
      <rPr>
        <sz val="11"/>
        <color theme="1"/>
        <rFont val="Calibri"/>
        <family val="2"/>
        <charset val="238"/>
        <scheme val="minor"/>
      </rPr>
      <t xml:space="preserve">- </t>
    </r>
    <r>
      <rPr>
        <b/>
        <sz val="11"/>
        <color theme="1"/>
        <rFont val="Calibri"/>
        <family val="2"/>
        <charset val="238"/>
        <scheme val="minor"/>
      </rPr>
      <t>antecedent</t>
    </r>
    <r>
      <rPr>
        <sz val="11"/>
        <color theme="1"/>
        <rFont val="Calibri"/>
        <family val="2"/>
        <charset val="238"/>
        <scheme val="minor"/>
      </rPr>
      <t xml:space="preserve"> is for "if" and </t>
    </r>
    <r>
      <rPr>
        <b/>
        <sz val="11"/>
        <color theme="1"/>
        <rFont val="Calibri"/>
        <family val="2"/>
        <charset val="238"/>
        <scheme val="minor"/>
      </rPr>
      <t>consequent</t>
    </r>
    <r>
      <rPr>
        <sz val="11"/>
        <color theme="1"/>
        <rFont val="Calibri"/>
        <family val="2"/>
        <charset val="238"/>
        <scheme val="minor"/>
      </rPr>
      <t xml:space="preserve"> is for "then" - they build "</t>
    </r>
    <r>
      <rPr>
        <b/>
        <sz val="11"/>
        <color theme="1"/>
        <rFont val="Calibri"/>
        <family val="2"/>
        <charset val="238"/>
        <scheme val="minor"/>
      </rPr>
      <t>item sets</t>
    </r>
    <r>
      <rPr>
        <sz val="11"/>
        <color theme="1"/>
        <rFont val="Calibri"/>
        <family val="2"/>
        <charset val="238"/>
        <scheme val="minor"/>
      </rPr>
      <t>"</t>
    </r>
  </si>
  <si>
    <r>
      <t xml:space="preserve">- </t>
    </r>
    <r>
      <rPr>
        <b/>
        <sz val="11"/>
        <color theme="1"/>
        <rFont val="Calibri"/>
        <family val="2"/>
        <charset val="238"/>
        <scheme val="minor"/>
      </rPr>
      <t>support</t>
    </r>
    <r>
      <rPr>
        <sz val="11"/>
        <color theme="1"/>
        <rFont val="Calibri"/>
        <family val="2"/>
        <charset val="238"/>
        <scheme val="minor"/>
      </rPr>
      <t xml:space="preserve"> (of the rule) - number of transactions which contain both antecedent and consequent</t>
    </r>
  </si>
  <si>
    <t>number</t>
  </si>
  <si>
    <t>%</t>
  </si>
  <si>
    <t>items set</t>
  </si>
  <si>
    <t>---</t>
  </si>
  <si>
    <t>support {if apple then banana}</t>
  </si>
  <si>
    <t>support {if apple and orange then banana}</t>
  </si>
  <si>
    <t>confidence {if apple and orange then banana}</t>
  </si>
  <si>
    <t>support {if coke then apple}</t>
  </si>
  <si>
    <t>support {if coke then banana}</t>
  </si>
  <si>
    <t>support {if coke then orange}</t>
  </si>
  <si>
    <t>confidence {if coke then orange}</t>
  </si>
  <si>
    <t>confidence {if coke then apple}</t>
  </si>
  <si>
    <r>
      <t xml:space="preserve">- </t>
    </r>
    <r>
      <rPr>
        <b/>
        <sz val="11"/>
        <color theme="1"/>
        <rFont val="Calibri"/>
        <family val="2"/>
        <charset val="238"/>
        <scheme val="minor"/>
      </rPr>
      <t>confidence</t>
    </r>
    <r>
      <rPr>
        <sz val="11"/>
        <color theme="1"/>
        <rFont val="Calibri"/>
        <family val="2"/>
        <charset val="238"/>
        <scheme val="minor"/>
      </rPr>
      <t xml:space="preserve"> - the co-occurrence of the antecedent and consequent item sets in the database related to the occurence of the antecendet items set
to the occurrence of the antecedent item sets</t>
    </r>
  </si>
  <si>
    <t>(if coke then apple) / (if coke)</t>
  </si>
  <si>
    <t>lift ratio {if coke then orange}</t>
  </si>
  <si>
    <t>benchmark confidence {if coke than orange}</t>
  </si>
  <si>
    <r>
      <t>-</t>
    </r>
    <r>
      <rPr>
        <b/>
        <sz val="11"/>
        <color theme="1"/>
        <rFont val="Calibri"/>
        <family val="2"/>
        <charset val="238"/>
        <scheme val="minor"/>
      </rPr>
      <t xml:space="preserve"> lift ratio</t>
    </r>
    <r>
      <rPr>
        <sz val="11"/>
        <color theme="1"/>
        <rFont val="Calibri"/>
        <family val="2"/>
        <charset val="238"/>
        <scheme val="minor"/>
      </rPr>
      <t xml:space="preserve"> - confidence / benchmark confidence, where benchmark confidence=baskest with consequent item set / all baskets</t>
    </r>
  </si>
  <si>
    <t>Rule #</t>
  </si>
  <si>
    <t>Antecedent (a)</t>
  </si>
  <si>
    <t>min. support</t>
  </si>
  <si>
    <t>Consequent (c)</t>
  </si>
  <si>
    <t>Support (A &amp; C)</t>
  </si>
  <si>
    <t>Lift Ratio</t>
  </si>
  <si>
    <t>banana =&gt;</t>
  </si>
  <si>
    <t>banana &amp; apple =&gt;</t>
  </si>
  <si>
    <t>banana &amp; coke =&gt;</t>
  </si>
  <si>
    <t>apple &amp; coke</t>
  </si>
  <si>
    <t>apple =&gt;</t>
  </si>
  <si>
    <t>apple &amp; coke =&gt;</t>
  </si>
  <si>
    <t>banana &amp; coke</t>
  </si>
  <si>
    <t>coke =&gt;</t>
  </si>
  <si>
    <t>banana &amp; apple</t>
  </si>
  <si>
    <t>confidence</t>
  </si>
  <si>
    <t>Support (A)</t>
  </si>
  <si>
    <t>Support (C )</t>
  </si>
  <si>
    <t>benchmark confidence</t>
  </si>
  <si>
    <t>support (A&amp;C)/ support(A)</t>
  </si>
  <si>
    <t>Support( C) / 15</t>
  </si>
  <si>
    <r>
      <t xml:space="preserve">- </t>
    </r>
    <r>
      <rPr>
        <b/>
        <sz val="11"/>
        <color theme="1"/>
        <rFont val="Calibri"/>
        <family val="2"/>
        <charset val="238"/>
        <scheme val="minor"/>
      </rPr>
      <t>benchmark confidence</t>
    </r>
    <r>
      <rPr>
        <sz val="11"/>
        <color theme="1"/>
        <rFont val="Calibri"/>
        <family val="2"/>
        <charset val="238"/>
        <scheme val="minor"/>
      </rPr>
      <t xml:space="preserve"> - the occurence of "then" item related to all baskets</t>
    </r>
  </si>
  <si>
    <t>conf / bench.conf</t>
  </si>
  <si>
    <t>APRIORI algorithm</t>
  </si>
  <si>
    <t>Works iteratively, in each iteration it checks the support and selects the rules with highest support</t>
  </si>
  <si>
    <t>Next iteration is to increase itemsets by one, from 1-&gt;2, 2-&gt;3, 3-&gt;4 etc.</t>
  </si>
  <si>
    <t>https://fenix.tecnico.ulisboa.pt/downloadFile/3779571250095/licao_9.pdf</t>
  </si>
  <si>
    <t>https://www.slideshare.net/INSOFE/apriori-algorithm-36054672</t>
  </si>
  <si>
    <t>Good descrption of Apriori</t>
  </si>
  <si>
    <t>ECLAT Algorithm</t>
  </si>
  <si>
    <t>Uses horizontal data format (column #1: no of transation, column #2: items in this basket)</t>
  </si>
  <si>
    <t>Analyses consequtive the itemsets</t>
  </si>
  <si>
    <t>Uses vertical data format (column #1: name of product, column #2:in which transaction was this product)</t>
  </si>
  <si>
    <t>Horizontal and vertical format of data</t>
  </si>
  <si>
    <t>https://www.slideshare.net/deepa15/eclat-37310304</t>
  </si>
  <si>
    <t>intersects tidlist of gievn product with tidlists of all other items</t>
  </si>
  <si>
    <t>it produces tidlists of combinations</t>
  </si>
  <si>
    <t>it applies min_support criteria and deletes items/combinations below the treshold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</si>
</sst>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8"/>
      <name val="Inherit"/>
      <charset val="238"/>
    </font>
    <font>
      <sz val="8"/>
      <color rgb="FF00000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11" borderId="0" xfId="0" applyFont="1" applyFill="1" applyAlignment="1">
      <alignment horizontal="center" wrapText="1"/>
    </xf>
    <xf numFmtId="0" fontId="3" fillId="16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3" fillId="15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0" fontId="4" fillId="12" borderId="2" xfId="0" applyFont="1" applyFill="1" applyBorder="1" applyAlignment="1">
      <alignment horizontal="center" wrapText="1"/>
    </xf>
    <xf numFmtId="0" fontId="3" fillId="12" borderId="3" xfId="0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wrapText="1"/>
    </xf>
    <xf numFmtId="0" fontId="4" fillId="12" borderId="7" xfId="0" applyFont="1" applyFill="1" applyBorder="1" applyAlignment="1">
      <alignment horizontal="center" wrapText="1"/>
    </xf>
    <xf numFmtId="0" fontId="5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9" borderId="0" xfId="0" applyFont="1" applyFill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3" fillId="15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 wrapText="1"/>
    </xf>
    <xf numFmtId="0" fontId="3" fillId="16" borderId="1" xfId="0" applyFont="1" applyFill="1" applyBorder="1" applyAlignment="1">
      <alignment horizontal="center" wrapText="1"/>
    </xf>
    <xf numFmtId="0" fontId="3" fillId="17" borderId="1" xfId="0" applyFont="1" applyFill="1" applyBorder="1" applyAlignment="1">
      <alignment horizontal="center" wrapText="1"/>
    </xf>
    <xf numFmtId="0" fontId="3" fillId="17" borderId="6" xfId="0" applyFont="1" applyFill="1" applyBorder="1" applyAlignment="1">
      <alignment horizontal="center" wrapText="1"/>
    </xf>
    <xf numFmtId="0" fontId="3" fillId="17" borderId="8" xfId="0" applyFont="1" applyFill="1" applyBorder="1" applyAlignment="1">
      <alignment horizontal="center" wrapText="1"/>
    </xf>
    <xf numFmtId="0" fontId="3" fillId="17" borderId="9" xfId="0" applyFont="1" applyFill="1" applyBorder="1" applyAlignment="1">
      <alignment horizontal="center" wrapText="1"/>
    </xf>
    <xf numFmtId="0" fontId="4" fillId="13" borderId="10" xfId="0" applyFont="1" applyFill="1" applyBorder="1" applyAlignment="1">
      <alignment horizontal="center" wrapText="1"/>
    </xf>
    <xf numFmtId="0" fontId="4" fillId="13" borderId="11" xfId="0" applyFont="1" applyFill="1" applyBorder="1" applyAlignment="1">
      <alignment horizontal="center" wrapText="1"/>
    </xf>
    <xf numFmtId="0" fontId="4" fillId="13" borderId="12" xfId="0" applyFont="1" applyFill="1" applyBorder="1" applyAlignment="1">
      <alignment horizontal="center" wrapText="1"/>
    </xf>
    <xf numFmtId="0" fontId="4" fillId="13" borderId="13" xfId="0" applyFont="1" applyFill="1" applyBorder="1" applyAlignment="1">
      <alignment horizontal="center" wrapText="1"/>
    </xf>
    <xf numFmtId="0" fontId="4" fillId="13" borderId="14" xfId="0" applyFont="1" applyFill="1" applyBorder="1" applyAlignment="1">
      <alignment horizontal="center" wrapText="1"/>
    </xf>
    <xf numFmtId="0" fontId="4" fillId="13" borderId="15" xfId="0" applyFont="1" applyFill="1" applyBorder="1" applyAlignment="1">
      <alignment horizontal="center" wrapText="1"/>
    </xf>
    <xf numFmtId="0" fontId="0" fillId="0" borderId="0" xfId="0" quotePrefix="1"/>
    <xf numFmtId="9" fontId="0" fillId="0" borderId="0" xfId="1" applyFont="1"/>
    <xf numFmtId="0" fontId="0" fillId="0" borderId="0" xfId="0" quotePrefix="1" applyAlignment="1">
      <alignment horizontal="left"/>
    </xf>
    <xf numFmtId="9" fontId="0" fillId="0" borderId="0" xfId="1" applyFont="1" applyAlignment="1">
      <alignment horizontal="center"/>
    </xf>
    <xf numFmtId="0" fontId="0" fillId="0" borderId="0" xfId="0" quotePrefix="1" applyAlignment="1">
      <alignment horizontal="center"/>
    </xf>
    <xf numFmtId="9" fontId="0" fillId="0" borderId="0" xfId="0" applyNumberFormat="1"/>
    <xf numFmtId="9" fontId="0" fillId="2" borderId="0" xfId="1" applyFont="1" applyFill="1"/>
    <xf numFmtId="9" fontId="0" fillId="2" borderId="0" xfId="0" applyNumberFormat="1" applyFill="1"/>
    <xf numFmtId="0" fontId="0" fillId="0" borderId="0" xfId="0" applyAlignment="1">
      <alignment wrapText="1"/>
    </xf>
    <xf numFmtId="0" fontId="0" fillId="3" borderId="0" xfId="0" applyFill="1"/>
    <xf numFmtId="9" fontId="0" fillId="3" borderId="0" xfId="1" applyFont="1" applyFill="1"/>
    <xf numFmtId="9" fontId="0" fillId="3" borderId="0" xfId="0" applyNumberFormat="1" applyFill="1"/>
    <xf numFmtId="0" fontId="0" fillId="18" borderId="0" xfId="0" applyFill="1"/>
    <xf numFmtId="0" fontId="0" fillId="18" borderId="16" xfId="0" applyFill="1" applyBorder="1"/>
    <xf numFmtId="0" fontId="0" fillId="18" borderId="17" xfId="0" applyFill="1" applyBorder="1"/>
    <xf numFmtId="0" fontId="0" fillId="18" borderId="18" xfId="0" applyFill="1" applyBorder="1"/>
    <xf numFmtId="0" fontId="0" fillId="18" borderId="19" xfId="0" applyFill="1" applyBorder="1"/>
    <xf numFmtId="0" fontId="1" fillId="18" borderId="0" xfId="0" applyFont="1" applyFill="1" applyBorder="1"/>
    <xf numFmtId="0" fontId="0" fillId="18" borderId="0" xfId="0" applyFill="1" applyBorder="1"/>
    <xf numFmtId="0" fontId="0" fillId="18" borderId="20" xfId="0" applyFill="1" applyBorder="1"/>
    <xf numFmtId="0" fontId="0" fillId="18" borderId="21" xfId="0" applyFill="1" applyBorder="1"/>
    <xf numFmtId="0" fontId="0" fillId="18" borderId="22" xfId="0" applyFill="1" applyBorder="1"/>
    <xf numFmtId="0" fontId="0" fillId="18" borderId="23" xfId="0" applyFill="1" applyBorder="1"/>
    <xf numFmtId="0" fontId="7" fillId="18" borderId="0" xfId="0" applyFont="1" applyFill="1" applyBorder="1"/>
    <xf numFmtId="0" fontId="7" fillId="18" borderId="21" xfId="0" applyFont="1" applyFill="1" applyBorder="1"/>
    <xf numFmtId="0" fontId="1" fillId="18" borderId="17" xfId="0" applyFont="1" applyFill="1" applyBorder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1074420</xdr:colOff>
      <xdr:row>32</xdr:row>
      <xdr:rowOff>0</xdr:rowOff>
    </xdr:from>
    <xdr:to>
      <xdr:col>7</xdr:col>
      <xdr:colOff>876300</xdr:colOff>
      <xdr:row>36</xdr:row>
      <xdr:rowOff>45720</xdr:rowOff>
    </xdr:to>
    <xdr:sp macro="" textlink="">
      <xdr:nvSpPr>
        <xdr:cNvPr id="2" name="Objaśnienie prostokątne 1"/>
        <xdr:cNvSpPr/>
      </xdr:nvSpPr>
      <xdr:spPr>
        <a:xfrm>
          <a:off x="5669280" y="4160520"/>
          <a:ext cx="3368040" cy="563880"/>
        </a:xfrm>
        <a:prstGeom prst="wedgeRectCallout">
          <a:avLst>
            <a:gd name="adj1" fmla="val -71738"/>
            <a:gd name="adj2" fmla="val 10290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Below</a:t>
          </a:r>
          <a:r>
            <a:rPr lang="pl-PL" sz="1100" baseline="0"/>
            <a:t> we have listed all possible combinations - there are too many of them to track them precisely</a:t>
          </a:r>
        </a:p>
        <a:p>
          <a:pPr algn="l"/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33</xdr:row>
      <xdr:rowOff>30480</xdr:rowOff>
    </xdr:from>
    <xdr:to>
      <xdr:col>7</xdr:col>
      <xdr:colOff>160020</xdr:colOff>
      <xdr:row>43</xdr:row>
      <xdr:rowOff>129540</xdr:rowOff>
    </xdr:to>
    <xdr:sp macro="" textlink="">
      <xdr:nvSpPr>
        <xdr:cNvPr id="2" name="Objaśnienie owalne 1"/>
        <xdr:cNvSpPr/>
      </xdr:nvSpPr>
      <xdr:spPr>
        <a:xfrm>
          <a:off x="121920" y="6088380"/>
          <a:ext cx="5722620" cy="1927860"/>
        </a:xfrm>
        <a:prstGeom prst="wedgeEllipseCallout">
          <a:avLst>
            <a:gd name="adj1" fmla="val -34757"/>
            <a:gd name="adj2" fmla="val -69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 b="1"/>
            <a:t>- Support</a:t>
          </a:r>
          <a:r>
            <a:rPr lang="pl-PL" sz="1100" baseline="0"/>
            <a:t> may refer to single item as well as to items set. </a:t>
          </a:r>
        </a:p>
        <a:p>
          <a:pPr algn="l"/>
          <a:r>
            <a:rPr lang="pl-PL" sz="1100" baseline="0"/>
            <a:t>- It can be in count or in percentage. </a:t>
          </a:r>
        </a:p>
        <a:p>
          <a:pPr algn="l"/>
          <a:r>
            <a:rPr lang="pl-PL" sz="1100" baseline="0"/>
            <a:t>- Support cuts the dataset for the one for analysis and other (minor obs). </a:t>
          </a:r>
        </a:p>
        <a:p>
          <a:pPr algn="l"/>
          <a:r>
            <a:rPr lang="pl-PL" sz="1100" baseline="0"/>
            <a:t>- Support is assumed by reseracher as treshold.</a:t>
          </a:r>
          <a:endParaRPr lang="pl-PL" sz="1100"/>
        </a:p>
      </xdr:txBody>
    </xdr:sp>
    <xdr:clientData/>
  </xdr:twoCellAnchor>
  <xdr:twoCellAnchor>
    <xdr:from>
      <xdr:col>10</xdr:col>
      <xdr:colOff>53340</xdr:colOff>
      <xdr:row>28</xdr:row>
      <xdr:rowOff>30480</xdr:rowOff>
    </xdr:from>
    <xdr:to>
      <xdr:col>15</xdr:col>
      <xdr:colOff>579120</xdr:colOff>
      <xdr:row>38</xdr:row>
      <xdr:rowOff>83820</xdr:rowOff>
    </xdr:to>
    <xdr:sp macro="" textlink="">
      <xdr:nvSpPr>
        <xdr:cNvPr id="3" name="Objaśnienie w chmurce 2"/>
        <xdr:cNvSpPr/>
      </xdr:nvSpPr>
      <xdr:spPr>
        <a:xfrm>
          <a:off x="8359140" y="5173980"/>
          <a:ext cx="5646420" cy="1882140"/>
        </a:xfrm>
        <a:prstGeom prst="cloud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Goal: to find a strong rule (</a:t>
          </a:r>
          <a:r>
            <a:rPr lang="pl-PL"/>
            <a:t>that meets stipulated support and confidence</a:t>
          </a:r>
          <a:r>
            <a:rPr lang="pl-PL" baseline="0"/>
            <a:t> </a:t>
          </a:r>
          <a:r>
            <a:rPr lang="pl-PL"/>
            <a:t>requirements)</a:t>
          </a:r>
        </a:p>
        <a:p>
          <a:pPr algn="l"/>
          <a:r>
            <a:rPr lang="pl-PL" sz="1100"/>
            <a:t>1)</a:t>
          </a:r>
          <a:r>
            <a:rPr lang="pl-PL" sz="1100" baseline="0"/>
            <a:t> find sets with appropriate support (and </a:t>
          </a:r>
          <a:r>
            <a:rPr lang="pl-PL"/>
            <a:t>remove rare item combinations)</a:t>
          </a:r>
          <a:endParaRPr lang="pl-PL" sz="1100" baseline="0"/>
        </a:p>
        <a:p>
          <a:pPr algn="l"/>
          <a:r>
            <a:rPr lang="pl-PL" sz="1100"/>
            <a:t>2) find </a:t>
          </a:r>
          <a:r>
            <a:rPr lang="pl-PL"/>
            <a:t>association rules that meet a confidence requirement (filtering rules to keep high confidence)</a:t>
          </a:r>
          <a:endParaRPr lang="pl-PL" sz="1100"/>
        </a:p>
      </xdr:txBody>
    </xdr:sp>
    <xdr:clientData/>
  </xdr:twoCellAnchor>
  <xdr:twoCellAnchor>
    <xdr:from>
      <xdr:col>12</xdr:col>
      <xdr:colOff>838200</xdr:colOff>
      <xdr:row>45</xdr:row>
      <xdr:rowOff>7620</xdr:rowOff>
    </xdr:from>
    <xdr:to>
      <xdr:col>17</xdr:col>
      <xdr:colOff>213360</xdr:colOff>
      <xdr:row>63</xdr:row>
      <xdr:rowOff>114300</xdr:rowOff>
    </xdr:to>
    <xdr:sp macro="" textlink="">
      <xdr:nvSpPr>
        <xdr:cNvPr id="4" name="Objaśnienie prostokątne zaokrąglone 3"/>
        <xdr:cNvSpPr/>
      </xdr:nvSpPr>
      <xdr:spPr>
        <a:xfrm>
          <a:off x="10363200" y="8442960"/>
          <a:ext cx="4495800" cy="3634740"/>
        </a:xfrm>
        <a:prstGeom prst="wedgeRoundRectCallout">
          <a:avLst>
            <a:gd name="adj1" fmla="val -61367"/>
            <a:gd name="adj2" fmla="val -2801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Two criteria</a:t>
          </a:r>
          <a:r>
            <a:rPr lang="pl-PL" sz="1100" baseline="0"/>
            <a:t> to select the rules:</a:t>
          </a:r>
        </a:p>
        <a:p>
          <a:pPr algn="l"/>
          <a:r>
            <a:rPr lang="pl-PL" sz="1100" baseline="0"/>
            <a:t>- support higher than 7</a:t>
          </a:r>
        </a:p>
        <a:p>
          <a:pPr algn="l"/>
          <a:r>
            <a:rPr lang="pl-PL" sz="1100" baseline="0"/>
            <a:t>- confidence higher than 50%</a:t>
          </a:r>
        </a:p>
        <a:p>
          <a:pPr algn="l"/>
          <a:endParaRPr lang="pl-PL" sz="1100" baseline="0"/>
        </a:p>
        <a:p>
          <a:pPr algn="l"/>
          <a:r>
            <a:rPr lang="pl-PL" sz="1100" baseline="0"/>
            <a:t>- in result: lift ratio 107% for rules #1, #2 and 143% for rules #5, #8</a:t>
          </a:r>
        </a:p>
        <a:p>
          <a:pPr algn="l"/>
          <a:endParaRPr lang="pl-PL" sz="1100" baseline="0"/>
        </a:p>
        <a:p>
          <a:pPr algn="l"/>
          <a:r>
            <a:rPr lang="pl-PL" sz="1100" baseline="0"/>
            <a:t>interpretation:</a:t>
          </a:r>
        </a:p>
        <a:p>
          <a:pPr algn="l"/>
          <a:r>
            <a:rPr lang="pl-PL" sz="1100" baseline="0"/>
            <a:t>- support (A) - "if" baskets appearing 7 times or more often among all baskets</a:t>
          </a:r>
        </a:p>
        <a:p>
          <a:pPr algn="l"/>
          <a:r>
            <a:rPr lang="pl-PL" sz="1100"/>
            <a:t>- support (C) - "then"</a:t>
          </a:r>
          <a:r>
            <a:rPr lang="pl-PL" sz="1100" baseline="0"/>
            <a:t> baskets appearing 7 times of more often among all baskets</a:t>
          </a:r>
        </a:p>
        <a:p>
          <a:pPr algn="l"/>
          <a:r>
            <a:rPr lang="pl-PL" sz="1100" baseline="0"/>
            <a:t>- confidence - for how much combination of "if" with "then" is often (comparing to "if" popularity)</a:t>
          </a:r>
        </a:p>
        <a:p>
          <a:pPr algn="l"/>
          <a:r>
            <a:rPr lang="pl-PL" sz="1100" baseline="0"/>
            <a:t>- benchmark confidence - how often "then" item appears among all baskets</a:t>
          </a:r>
        </a:p>
        <a:p>
          <a:pPr algn="l"/>
          <a:r>
            <a:rPr lang="pl-PL" sz="1100" baseline="0"/>
            <a:t>- lift ratio - for how much "sample" is better than "population" - is response in population is 5% and in some rule 20% then the lift is 4 (4 times better response)</a:t>
          </a:r>
          <a:endParaRPr lang="pl-PL" sz="1100"/>
        </a:p>
      </xdr:txBody>
    </xdr:sp>
    <xdr:clientData/>
  </xdr:twoCellAnchor>
  <xdr:twoCellAnchor>
    <xdr:from>
      <xdr:col>6</xdr:col>
      <xdr:colOff>121920</xdr:colOff>
      <xdr:row>33</xdr:row>
      <xdr:rowOff>15240</xdr:rowOff>
    </xdr:from>
    <xdr:to>
      <xdr:col>10</xdr:col>
      <xdr:colOff>548640</xdr:colOff>
      <xdr:row>42</xdr:row>
      <xdr:rowOff>129540</xdr:rowOff>
    </xdr:to>
    <xdr:sp macro="" textlink="">
      <xdr:nvSpPr>
        <xdr:cNvPr id="5" name="Objaśnienie prostokątne zaokrąglone 4"/>
        <xdr:cNvSpPr/>
      </xdr:nvSpPr>
      <xdr:spPr>
        <a:xfrm>
          <a:off x="5021580" y="6073140"/>
          <a:ext cx="3832860" cy="1760220"/>
        </a:xfrm>
        <a:prstGeom prst="wedgeRound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- Lift =</a:t>
          </a:r>
          <a:r>
            <a:rPr lang="pl-PL" sz="1100" baseline="0"/>
            <a:t> confidence / benchmark confidence</a:t>
          </a:r>
        </a:p>
        <a:p>
          <a:pPr algn="l"/>
          <a:r>
            <a:rPr lang="pl-PL" sz="1100" baseline="0"/>
            <a:t>- lift = [supp(A&amp;C)*number of baskets]/[supp(A)*supp(C)]</a:t>
          </a:r>
        </a:p>
        <a:p>
          <a:pPr algn="l"/>
          <a:r>
            <a:rPr lang="pl-PL" sz="1100" baseline="0"/>
            <a:t>- confidence = support(A &amp; C) / support(A)</a:t>
          </a:r>
        </a:p>
        <a:p>
          <a:pPr algn="l"/>
          <a:r>
            <a:rPr lang="pl-PL" sz="1100" baseline="0"/>
            <a:t>- benchmark confidence = Support(C) / all baskets</a:t>
          </a:r>
        </a:p>
        <a:p>
          <a:pPr algn="l"/>
          <a:endParaRPr lang="pl-PL" sz="1100" baseline="0"/>
        </a:p>
        <a:p>
          <a:pPr algn="l"/>
          <a:r>
            <a:rPr lang="pl-PL" sz="1100" baseline="0"/>
            <a:t>- in fact: lift is a demand on C compared to rule and to population</a:t>
          </a:r>
          <a:endParaRPr lang="pl-PL" sz="1100"/>
        </a:p>
      </xdr:txBody>
    </xdr:sp>
    <xdr:clientData/>
  </xdr:twoCellAnchor>
  <xdr:twoCellAnchor editAs="oneCell">
    <xdr:from>
      <xdr:col>0</xdr:col>
      <xdr:colOff>502920</xdr:colOff>
      <xdr:row>66</xdr:row>
      <xdr:rowOff>38100</xdr:rowOff>
    </xdr:from>
    <xdr:to>
      <xdr:col>6</xdr:col>
      <xdr:colOff>327660</xdr:colOff>
      <xdr:row>86</xdr:row>
      <xdr:rowOff>7620</xdr:rowOff>
    </xdr:to>
    <xdr:pic>
      <xdr:nvPicPr>
        <xdr:cNvPr id="7" name="Obraz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" y="12740640"/>
          <a:ext cx="4724400" cy="3634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121920</xdr:colOff>
      <xdr:row>38</xdr:row>
      <xdr:rowOff>121920</xdr:rowOff>
    </xdr:from>
    <xdr:to>
      <xdr:col>13</xdr:col>
      <xdr:colOff>76200</xdr:colOff>
      <xdr:row>44</xdr:row>
      <xdr:rowOff>312420</xdr:rowOff>
    </xdr:to>
    <xdr:sp macro="" textlink="">
      <xdr:nvSpPr>
        <xdr:cNvPr id="8" name="Objaśnienie w chmurce 7"/>
        <xdr:cNvSpPr/>
      </xdr:nvSpPr>
      <xdr:spPr>
        <a:xfrm>
          <a:off x="9037320" y="7094220"/>
          <a:ext cx="3246120" cy="1287780"/>
        </a:xfrm>
        <a:prstGeom prst="cloud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crossSupportRatio=</a:t>
          </a:r>
          <a:r>
            <a:rPr lang="pl-PL" sz="1100" baseline="0"/>
            <a:t> min_support/</a:t>
          </a:r>
        </a:p>
        <a:p>
          <a:pPr algn="l"/>
          <a:r>
            <a:rPr lang="pl-PL" sz="1100" baseline="0"/>
            <a:t>max_support </a:t>
          </a:r>
        </a:p>
        <a:p>
          <a:pPr algn="l"/>
          <a:r>
            <a:rPr lang="pl-PL" sz="1100" baseline="0"/>
            <a:t>for items within a rule</a:t>
          </a:r>
          <a:endParaRPr lang="pl-PL" sz="1100"/>
        </a:p>
      </xdr:txBody>
    </xdr:sp>
    <xdr:clientData/>
  </xdr:twoCellAnchor>
  <xdr:twoCellAnchor editAs="oneCell">
    <xdr:from>
      <xdr:col>9</xdr:col>
      <xdr:colOff>358140</xdr:colOff>
      <xdr:row>66</xdr:row>
      <xdr:rowOff>108710</xdr:rowOff>
    </xdr:from>
    <xdr:to>
      <xdr:col>12</xdr:col>
      <xdr:colOff>2339340</xdr:colOff>
      <xdr:row>82</xdr:row>
      <xdr:rowOff>160020</xdr:rowOff>
    </xdr:to>
    <xdr:pic>
      <xdr:nvPicPr>
        <xdr:cNvPr id="11" name="Obraz 1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12818870"/>
          <a:ext cx="4168140" cy="2977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297180</xdr:colOff>
      <xdr:row>100</xdr:row>
      <xdr:rowOff>30480</xdr:rowOff>
    </xdr:from>
    <xdr:to>
      <xdr:col>6</xdr:col>
      <xdr:colOff>708660</xdr:colOff>
      <xdr:row>118</xdr:row>
      <xdr:rowOff>114300</xdr:rowOff>
    </xdr:to>
    <xdr:pic>
      <xdr:nvPicPr>
        <xdr:cNvPr id="12" name="Obraz 1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8973800"/>
          <a:ext cx="4701540" cy="3375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332"/>
  <sheetViews>
    <sheetView workbookViewId="0">
      <selection activeCell="C28" sqref="C28"/>
    </sheetView>
  </sheetViews>
  <sheetFormatPr defaultRowHeight="10.199999999999999"/>
  <cols>
    <col min="1" max="2" width="8.88671875" style="2"/>
    <col min="3" max="3" width="26.21875" style="2" customWidth="1"/>
    <col min="4" max="4" width="23" style="2" customWidth="1"/>
    <col min="5" max="5" width="18.33203125" style="2" customWidth="1"/>
    <col min="6" max="6" width="17.109375" style="2" customWidth="1"/>
    <col min="7" max="11" width="16.5546875" style="2" customWidth="1"/>
    <col min="12" max="12" width="8.88671875" style="2"/>
    <col min="13" max="13" width="3" style="21" customWidth="1"/>
    <col min="14" max="16384" width="8.88671875" style="2"/>
  </cols>
  <sheetData>
    <row r="2" spans="3:12">
      <c r="C2" s="13"/>
    </row>
    <row r="5" spans="3:12">
      <c r="C5" s="2" t="s">
        <v>267</v>
      </c>
    </row>
    <row r="6" spans="3:12" ht="10.8" thickBot="1"/>
    <row r="7" spans="3:12">
      <c r="C7" s="14" t="s">
        <v>0</v>
      </c>
      <c r="D7" s="15" t="s">
        <v>2</v>
      </c>
      <c r="E7" s="15" t="s">
        <v>1</v>
      </c>
      <c r="F7" s="15" t="s">
        <v>3</v>
      </c>
      <c r="G7" s="15" t="s">
        <v>4</v>
      </c>
      <c r="H7" s="15" t="s">
        <v>5</v>
      </c>
      <c r="I7" s="15" t="s">
        <v>6</v>
      </c>
      <c r="J7" s="15" t="s">
        <v>7</v>
      </c>
      <c r="K7" s="16" t="s">
        <v>8</v>
      </c>
      <c r="L7" s="41" t="s">
        <v>269</v>
      </c>
    </row>
    <row r="8" spans="3:12">
      <c r="C8" s="17">
        <v>1</v>
      </c>
      <c r="D8" s="34">
        <v>1</v>
      </c>
      <c r="E8" s="34">
        <v>1</v>
      </c>
      <c r="F8" s="34">
        <v>1</v>
      </c>
      <c r="G8" s="34">
        <v>0</v>
      </c>
      <c r="H8" s="34">
        <v>0</v>
      </c>
      <c r="I8" s="34">
        <v>0</v>
      </c>
      <c r="J8" s="34">
        <v>0</v>
      </c>
      <c r="K8" s="35">
        <v>1</v>
      </c>
      <c r="L8" s="42">
        <f>SUM(D8:K8)</f>
        <v>4</v>
      </c>
    </row>
    <row r="9" spans="3:12">
      <c r="C9" s="17">
        <v>2</v>
      </c>
      <c r="D9" s="34">
        <v>0</v>
      </c>
      <c r="E9" s="34">
        <v>1</v>
      </c>
      <c r="F9" s="34">
        <v>0</v>
      </c>
      <c r="G9" s="34">
        <v>1</v>
      </c>
      <c r="H9" s="34">
        <v>1</v>
      </c>
      <c r="I9" s="34">
        <v>0</v>
      </c>
      <c r="J9" s="34">
        <v>1</v>
      </c>
      <c r="K9" s="35">
        <v>1</v>
      </c>
      <c r="L9" s="42">
        <f t="shared" ref="L9:L22" si="0">SUM(D9:K9)</f>
        <v>5</v>
      </c>
    </row>
    <row r="10" spans="3:12">
      <c r="C10" s="17">
        <v>3</v>
      </c>
      <c r="D10" s="34">
        <v>0</v>
      </c>
      <c r="E10" s="34">
        <v>1</v>
      </c>
      <c r="F10" s="34">
        <v>1</v>
      </c>
      <c r="G10" s="34">
        <v>0</v>
      </c>
      <c r="H10" s="34">
        <v>0</v>
      </c>
      <c r="I10" s="34">
        <v>1</v>
      </c>
      <c r="J10" s="34">
        <v>1</v>
      </c>
      <c r="K10" s="35">
        <v>0</v>
      </c>
      <c r="L10" s="42">
        <f t="shared" si="0"/>
        <v>4</v>
      </c>
    </row>
    <row r="11" spans="3:12">
      <c r="C11" s="17">
        <v>4</v>
      </c>
      <c r="D11" s="34">
        <v>1</v>
      </c>
      <c r="E11" s="34">
        <v>1</v>
      </c>
      <c r="F11" s="34">
        <v>0</v>
      </c>
      <c r="G11" s="34">
        <v>1</v>
      </c>
      <c r="H11" s="34">
        <v>0</v>
      </c>
      <c r="I11" s="34">
        <v>1</v>
      </c>
      <c r="J11" s="34">
        <v>0</v>
      </c>
      <c r="K11" s="35">
        <v>1</v>
      </c>
      <c r="L11" s="42">
        <f t="shared" si="0"/>
        <v>5</v>
      </c>
    </row>
    <row r="12" spans="3:12">
      <c r="C12" s="17">
        <v>5</v>
      </c>
      <c r="D12" s="34">
        <v>1</v>
      </c>
      <c r="E12" s="34">
        <v>0</v>
      </c>
      <c r="F12" s="34">
        <v>1</v>
      </c>
      <c r="G12" s="34">
        <v>0</v>
      </c>
      <c r="H12" s="34">
        <v>0</v>
      </c>
      <c r="I12" s="34">
        <v>0</v>
      </c>
      <c r="J12" s="34">
        <v>0</v>
      </c>
      <c r="K12" s="35">
        <v>0</v>
      </c>
      <c r="L12" s="42">
        <f t="shared" si="0"/>
        <v>2</v>
      </c>
    </row>
    <row r="13" spans="3:12">
      <c r="C13" s="17">
        <v>6</v>
      </c>
      <c r="D13" s="34">
        <v>0</v>
      </c>
      <c r="E13" s="34">
        <v>1</v>
      </c>
      <c r="F13" s="34">
        <v>1</v>
      </c>
      <c r="G13" s="34">
        <v>0</v>
      </c>
      <c r="H13" s="34">
        <v>0</v>
      </c>
      <c r="I13" s="34">
        <v>0</v>
      </c>
      <c r="J13" s="34">
        <v>0</v>
      </c>
      <c r="K13" s="35">
        <v>1</v>
      </c>
      <c r="L13" s="42">
        <f t="shared" si="0"/>
        <v>3</v>
      </c>
    </row>
    <row r="14" spans="3:12">
      <c r="C14" s="17">
        <v>7</v>
      </c>
      <c r="D14" s="34">
        <v>1</v>
      </c>
      <c r="E14" s="34">
        <v>0</v>
      </c>
      <c r="F14" s="34">
        <v>1</v>
      </c>
      <c r="G14" s="34">
        <v>0</v>
      </c>
      <c r="H14" s="34">
        <v>0</v>
      </c>
      <c r="I14" s="34">
        <v>0</v>
      </c>
      <c r="J14" s="34">
        <v>0</v>
      </c>
      <c r="K14" s="35">
        <v>0</v>
      </c>
      <c r="L14" s="42">
        <f t="shared" si="0"/>
        <v>2</v>
      </c>
    </row>
    <row r="15" spans="3:12">
      <c r="C15" s="17">
        <v>8</v>
      </c>
      <c r="D15" s="34">
        <v>1</v>
      </c>
      <c r="E15" s="34">
        <v>1</v>
      </c>
      <c r="F15" s="34">
        <v>0</v>
      </c>
      <c r="G15" s="34">
        <v>1</v>
      </c>
      <c r="H15" s="34">
        <v>1</v>
      </c>
      <c r="I15" s="34">
        <v>0</v>
      </c>
      <c r="J15" s="34">
        <v>1</v>
      </c>
      <c r="K15" s="35">
        <v>0</v>
      </c>
      <c r="L15" s="42">
        <f t="shared" si="0"/>
        <v>5</v>
      </c>
    </row>
    <row r="16" spans="3:12">
      <c r="C16" s="17">
        <v>9</v>
      </c>
      <c r="D16" s="34">
        <v>1</v>
      </c>
      <c r="E16" s="34">
        <v>1</v>
      </c>
      <c r="F16" s="34">
        <v>1</v>
      </c>
      <c r="G16" s="34">
        <v>0</v>
      </c>
      <c r="H16" s="34">
        <v>0</v>
      </c>
      <c r="I16" s="34">
        <v>0</v>
      </c>
      <c r="J16" s="34">
        <v>0</v>
      </c>
      <c r="K16" s="35">
        <v>1</v>
      </c>
      <c r="L16" s="42">
        <f t="shared" si="0"/>
        <v>4</v>
      </c>
    </row>
    <row r="17" spans="3:12">
      <c r="C17" s="17">
        <v>10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1</v>
      </c>
      <c r="J17" s="34">
        <v>1</v>
      </c>
      <c r="K17" s="35">
        <v>1</v>
      </c>
      <c r="L17" s="42">
        <f t="shared" si="0"/>
        <v>3</v>
      </c>
    </row>
    <row r="18" spans="3:12">
      <c r="C18" s="17">
        <v>11</v>
      </c>
      <c r="D18" s="34">
        <v>0</v>
      </c>
      <c r="E18" s="34">
        <v>0</v>
      </c>
      <c r="F18" s="34">
        <v>1</v>
      </c>
      <c r="G18" s="34">
        <v>0</v>
      </c>
      <c r="H18" s="34">
        <v>0</v>
      </c>
      <c r="I18" s="34">
        <v>0</v>
      </c>
      <c r="J18" s="34">
        <v>0</v>
      </c>
      <c r="K18" s="35">
        <v>0</v>
      </c>
      <c r="L18" s="42">
        <f t="shared" si="0"/>
        <v>1</v>
      </c>
    </row>
    <row r="19" spans="3:12">
      <c r="C19" s="17">
        <v>12</v>
      </c>
      <c r="D19" s="34">
        <v>0</v>
      </c>
      <c r="E19" s="34">
        <v>0</v>
      </c>
      <c r="F19" s="34">
        <v>1</v>
      </c>
      <c r="G19" s="34">
        <v>0</v>
      </c>
      <c r="H19" s="34">
        <v>0</v>
      </c>
      <c r="I19" s="34">
        <v>0</v>
      </c>
      <c r="J19" s="34">
        <v>0</v>
      </c>
      <c r="K19" s="35">
        <v>0</v>
      </c>
      <c r="L19" s="42">
        <f t="shared" si="0"/>
        <v>1</v>
      </c>
    </row>
    <row r="20" spans="3:12">
      <c r="C20" s="17">
        <v>13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5">
        <v>1</v>
      </c>
      <c r="L20" s="42">
        <f t="shared" si="0"/>
        <v>1</v>
      </c>
    </row>
    <row r="21" spans="3:12">
      <c r="C21" s="17">
        <v>14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5">
        <v>1</v>
      </c>
      <c r="L21" s="42">
        <f t="shared" si="0"/>
        <v>1</v>
      </c>
    </row>
    <row r="22" spans="3:12" ht="10.8" thickBot="1">
      <c r="C22" s="19">
        <v>15</v>
      </c>
      <c r="D22" s="36">
        <v>0</v>
      </c>
      <c r="E22" s="36">
        <v>0</v>
      </c>
      <c r="F22" s="36">
        <v>0</v>
      </c>
      <c r="G22" s="36">
        <v>1</v>
      </c>
      <c r="H22" s="36">
        <v>0</v>
      </c>
      <c r="I22" s="36">
        <v>0</v>
      </c>
      <c r="J22" s="36">
        <v>0</v>
      </c>
      <c r="K22" s="37">
        <v>0</v>
      </c>
      <c r="L22" s="43">
        <f t="shared" si="0"/>
        <v>1</v>
      </c>
    </row>
    <row r="23" spans="3:12" ht="10.8" thickBot="1">
      <c r="C23" s="38" t="s">
        <v>269</v>
      </c>
      <c r="D23" s="39">
        <f>SUM(D8:D22)</f>
        <v>6</v>
      </c>
      <c r="E23" s="39">
        <f t="shared" ref="E23:K23" si="1">SUM(E8:E22)</f>
        <v>7</v>
      </c>
      <c r="F23" s="39">
        <f t="shared" si="1"/>
        <v>8</v>
      </c>
      <c r="G23" s="39">
        <f t="shared" si="1"/>
        <v>4</v>
      </c>
      <c r="H23" s="39">
        <f t="shared" si="1"/>
        <v>2</v>
      </c>
      <c r="I23" s="39">
        <f t="shared" si="1"/>
        <v>3</v>
      </c>
      <c r="J23" s="39">
        <f t="shared" si="1"/>
        <v>4</v>
      </c>
      <c r="K23" s="40">
        <f t="shared" si="1"/>
        <v>8</v>
      </c>
      <c r="L23" s="22">
        <f>SUM(D8:K22)</f>
        <v>42</v>
      </c>
    </row>
    <row r="31" spans="3:12" s="21" customFormat="1">
      <c r="C31" s="20"/>
    </row>
    <row r="33" spans="3:10">
      <c r="C33" s="22" t="s">
        <v>268</v>
      </c>
      <c r="D33" s="2" t="s">
        <v>266</v>
      </c>
    </row>
    <row r="34" spans="3:10">
      <c r="C34" s="22" t="s">
        <v>258</v>
      </c>
      <c r="D34" s="2">
        <f>8-COUNTIF(D48:D55,"X")</f>
        <v>8</v>
      </c>
    </row>
    <row r="35" spans="3:10">
      <c r="C35" s="22" t="s">
        <v>259</v>
      </c>
      <c r="D35" s="2">
        <f>ROWS(D58:K65)*COLUMNS(D58:K65)-COUNTIF(D58:K65,"X")</f>
        <v>28</v>
      </c>
    </row>
    <row r="36" spans="3:10">
      <c r="C36" s="22" t="s">
        <v>260</v>
      </c>
      <c r="D36" s="2">
        <f>ROWS(D70:K97)*COLUMNS(D70:K97)-COUNTIF(D70:K97,"X")</f>
        <v>56</v>
      </c>
    </row>
    <row r="37" spans="3:10">
      <c r="C37" s="22" t="s">
        <v>261</v>
      </c>
      <c r="D37" s="2">
        <f>ROWS(D101:K156)*COLUMNS(D101:K156)-COUNTIF(D101:K156,"X")</f>
        <v>70</v>
      </c>
    </row>
    <row r="38" spans="3:10">
      <c r="C38" s="22" t="s">
        <v>262</v>
      </c>
      <c r="D38" s="2">
        <f>ROWS(D161:K230)*COLUMNS(D161:K230)-COUNTIF(D161:K230,"X")</f>
        <v>56</v>
      </c>
    </row>
    <row r="39" spans="3:10">
      <c r="C39" s="22" t="s">
        <v>263</v>
      </c>
      <c r="D39" s="2">
        <f>ROWS(D235:K290)*COLUMNS(D235:K290)-COUNTIF(D235:K290,"X")</f>
        <v>28</v>
      </c>
    </row>
    <row r="40" spans="3:10">
      <c r="C40" s="22" t="s">
        <v>264</v>
      </c>
      <c r="D40" s="2">
        <f>ROWS(D294:K321)*COLUMNS(D294:K321)-COUNTIF(D294:K321,"X")</f>
        <v>8</v>
      </c>
    </row>
    <row r="41" spans="3:10">
      <c r="C41" s="22" t="s">
        <v>265</v>
      </c>
      <c r="D41" s="2">
        <f>ROWS(D325:K332)*COLUMNS(D325:K332)-COUNTIF(D325:K332,"X")</f>
        <v>1</v>
      </c>
    </row>
    <row r="42" spans="3:10">
      <c r="C42" s="22" t="s">
        <v>269</v>
      </c>
      <c r="D42" s="22">
        <f>SUM(D34:D41)</f>
        <v>255</v>
      </c>
    </row>
    <row r="44" spans="3:10" s="21" customFormat="1">
      <c r="C44" s="20"/>
    </row>
    <row r="45" spans="3:10">
      <c r="C45" s="22" t="s">
        <v>257</v>
      </c>
      <c r="J45" s="23"/>
    </row>
    <row r="46" spans="3:10" s="21" customFormat="1">
      <c r="C46" s="24"/>
      <c r="J46" s="25"/>
    </row>
    <row r="48" spans="3:10">
      <c r="C48" s="26" t="s">
        <v>2</v>
      </c>
      <c r="D48" s="3" t="str">
        <f>C48</f>
        <v>banana</v>
      </c>
    </row>
    <row r="49" spans="3:11">
      <c r="C49" s="27" t="s">
        <v>1</v>
      </c>
      <c r="D49" s="3" t="str">
        <f>C49</f>
        <v>orange</v>
      </c>
    </row>
    <row r="50" spans="3:11">
      <c r="C50" s="28" t="s">
        <v>3</v>
      </c>
      <c r="D50" s="3" t="str">
        <f t="shared" ref="D50:D55" si="2">C50</f>
        <v>apple</v>
      </c>
    </row>
    <row r="51" spans="3:11">
      <c r="C51" s="29" t="s">
        <v>4</v>
      </c>
      <c r="D51" s="3" t="str">
        <f t="shared" si="2"/>
        <v>bread</v>
      </c>
    </row>
    <row r="52" spans="3:11">
      <c r="C52" s="30" t="s">
        <v>5</v>
      </c>
      <c r="D52" s="3" t="str">
        <f t="shared" si="2"/>
        <v xml:space="preserve">butter </v>
      </c>
    </row>
    <row r="53" spans="3:11">
      <c r="C53" s="31" t="s">
        <v>6</v>
      </c>
      <c r="D53" s="3" t="str">
        <f t="shared" si="2"/>
        <v>ham</v>
      </c>
    </row>
    <row r="54" spans="3:11">
      <c r="C54" s="32" t="s">
        <v>7</v>
      </c>
      <c r="D54" s="3" t="str">
        <f t="shared" si="2"/>
        <v>cheese</v>
      </c>
    </row>
    <row r="55" spans="3:11">
      <c r="C55" s="18" t="s">
        <v>8</v>
      </c>
      <c r="D55" s="3" t="str">
        <f t="shared" si="2"/>
        <v>coke</v>
      </c>
    </row>
    <row r="57" spans="3:11">
      <c r="C57" s="3"/>
      <c r="D57" s="26" t="s">
        <v>2</v>
      </c>
      <c r="E57" s="27" t="s">
        <v>1</v>
      </c>
      <c r="F57" s="28" t="s">
        <v>3</v>
      </c>
      <c r="G57" s="29" t="s">
        <v>4</v>
      </c>
      <c r="H57" s="30" t="s">
        <v>5</v>
      </c>
      <c r="I57" s="31" t="s">
        <v>6</v>
      </c>
      <c r="J57" s="32" t="s">
        <v>7</v>
      </c>
      <c r="K57" s="18" t="s">
        <v>8</v>
      </c>
    </row>
    <row r="58" spans="3:11">
      <c r="C58" s="26" t="s">
        <v>2</v>
      </c>
      <c r="D58" s="3" t="s">
        <v>37</v>
      </c>
      <c r="E58" s="3" t="s">
        <v>37</v>
      </c>
      <c r="F58" s="3" t="s">
        <v>37</v>
      </c>
      <c r="G58" s="3" t="s">
        <v>37</v>
      </c>
      <c r="H58" s="3" t="s">
        <v>37</v>
      </c>
      <c r="I58" s="3" t="s">
        <v>37</v>
      </c>
      <c r="J58" s="3" t="s">
        <v>37</v>
      </c>
      <c r="K58" s="3" t="s">
        <v>37</v>
      </c>
    </row>
    <row r="59" spans="3:11">
      <c r="C59" s="27" t="s">
        <v>1</v>
      </c>
      <c r="D59" s="4" t="str">
        <f>$C59&amp;" "&amp;D$57</f>
        <v>orange banana</v>
      </c>
      <c r="E59" s="3" t="s">
        <v>37</v>
      </c>
      <c r="F59" s="3" t="s">
        <v>37</v>
      </c>
      <c r="G59" s="3" t="s">
        <v>37</v>
      </c>
      <c r="H59" s="3" t="s">
        <v>37</v>
      </c>
      <c r="I59" s="3" t="s">
        <v>37</v>
      </c>
      <c r="J59" s="3" t="s">
        <v>37</v>
      </c>
      <c r="K59" s="3" t="s">
        <v>37</v>
      </c>
    </row>
    <row r="60" spans="3:11">
      <c r="C60" s="28" t="s">
        <v>3</v>
      </c>
      <c r="D60" s="4" t="str">
        <f t="shared" ref="D60:J65" si="3">$C60&amp;" "&amp;D$57</f>
        <v>apple banana</v>
      </c>
      <c r="E60" s="4" t="str">
        <f t="shared" si="3"/>
        <v>apple orange</v>
      </c>
      <c r="F60" s="3" t="s">
        <v>37</v>
      </c>
      <c r="G60" s="3" t="s">
        <v>37</v>
      </c>
      <c r="H60" s="3" t="s">
        <v>37</v>
      </c>
      <c r="I60" s="3" t="s">
        <v>37</v>
      </c>
      <c r="J60" s="3" t="s">
        <v>37</v>
      </c>
      <c r="K60" s="3" t="s">
        <v>37</v>
      </c>
    </row>
    <row r="61" spans="3:11">
      <c r="C61" s="29" t="s">
        <v>4</v>
      </c>
      <c r="D61" s="4" t="str">
        <f t="shared" si="3"/>
        <v>bread banana</v>
      </c>
      <c r="E61" s="4" t="str">
        <f t="shared" si="3"/>
        <v>bread orange</v>
      </c>
      <c r="F61" s="4" t="str">
        <f t="shared" si="3"/>
        <v>bread apple</v>
      </c>
      <c r="G61" s="3" t="s">
        <v>37</v>
      </c>
      <c r="H61" s="3" t="s">
        <v>37</v>
      </c>
      <c r="I61" s="3" t="s">
        <v>37</v>
      </c>
      <c r="J61" s="3" t="s">
        <v>37</v>
      </c>
      <c r="K61" s="3" t="s">
        <v>37</v>
      </c>
    </row>
    <row r="62" spans="3:11">
      <c r="C62" s="30" t="s">
        <v>5</v>
      </c>
      <c r="D62" s="4" t="str">
        <f t="shared" si="3"/>
        <v>butter  banana</v>
      </c>
      <c r="E62" s="4" t="str">
        <f t="shared" si="3"/>
        <v>butter  orange</v>
      </c>
      <c r="F62" s="4" t="str">
        <f t="shared" si="3"/>
        <v>butter  apple</v>
      </c>
      <c r="G62" s="4" t="str">
        <f t="shared" si="3"/>
        <v>butter  bread</v>
      </c>
      <c r="H62" s="3" t="s">
        <v>37</v>
      </c>
      <c r="I62" s="3" t="s">
        <v>37</v>
      </c>
      <c r="J62" s="3" t="s">
        <v>37</v>
      </c>
      <c r="K62" s="3" t="s">
        <v>37</v>
      </c>
    </row>
    <row r="63" spans="3:11">
      <c r="C63" s="31" t="s">
        <v>6</v>
      </c>
      <c r="D63" s="4" t="str">
        <f t="shared" si="3"/>
        <v>ham banana</v>
      </c>
      <c r="E63" s="4" t="str">
        <f t="shared" si="3"/>
        <v>ham orange</v>
      </c>
      <c r="F63" s="4" t="str">
        <f t="shared" si="3"/>
        <v>ham apple</v>
      </c>
      <c r="G63" s="4" t="str">
        <f t="shared" si="3"/>
        <v>ham bread</v>
      </c>
      <c r="H63" s="4" t="str">
        <f t="shared" si="3"/>
        <v xml:space="preserve">ham butter </v>
      </c>
      <c r="I63" s="3" t="s">
        <v>37</v>
      </c>
      <c r="J63" s="3" t="s">
        <v>37</v>
      </c>
      <c r="K63" s="3" t="s">
        <v>37</v>
      </c>
    </row>
    <row r="64" spans="3:11">
      <c r="C64" s="32" t="s">
        <v>7</v>
      </c>
      <c r="D64" s="4" t="str">
        <f t="shared" si="3"/>
        <v>cheese banana</v>
      </c>
      <c r="E64" s="4" t="str">
        <f t="shared" si="3"/>
        <v>cheese orange</v>
      </c>
      <c r="F64" s="4" t="str">
        <f t="shared" si="3"/>
        <v>cheese apple</v>
      </c>
      <c r="G64" s="4" t="str">
        <f t="shared" si="3"/>
        <v>cheese bread</v>
      </c>
      <c r="H64" s="4" t="str">
        <f t="shared" si="3"/>
        <v xml:space="preserve">cheese butter </v>
      </c>
      <c r="I64" s="4" t="str">
        <f t="shared" si="3"/>
        <v>cheese ham</v>
      </c>
      <c r="J64" s="4" t="s">
        <v>37</v>
      </c>
      <c r="K64" s="3" t="s">
        <v>37</v>
      </c>
    </row>
    <row r="65" spans="3:11">
      <c r="C65" s="18" t="s">
        <v>8</v>
      </c>
      <c r="D65" s="4" t="str">
        <f t="shared" si="3"/>
        <v>coke banana</v>
      </c>
      <c r="E65" s="4" t="str">
        <f t="shared" si="3"/>
        <v>coke orange</v>
      </c>
      <c r="F65" s="4" t="str">
        <f t="shared" si="3"/>
        <v>coke apple</v>
      </c>
      <c r="G65" s="4" t="str">
        <f t="shared" si="3"/>
        <v>coke bread</v>
      </c>
      <c r="H65" s="4" t="str">
        <f t="shared" si="3"/>
        <v xml:space="preserve">coke butter </v>
      </c>
      <c r="I65" s="4" t="str">
        <f t="shared" si="3"/>
        <v>coke ham</v>
      </c>
      <c r="J65" s="4" t="str">
        <f t="shared" si="3"/>
        <v>coke cheese</v>
      </c>
      <c r="K65" s="3" t="s">
        <v>37</v>
      </c>
    </row>
    <row r="69" spans="3:11">
      <c r="C69" s="3"/>
      <c r="D69" s="26" t="s">
        <v>2</v>
      </c>
      <c r="E69" s="27" t="s">
        <v>1</v>
      </c>
      <c r="F69" s="28" t="s">
        <v>3</v>
      </c>
      <c r="G69" s="29" t="s">
        <v>4</v>
      </c>
      <c r="H69" s="33" t="s">
        <v>5</v>
      </c>
      <c r="I69" s="31" t="s">
        <v>6</v>
      </c>
      <c r="J69" s="32" t="s">
        <v>7</v>
      </c>
      <c r="K69" s="18" t="s">
        <v>8</v>
      </c>
    </row>
    <row r="70" spans="3:11">
      <c r="C70" s="26" t="s">
        <v>9</v>
      </c>
      <c r="D70" s="3" t="s">
        <v>37</v>
      </c>
      <c r="E70" s="3" t="s">
        <v>37</v>
      </c>
      <c r="F70" s="3" t="s">
        <v>37</v>
      </c>
      <c r="G70" s="3" t="s">
        <v>37</v>
      </c>
      <c r="H70" s="3" t="s">
        <v>37</v>
      </c>
      <c r="I70" s="3" t="s">
        <v>37</v>
      </c>
      <c r="J70" s="3" t="s">
        <v>37</v>
      </c>
      <c r="K70" s="3" t="s">
        <v>37</v>
      </c>
    </row>
    <row r="71" spans="3:11">
      <c r="C71" s="26" t="s">
        <v>10</v>
      </c>
      <c r="D71" s="3" t="s">
        <v>37</v>
      </c>
      <c r="E71" s="3" t="s">
        <v>37</v>
      </c>
      <c r="F71" s="3" t="s">
        <v>37</v>
      </c>
      <c r="G71" s="3" t="s">
        <v>37</v>
      </c>
      <c r="H71" s="3" t="s">
        <v>37</v>
      </c>
      <c r="I71" s="3" t="s">
        <v>37</v>
      </c>
      <c r="J71" s="3" t="s">
        <v>37</v>
      </c>
      <c r="K71" s="3" t="s">
        <v>37</v>
      </c>
    </row>
    <row r="72" spans="3:11">
      <c r="C72" s="26" t="s">
        <v>11</v>
      </c>
      <c r="D72" s="3" t="s">
        <v>37</v>
      </c>
      <c r="E72" s="3" t="s">
        <v>37</v>
      </c>
      <c r="F72" s="3" t="s">
        <v>37</v>
      </c>
      <c r="G72" s="3" t="s">
        <v>37</v>
      </c>
      <c r="H72" s="3" t="s">
        <v>37</v>
      </c>
      <c r="I72" s="3" t="s">
        <v>37</v>
      </c>
      <c r="J72" s="3" t="s">
        <v>37</v>
      </c>
      <c r="K72" s="3" t="s">
        <v>37</v>
      </c>
    </row>
    <row r="73" spans="3:11">
      <c r="C73" s="26" t="s">
        <v>12</v>
      </c>
      <c r="D73" s="3" t="s">
        <v>37</v>
      </c>
      <c r="E73" s="3" t="s">
        <v>37</v>
      </c>
      <c r="F73" s="3" t="s">
        <v>37</v>
      </c>
      <c r="G73" s="3" t="s">
        <v>37</v>
      </c>
      <c r="H73" s="3" t="s">
        <v>37</v>
      </c>
      <c r="I73" s="3" t="s">
        <v>37</v>
      </c>
      <c r="J73" s="3" t="s">
        <v>37</v>
      </c>
      <c r="K73" s="3" t="s">
        <v>37</v>
      </c>
    </row>
    <row r="74" spans="3:11">
      <c r="C74" s="26" t="s">
        <v>13</v>
      </c>
      <c r="D74" s="3" t="s">
        <v>37</v>
      </c>
      <c r="E74" s="3" t="s">
        <v>37</v>
      </c>
      <c r="F74" s="3" t="s">
        <v>37</v>
      </c>
      <c r="G74" s="3" t="s">
        <v>37</v>
      </c>
      <c r="H74" s="3" t="s">
        <v>37</v>
      </c>
      <c r="I74" s="3" t="s">
        <v>37</v>
      </c>
      <c r="J74" s="3" t="s">
        <v>37</v>
      </c>
      <c r="K74" s="3" t="s">
        <v>37</v>
      </c>
    </row>
    <row r="75" spans="3:11">
      <c r="C75" s="26" t="s">
        <v>14</v>
      </c>
      <c r="D75" s="3" t="s">
        <v>37</v>
      </c>
      <c r="E75" s="3" t="s">
        <v>37</v>
      </c>
      <c r="F75" s="3" t="s">
        <v>37</v>
      </c>
      <c r="G75" s="3" t="s">
        <v>37</v>
      </c>
      <c r="H75" s="3" t="s">
        <v>37</v>
      </c>
      <c r="I75" s="3" t="s">
        <v>37</v>
      </c>
      <c r="J75" s="3" t="s">
        <v>37</v>
      </c>
      <c r="K75" s="3" t="s">
        <v>37</v>
      </c>
    </row>
    <row r="76" spans="3:11">
      <c r="C76" s="26" t="s">
        <v>15</v>
      </c>
      <c r="D76" s="3" t="s">
        <v>37</v>
      </c>
      <c r="E76" s="3" t="s">
        <v>37</v>
      </c>
      <c r="F76" s="3" t="s">
        <v>37</v>
      </c>
      <c r="G76" s="3" t="s">
        <v>37</v>
      </c>
      <c r="H76" s="3" t="s">
        <v>37</v>
      </c>
      <c r="I76" s="3" t="s">
        <v>37</v>
      </c>
      <c r="J76" s="3" t="s">
        <v>37</v>
      </c>
      <c r="K76" s="3" t="s">
        <v>37</v>
      </c>
    </row>
    <row r="77" spans="3:11">
      <c r="C77" s="27" t="s">
        <v>16</v>
      </c>
      <c r="D77" s="3" t="s">
        <v>38</v>
      </c>
      <c r="E77" s="3" t="s">
        <v>37</v>
      </c>
      <c r="F77" s="3" t="s">
        <v>37</v>
      </c>
      <c r="G77" s="3" t="s">
        <v>37</v>
      </c>
      <c r="H77" s="3" t="s">
        <v>37</v>
      </c>
      <c r="I77" s="3" t="s">
        <v>37</v>
      </c>
      <c r="J77" s="3" t="s">
        <v>37</v>
      </c>
      <c r="K77" s="3" t="s">
        <v>37</v>
      </c>
    </row>
    <row r="78" spans="3:11">
      <c r="C78" s="27" t="s">
        <v>17</v>
      </c>
      <c r="D78" s="3" t="s">
        <v>39</v>
      </c>
      <c r="E78" s="3" t="s">
        <v>37</v>
      </c>
      <c r="F78" s="3" t="s">
        <v>37</v>
      </c>
      <c r="G78" s="3" t="s">
        <v>37</v>
      </c>
      <c r="H78" s="3" t="s">
        <v>37</v>
      </c>
      <c r="I78" s="3" t="s">
        <v>37</v>
      </c>
      <c r="J78" s="3" t="s">
        <v>37</v>
      </c>
      <c r="K78" s="3" t="s">
        <v>37</v>
      </c>
    </row>
    <row r="79" spans="3:11">
      <c r="C79" s="27" t="s">
        <v>18</v>
      </c>
      <c r="D79" s="3" t="s">
        <v>40</v>
      </c>
      <c r="E79" s="3" t="s">
        <v>37</v>
      </c>
      <c r="F79" s="3" t="s">
        <v>37</v>
      </c>
      <c r="G79" s="3" t="s">
        <v>37</v>
      </c>
      <c r="H79" s="3" t="s">
        <v>37</v>
      </c>
      <c r="I79" s="3" t="s">
        <v>37</v>
      </c>
      <c r="J79" s="3" t="s">
        <v>37</v>
      </c>
      <c r="K79" s="3" t="s">
        <v>37</v>
      </c>
    </row>
    <row r="80" spans="3:11">
      <c r="C80" s="27" t="s">
        <v>19</v>
      </c>
      <c r="D80" s="3" t="s">
        <v>41</v>
      </c>
      <c r="E80" s="3" t="s">
        <v>37</v>
      </c>
      <c r="F80" s="3" t="s">
        <v>37</v>
      </c>
      <c r="G80" s="3" t="s">
        <v>37</v>
      </c>
      <c r="H80" s="3" t="s">
        <v>37</v>
      </c>
      <c r="I80" s="3" t="s">
        <v>37</v>
      </c>
      <c r="J80" s="3" t="s">
        <v>37</v>
      </c>
      <c r="K80" s="3" t="s">
        <v>37</v>
      </c>
    </row>
    <row r="81" spans="3:11">
      <c r="C81" s="27" t="s">
        <v>20</v>
      </c>
      <c r="D81" s="3" t="s">
        <v>42</v>
      </c>
      <c r="E81" s="3" t="s">
        <v>37</v>
      </c>
      <c r="F81" s="3" t="s">
        <v>37</v>
      </c>
      <c r="G81" s="3" t="s">
        <v>37</v>
      </c>
      <c r="H81" s="3" t="s">
        <v>37</v>
      </c>
      <c r="I81" s="3" t="s">
        <v>37</v>
      </c>
      <c r="J81" s="3" t="s">
        <v>37</v>
      </c>
      <c r="K81" s="3" t="s">
        <v>37</v>
      </c>
    </row>
    <row r="82" spans="3:11">
      <c r="C82" s="27" t="s">
        <v>21</v>
      </c>
      <c r="D82" s="3" t="s">
        <v>43</v>
      </c>
      <c r="E82" s="3" t="s">
        <v>37</v>
      </c>
      <c r="F82" s="3" t="s">
        <v>37</v>
      </c>
      <c r="G82" s="3" t="s">
        <v>37</v>
      </c>
      <c r="H82" s="3" t="s">
        <v>37</v>
      </c>
      <c r="I82" s="3" t="s">
        <v>37</v>
      </c>
      <c r="J82" s="3" t="s">
        <v>37</v>
      </c>
      <c r="K82" s="3" t="s">
        <v>37</v>
      </c>
    </row>
    <row r="83" spans="3:11">
      <c r="C83" s="28" t="s">
        <v>22</v>
      </c>
      <c r="D83" s="3" t="s">
        <v>44</v>
      </c>
      <c r="E83" s="3" t="s">
        <v>45</v>
      </c>
      <c r="F83" s="3" t="s">
        <v>37</v>
      </c>
      <c r="G83" s="3" t="s">
        <v>37</v>
      </c>
      <c r="H83" s="3" t="s">
        <v>37</v>
      </c>
      <c r="I83" s="3" t="s">
        <v>37</v>
      </c>
      <c r="J83" s="3" t="s">
        <v>37</v>
      </c>
      <c r="K83" s="3" t="s">
        <v>37</v>
      </c>
    </row>
    <row r="84" spans="3:11">
      <c r="C84" s="28" t="s">
        <v>23</v>
      </c>
      <c r="D84" s="3" t="s">
        <v>46</v>
      </c>
      <c r="E84" s="3" t="s">
        <v>47</v>
      </c>
      <c r="F84" s="3" t="s">
        <v>37</v>
      </c>
      <c r="G84" s="3" t="s">
        <v>37</v>
      </c>
      <c r="H84" s="3" t="s">
        <v>37</v>
      </c>
      <c r="I84" s="3" t="s">
        <v>37</v>
      </c>
      <c r="J84" s="3" t="s">
        <v>37</v>
      </c>
      <c r="K84" s="3" t="s">
        <v>37</v>
      </c>
    </row>
    <row r="85" spans="3:11">
      <c r="C85" s="28" t="s">
        <v>24</v>
      </c>
      <c r="D85" s="3" t="s">
        <v>48</v>
      </c>
      <c r="E85" s="3" t="s">
        <v>49</v>
      </c>
      <c r="F85" s="3" t="s">
        <v>37</v>
      </c>
      <c r="G85" s="3" t="s">
        <v>37</v>
      </c>
      <c r="H85" s="3" t="s">
        <v>37</v>
      </c>
      <c r="I85" s="3" t="s">
        <v>37</v>
      </c>
      <c r="J85" s="3" t="s">
        <v>37</v>
      </c>
      <c r="K85" s="3" t="s">
        <v>37</v>
      </c>
    </row>
    <row r="86" spans="3:11">
      <c r="C86" s="28" t="s">
        <v>25</v>
      </c>
      <c r="D86" s="3" t="s">
        <v>50</v>
      </c>
      <c r="E86" s="3" t="s">
        <v>51</v>
      </c>
      <c r="F86" s="3" t="s">
        <v>37</v>
      </c>
      <c r="G86" s="3" t="s">
        <v>37</v>
      </c>
      <c r="H86" s="3" t="s">
        <v>37</v>
      </c>
      <c r="I86" s="3" t="s">
        <v>37</v>
      </c>
      <c r="J86" s="3" t="s">
        <v>37</v>
      </c>
      <c r="K86" s="3" t="s">
        <v>37</v>
      </c>
    </row>
    <row r="87" spans="3:11">
      <c r="C87" s="28" t="s">
        <v>26</v>
      </c>
      <c r="D87" s="3" t="s">
        <v>52</v>
      </c>
      <c r="E87" s="3" t="s">
        <v>53</v>
      </c>
      <c r="F87" s="3" t="s">
        <v>37</v>
      </c>
      <c r="G87" s="3" t="s">
        <v>37</v>
      </c>
      <c r="H87" s="3" t="s">
        <v>37</v>
      </c>
      <c r="I87" s="3" t="s">
        <v>37</v>
      </c>
      <c r="J87" s="3" t="s">
        <v>37</v>
      </c>
      <c r="K87" s="3" t="s">
        <v>37</v>
      </c>
    </row>
    <row r="88" spans="3:11">
      <c r="C88" s="29" t="s">
        <v>27</v>
      </c>
      <c r="D88" s="3" t="s">
        <v>54</v>
      </c>
      <c r="E88" s="3" t="s">
        <v>55</v>
      </c>
      <c r="F88" s="3" t="s">
        <v>56</v>
      </c>
      <c r="G88" s="3" t="s">
        <v>37</v>
      </c>
      <c r="H88" s="3" t="s">
        <v>37</v>
      </c>
      <c r="I88" s="3" t="s">
        <v>37</v>
      </c>
      <c r="J88" s="3" t="s">
        <v>37</v>
      </c>
      <c r="K88" s="3" t="s">
        <v>37</v>
      </c>
    </row>
    <row r="89" spans="3:11">
      <c r="C89" s="29" t="s">
        <v>28</v>
      </c>
      <c r="D89" s="3" t="s">
        <v>57</v>
      </c>
      <c r="E89" s="3" t="s">
        <v>58</v>
      </c>
      <c r="F89" s="3" t="s">
        <v>59</v>
      </c>
      <c r="G89" s="3" t="s">
        <v>37</v>
      </c>
      <c r="H89" s="3" t="s">
        <v>37</v>
      </c>
      <c r="I89" s="3" t="s">
        <v>37</v>
      </c>
      <c r="J89" s="3" t="s">
        <v>37</v>
      </c>
      <c r="K89" s="3" t="s">
        <v>37</v>
      </c>
    </row>
    <row r="90" spans="3:11">
      <c r="C90" s="29" t="s">
        <v>29</v>
      </c>
      <c r="D90" s="3" t="s">
        <v>60</v>
      </c>
      <c r="E90" s="3" t="s">
        <v>61</v>
      </c>
      <c r="F90" s="3" t="s">
        <v>62</v>
      </c>
      <c r="G90" s="3" t="s">
        <v>37</v>
      </c>
      <c r="H90" s="3" t="s">
        <v>37</v>
      </c>
      <c r="I90" s="3" t="s">
        <v>37</v>
      </c>
      <c r="J90" s="3" t="s">
        <v>37</v>
      </c>
      <c r="K90" s="3" t="s">
        <v>37</v>
      </c>
    </row>
    <row r="91" spans="3:11">
      <c r="C91" s="29" t="s">
        <v>30</v>
      </c>
      <c r="D91" s="3" t="s">
        <v>63</v>
      </c>
      <c r="E91" s="3" t="s">
        <v>64</v>
      </c>
      <c r="F91" s="3" t="s">
        <v>65</v>
      </c>
      <c r="G91" s="3" t="s">
        <v>37</v>
      </c>
      <c r="H91" s="3" t="s">
        <v>37</v>
      </c>
      <c r="I91" s="3" t="s">
        <v>37</v>
      </c>
      <c r="J91" s="3" t="s">
        <v>37</v>
      </c>
      <c r="K91" s="3" t="s">
        <v>37</v>
      </c>
    </row>
    <row r="92" spans="3:11">
      <c r="C92" s="33" t="s">
        <v>31</v>
      </c>
      <c r="D92" s="3" t="s">
        <v>66</v>
      </c>
      <c r="E92" s="3" t="s">
        <v>67</v>
      </c>
      <c r="F92" s="3" t="s">
        <v>68</v>
      </c>
      <c r="G92" s="3" t="s">
        <v>69</v>
      </c>
      <c r="H92" s="3" t="s">
        <v>37</v>
      </c>
      <c r="I92" s="3" t="s">
        <v>37</v>
      </c>
      <c r="J92" s="3" t="s">
        <v>37</v>
      </c>
      <c r="K92" s="3" t="s">
        <v>37</v>
      </c>
    </row>
    <row r="93" spans="3:11">
      <c r="C93" s="33" t="s">
        <v>32</v>
      </c>
      <c r="D93" s="3" t="s">
        <v>70</v>
      </c>
      <c r="E93" s="3" t="s">
        <v>71</v>
      </c>
      <c r="F93" s="3" t="s">
        <v>72</v>
      </c>
      <c r="G93" s="3" t="s">
        <v>73</v>
      </c>
      <c r="H93" s="3" t="s">
        <v>37</v>
      </c>
      <c r="I93" s="3" t="s">
        <v>37</v>
      </c>
      <c r="J93" s="3" t="s">
        <v>37</v>
      </c>
      <c r="K93" s="3" t="s">
        <v>37</v>
      </c>
    </row>
    <row r="94" spans="3:11">
      <c r="C94" s="33" t="s">
        <v>33</v>
      </c>
      <c r="D94" s="3" t="s">
        <v>74</v>
      </c>
      <c r="E94" s="3" t="s">
        <v>75</v>
      </c>
      <c r="F94" s="3" t="s">
        <v>76</v>
      </c>
      <c r="G94" s="3" t="s">
        <v>77</v>
      </c>
      <c r="H94" s="3" t="s">
        <v>37</v>
      </c>
      <c r="I94" s="3" t="s">
        <v>37</v>
      </c>
      <c r="J94" s="3" t="s">
        <v>37</v>
      </c>
      <c r="K94" s="3" t="s">
        <v>37</v>
      </c>
    </row>
    <row r="95" spans="3:11">
      <c r="C95" s="31" t="s">
        <v>34</v>
      </c>
      <c r="D95" s="3" t="s">
        <v>78</v>
      </c>
      <c r="E95" s="3" t="s">
        <v>79</v>
      </c>
      <c r="F95" s="3" t="s">
        <v>80</v>
      </c>
      <c r="G95" s="3" t="s">
        <v>81</v>
      </c>
      <c r="H95" s="3" t="s">
        <v>82</v>
      </c>
      <c r="I95" s="3" t="s">
        <v>37</v>
      </c>
      <c r="J95" s="3" t="s">
        <v>37</v>
      </c>
      <c r="K95" s="3" t="s">
        <v>37</v>
      </c>
    </row>
    <row r="96" spans="3:11">
      <c r="C96" s="31" t="s">
        <v>35</v>
      </c>
      <c r="D96" s="3" t="s">
        <v>83</v>
      </c>
      <c r="E96" s="3" t="s">
        <v>84</v>
      </c>
      <c r="F96" s="3" t="s">
        <v>85</v>
      </c>
      <c r="G96" s="3" t="s">
        <v>86</v>
      </c>
      <c r="H96" s="3" t="s">
        <v>87</v>
      </c>
      <c r="I96" s="3" t="s">
        <v>37</v>
      </c>
      <c r="J96" s="3" t="s">
        <v>37</v>
      </c>
      <c r="K96" s="3" t="s">
        <v>37</v>
      </c>
    </row>
    <row r="97" spans="3:11">
      <c r="C97" s="32" t="s">
        <v>36</v>
      </c>
      <c r="D97" s="3" t="s">
        <v>88</v>
      </c>
      <c r="E97" s="3" t="s">
        <v>89</v>
      </c>
      <c r="F97" s="3" t="s">
        <v>90</v>
      </c>
      <c r="G97" s="3" t="s">
        <v>91</v>
      </c>
      <c r="H97" s="3" t="s">
        <v>92</v>
      </c>
      <c r="I97" s="3" t="s">
        <v>93</v>
      </c>
      <c r="J97" s="3" t="s">
        <v>37</v>
      </c>
      <c r="K97" s="3" t="s">
        <v>37</v>
      </c>
    </row>
    <row r="98" spans="3:11">
      <c r="C98" s="3"/>
      <c r="D98" s="3"/>
      <c r="E98" s="3"/>
      <c r="F98" s="3"/>
      <c r="G98" s="3"/>
      <c r="H98" s="3"/>
      <c r="I98" s="3"/>
      <c r="J98" s="3"/>
      <c r="K98" s="3"/>
    </row>
    <row r="100" spans="3:11">
      <c r="D100" s="26" t="s">
        <v>2</v>
      </c>
      <c r="E100" s="27" t="s">
        <v>1</v>
      </c>
      <c r="F100" s="28" t="s">
        <v>3</v>
      </c>
      <c r="G100" s="29" t="s">
        <v>4</v>
      </c>
      <c r="H100" s="33" t="s">
        <v>5</v>
      </c>
      <c r="I100" s="31" t="s">
        <v>6</v>
      </c>
      <c r="J100" s="32" t="s">
        <v>7</v>
      </c>
      <c r="K100" s="18" t="s">
        <v>8</v>
      </c>
    </row>
    <row r="101" spans="3:11">
      <c r="C101" s="26" t="s">
        <v>38</v>
      </c>
      <c r="D101" s="2" t="s">
        <v>37</v>
      </c>
      <c r="E101" s="2" t="s">
        <v>37</v>
      </c>
      <c r="F101" s="2" t="s">
        <v>37</v>
      </c>
      <c r="G101" s="2" t="s">
        <v>37</v>
      </c>
      <c r="H101" s="2" t="s">
        <v>37</v>
      </c>
      <c r="I101" s="2" t="s">
        <v>37</v>
      </c>
      <c r="J101" s="2" t="s">
        <v>37</v>
      </c>
      <c r="K101" s="2" t="s">
        <v>37</v>
      </c>
    </row>
    <row r="102" spans="3:11">
      <c r="C102" s="26" t="s">
        <v>39</v>
      </c>
      <c r="D102" s="2" t="s">
        <v>37</v>
      </c>
      <c r="E102" s="2" t="s">
        <v>37</v>
      </c>
      <c r="F102" s="2" t="s">
        <v>37</v>
      </c>
      <c r="G102" s="2" t="s">
        <v>37</v>
      </c>
      <c r="H102" s="2" t="s">
        <v>37</v>
      </c>
      <c r="I102" s="2" t="s">
        <v>37</v>
      </c>
      <c r="J102" s="2" t="s">
        <v>37</v>
      </c>
      <c r="K102" s="2" t="s">
        <v>37</v>
      </c>
    </row>
    <row r="103" spans="3:11">
      <c r="C103" s="26" t="s">
        <v>40</v>
      </c>
      <c r="D103" s="2" t="s">
        <v>37</v>
      </c>
      <c r="E103" s="2" t="s">
        <v>37</v>
      </c>
      <c r="F103" s="2" t="s">
        <v>37</v>
      </c>
      <c r="G103" s="2" t="s">
        <v>37</v>
      </c>
      <c r="H103" s="2" t="s">
        <v>37</v>
      </c>
      <c r="I103" s="2" t="s">
        <v>37</v>
      </c>
      <c r="J103" s="2" t="s">
        <v>37</v>
      </c>
      <c r="K103" s="2" t="s">
        <v>37</v>
      </c>
    </row>
    <row r="104" spans="3:11">
      <c r="C104" s="26" t="s">
        <v>41</v>
      </c>
      <c r="D104" s="2" t="s">
        <v>37</v>
      </c>
      <c r="E104" s="2" t="s">
        <v>37</v>
      </c>
      <c r="F104" s="2" t="s">
        <v>37</v>
      </c>
      <c r="G104" s="2" t="s">
        <v>37</v>
      </c>
      <c r="H104" s="2" t="s">
        <v>37</v>
      </c>
      <c r="I104" s="2" t="s">
        <v>37</v>
      </c>
      <c r="J104" s="2" t="s">
        <v>37</v>
      </c>
      <c r="K104" s="2" t="s">
        <v>37</v>
      </c>
    </row>
    <row r="105" spans="3:11">
      <c r="C105" s="26" t="s">
        <v>42</v>
      </c>
      <c r="D105" s="2" t="s">
        <v>37</v>
      </c>
      <c r="E105" s="2" t="s">
        <v>37</v>
      </c>
      <c r="F105" s="2" t="s">
        <v>37</v>
      </c>
      <c r="G105" s="2" t="s">
        <v>37</v>
      </c>
      <c r="H105" s="2" t="s">
        <v>37</v>
      </c>
      <c r="I105" s="2" t="s">
        <v>37</v>
      </c>
      <c r="J105" s="2" t="s">
        <v>37</v>
      </c>
      <c r="K105" s="2" t="s">
        <v>37</v>
      </c>
    </row>
    <row r="106" spans="3:11">
      <c r="C106" s="26" t="s">
        <v>43</v>
      </c>
      <c r="D106" s="2" t="s">
        <v>37</v>
      </c>
      <c r="E106" s="2" t="s">
        <v>37</v>
      </c>
      <c r="F106" s="2" t="s">
        <v>37</v>
      </c>
      <c r="G106" s="2" t="s">
        <v>37</v>
      </c>
      <c r="H106" s="2" t="s">
        <v>37</v>
      </c>
      <c r="I106" s="2" t="s">
        <v>37</v>
      </c>
      <c r="J106" s="2" t="s">
        <v>37</v>
      </c>
      <c r="K106" s="2" t="s">
        <v>37</v>
      </c>
    </row>
    <row r="107" spans="3:11">
      <c r="C107" s="26" t="s">
        <v>44</v>
      </c>
      <c r="D107" s="2" t="s">
        <v>37</v>
      </c>
      <c r="E107" s="2" t="s">
        <v>37</v>
      </c>
      <c r="F107" s="2" t="s">
        <v>37</v>
      </c>
      <c r="G107" s="2" t="s">
        <v>37</v>
      </c>
      <c r="H107" s="2" t="s">
        <v>37</v>
      </c>
      <c r="I107" s="2" t="s">
        <v>37</v>
      </c>
      <c r="J107" s="2" t="s">
        <v>37</v>
      </c>
      <c r="K107" s="2" t="s">
        <v>37</v>
      </c>
    </row>
    <row r="108" spans="3:11">
      <c r="C108" s="26" t="s">
        <v>46</v>
      </c>
      <c r="D108" s="2" t="s">
        <v>37</v>
      </c>
      <c r="E108" s="2" t="s">
        <v>37</v>
      </c>
      <c r="F108" s="2" t="s">
        <v>37</v>
      </c>
      <c r="G108" s="2" t="s">
        <v>37</v>
      </c>
      <c r="H108" s="2" t="s">
        <v>37</v>
      </c>
      <c r="I108" s="2" t="s">
        <v>37</v>
      </c>
      <c r="J108" s="2" t="s">
        <v>37</v>
      </c>
      <c r="K108" s="2" t="s">
        <v>37</v>
      </c>
    </row>
    <row r="109" spans="3:11">
      <c r="C109" s="26" t="s">
        <v>48</v>
      </c>
      <c r="D109" s="2" t="s">
        <v>37</v>
      </c>
      <c r="E109" s="2" t="s">
        <v>37</v>
      </c>
      <c r="F109" s="2" t="s">
        <v>37</v>
      </c>
      <c r="G109" s="2" t="s">
        <v>37</v>
      </c>
      <c r="H109" s="2" t="s">
        <v>37</v>
      </c>
      <c r="I109" s="2" t="s">
        <v>37</v>
      </c>
      <c r="J109" s="2" t="s">
        <v>37</v>
      </c>
      <c r="K109" s="2" t="s">
        <v>37</v>
      </c>
    </row>
    <row r="110" spans="3:11">
      <c r="C110" s="26" t="s">
        <v>50</v>
      </c>
      <c r="D110" s="2" t="s">
        <v>37</v>
      </c>
      <c r="E110" s="2" t="s">
        <v>37</v>
      </c>
      <c r="F110" s="2" t="s">
        <v>37</v>
      </c>
      <c r="G110" s="2" t="s">
        <v>37</v>
      </c>
      <c r="H110" s="2" t="s">
        <v>37</v>
      </c>
      <c r="I110" s="2" t="s">
        <v>37</v>
      </c>
      <c r="J110" s="2" t="s">
        <v>37</v>
      </c>
      <c r="K110" s="2" t="s">
        <v>37</v>
      </c>
    </row>
    <row r="111" spans="3:11">
      <c r="C111" s="26" t="s">
        <v>52</v>
      </c>
      <c r="D111" s="2" t="s">
        <v>37</v>
      </c>
      <c r="E111" s="2" t="s">
        <v>37</v>
      </c>
      <c r="F111" s="2" t="s">
        <v>37</v>
      </c>
      <c r="G111" s="2" t="s">
        <v>37</v>
      </c>
      <c r="H111" s="2" t="s">
        <v>37</v>
      </c>
      <c r="I111" s="2" t="s">
        <v>37</v>
      </c>
      <c r="J111" s="2" t="s">
        <v>37</v>
      </c>
      <c r="K111" s="2" t="s">
        <v>37</v>
      </c>
    </row>
    <row r="112" spans="3:11">
      <c r="C112" s="26" t="s">
        <v>54</v>
      </c>
      <c r="D112" s="2" t="s">
        <v>37</v>
      </c>
      <c r="E112" s="2" t="s">
        <v>37</v>
      </c>
      <c r="F112" s="2" t="s">
        <v>37</v>
      </c>
      <c r="G112" s="2" t="s">
        <v>37</v>
      </c>
      <c r="H112" s="2" t="s">
        <v>37</v>
      </c>
      <c r="I112" s="2" t="s">
        <v>37</v>
      </c>
      <c r="J112" s="2" t="s">
        <v>37</v>
      </c>
      <c r="K112" s="2" t="s">
        <v>37</v>
      </c>
    </row>
    <row r="113" spans="3:11">
      <c r="C113" s="26" t="s">
        <v>57</v>
      </c>
      <c r="D113" s="2" t="s">
        <v>37</v>
      </c>
      <c r="E113" s="2" t="s">
        <v>37</v>
      </c>
      <c r="F113" s="2" t="s">
        <v>37</v>
      </c>
      <c r="G113" s="2" t="s">
        <v>37</v>
      </c>
      <c r="H113" s="2" t="s">
        <v>37</v>
      </c>
      <c r="I113" s="2" t="s">
        <v>37</v>
      </c>
      <c r="J113" s="2" t="s">
        <v>37</v>
      </c>
      <c r="K113" s="2" t="s">
        <v>37</v>
      </c>
    </row>
    <row r="114" spans="3:11">
      <c r="C114" s="26" t="s">
        <v>60</v>
      </c>
      <c r="D114" s="2" t="s">
        <v>37</v>
      </c>
      <c r="E114" s="2" t="s">
        <v>37</v>
      </c>
      <c r="F114" s="2" t="s">
        <v>37</v>
      </c>
      <c r="G114" s="2" t="s">
        <v>37</v>
      </c>
      <c r="H114" s="2" t="s">
        <v>37</v>
      </c>
      <c r="I114" s="2" t="s">
        <v>37</v>
      </c>
      <c r="J114" s="2" t="s">
        <v>37</v>
      </c>
      <c r="K114" s="2" t="s">
        <v>37</v>
      </c>
    </row>
    <row r="115" spans="3:11">
      <c r="C115" s="26" t="s">
        <v>63</v>
      </c>
      <c r="D115" s="2" t="s">
        <v>37</v>
      </c>
      <c r="E115" s="2" t="s">
        <v>37</v>
      </c>
      <c r="F115" s="2" t="s">
        <v>37</v>
      </c>
      <c r="G115" s="2" t="s">
        <v>37</v>
      </c>
      <c r="H115" s="2" t="s">
        <v>37</v>
      </c>
      <c r="I115" s="2" t="s">
        <v>37</v>
      </c>
      <c r="J115" s="2" t="s">
        <v>37</v>
      </c>
      <c r="K115" s="2" t="s">
        <v>37</v>
      </c>
    </row>
    <row r="116" spans="3:11">
      <c r="C116" s="26" t="s">
        <v>66</v>
      </c>
      <c r="D116" s="2" t="s">
        <v>37</v>
      </c>
      <c r="E116" s="2" t="s">
        <v>37</v>
      </c>
      <c r="F116" s="2" t="s">
        <v>37</v>
      </c>
      <c r="G116" s="2" t="s">
        <v>37</v>
      </c>
      <c r="H116" s="2" t="s">
        <v>37</v>
      </c>
      <c r="I116" s="2" t="s">
        <v>37</v>
      </c>
      <c r="J116" s="2" t="s">
        <v>37</v>
      </c>
      <c r="K116" s="2" t="s">
        <v>37</v>
      </c>
    </row>
    <row r="117" spans="3:11">
      <c r="C117" s="26" t="s">
        <v>70</v>
      </c>
      <c r="D117" s="2" t="s">
        <v>37</v>
      </c>
      <c r="E117" s="2" t="s">
        <v>37</v>
      </c>
      <c r="F117" s="2" t="s">
        <v>37</v>
      </c>
      <c r="G117" s="2" t="s">
        <v>37</v>
      </c>
      <c r="H117" s="2" t="s">
        <v>37</v>
      </c>
      <c r="I117" s="2" t="s">
        <v>37</v>
      </c>
      <c r="J117" s="2" t="s">
        <v>37</v>
      </c>
      <c r="K117" s="2" t="s">
        <v>37</v>
      </c>
    </row>
    <row r="118" spans="3:11">
      <c r="C118" s="26" t="s">
        <v>74</v>
      </c>
      <c r="D118" s="2" t="s">
        <v>37</v>
      </c>
      <c r="E118" s="2" t="s">
        <v>37</v>
      </c>
      <c r="F118" s="2" t="s">
        <v>37</v>
      </c>
      <c r="G118" s="2" t="s">
        <v>37</v>
      </c>
      <c r="H118" s="2" t="s">
        <v>37</v>
      </c>
      <c r="I118" s="2" t="s">
        <v>37</v>
      </c>
      <c r="J118" s="2" t="s">
        <v>37</v>
      </c>
      <c r="K118" s="2" t="s">
        <v>37</v>
      </c>
    </row>
    <row r="119" spans="3:11">
      <c r="C119" s="26" t="s">
        <v>78</v>
      </c>
      <c r="D119" s="2" t="s">
        <v>37</v>
      </c>
      <c r="E119" s="2" t="s">
        <v>37</v>
      </c>
      <c r="F119" s="2" t="s">
        <v>37</v>
      </c>
      <c r="G119" s="2" t="s">
        <v>37</v>
      </c>
      <c r="H119" s="2" t="s">
        <v>37</v>
      </c>
      <c r="I119" s="2" t="s">
        <v>37</v>
      </c>
      <c r="J119" s="2" t="s">
        <v>37</v>
      </c>
      <c r="K119" s="2" t="s">
        <v>37</v>
      </c>
    </row>
    <row r="120" spans="3:11">
      <c r="C120" s="26" t="s">
        <v>83</v>
      </c>
      <c r="D120" s="2" t="s">
        <v>37</v>
      </c>
      <c r="E120" s="2" t="s">
        <v>37</v>
      </c>
      <c r="F120" s="2" t="s">
        <v>37</v>
      </c>
      <c r="G120" s="2" t="s">
        <v>37</v>
      </c>
      <c r="H120" s="2" t="s">
        <v>37</v>
      </c>
      <c r="I120" s="2" t="s">
        <v>37</v>
      </c>
      <c r="J120" s="2" t="s">
        <v>37</v>
      </c>
      <c r="K120" s="2" t="s">
        <v>37</v>
      </c>
    </row>
    <row r="121" spans="3:11">
      <c r="C121" s="26" t="s">
        <v>88</v>
      </c>
      <c r="D121" s="2" t="s">
        <v>37</v>
      </c>
      <c r="E121" s="2" t="s">
        <v>37</v>
      </c>
      <c r="F121" s="2" t="s">
        <v>37</v>
      </c>
      <c r="G121" s="2" t="s">
        <v>37</v>
      </c>
      <c r="H121" s="2" t="s">
        <v>37</v>
      </c>
      <c r="I121" s="2" t="s">
        <v>37</v>
      </c>
      <c r="J121" s="2" t="s">
        <v>37</v>
      </c>
      <c r="K121" s="2" t="s">
        <v>37</v>
      </c>
    </row>
    <row r="122" spans="3:11">
      <c r="C122" s="27" t="s">
        <v>45</v>
      </c>
      <c r="D122" s="2" t="s">
        <v>94</v>
      </c>
      <c r="E122" s="2" t="s">
        <v>37</v>
      </c>
      <c r="F122" s="2" t="s">
        <v>37</v>
      </c>
      <c r="G122" s="2" t="s">
        <v>37</v>
      </c>
      <c r="H122" s="2" t="s">
        <v>37</v>
      </c>
      <c r="I122" s="2" t="s">
        <v>37</v>
      </c>
      <c r="J122" s="2" t="s">
        <v>37</v>
      </c>
      <c r="K122" s="2" t="s">
        <v>37</v>
      </c>
    </row>
    <row r="123" spans="3:11">
      <c r="C123" s="27" t="s">
        <v>47</v>
      </c>
      <c r="D123" s="2" t="s">
        <v>95</v>
      </c>
      <c r="E123" s="2" t="s">
        <v>37</v>
      </c>
      <c r="F123" s="2" t="s">
        <v>37</v>
      </c>
      <c r="G123" s="2" t="s">
        <v>37</v>
      </c>
      <c r="H123" s="2" t="s">
        <v>37</v>
      </c>
      <c r="I123" s="2" t="s">
        <v>37</v>
      </c>
      <c r="J123" s="2" t="s">
        <v>37</v>
      </c>
      <c r="K123" s="2" t="s">
        <v>37</v>
      </c>
    </row>
    <row r="124" spans="3:11">
      <c r="C124" s="27" t="s">
        <v>49</v>
      </c>
      <c r="D124" s="2" t="s">
        <v>96</v>
      </c>
      <c r="E124" s="2" t="s">
        <v>37</v>
      </c>
      <c r="F124" s="2" t="s">
        <v>37</v>
      </c>
      <c r="G124" s="2" t="s">
        <v>37</v>
      </c>
      <c r="H124" s="2" t="s">
        <v>37</v>
      </c>
      <c r="I124" s="2" t="s">
        <v>37</v>
      </c>
      <c r="J124" s="2" t="s">
        <v>37</v>
      </c>
      <c r="K124" s="2" t="s">
        <v>37</v>
      </c>
    </row>
    <row r="125" spans="3:11">
      <c r="C125" s="27" t="s">
        <v>51</v>
      </c>
      <c r="D125" s="2" t="s">
        <v>97</v>
      </c>
      <c r="E125" s="2" t="s">
        <v>37</v>
      </c>
      <c r="F125" s="2" t="s">
        <v>37</v>
      </c>
      <c r="G125" s="2" t="s">
        <v>37</v>
      </c>
      <c r="H125" s="2" t="s">
        <v>37</v>
      </c>
      <c r="I125" s="2" t="s">
        <v>37</v>
      </c>
      <c r="J125" s="2" t="s">
        <v>37</v>
      </c>
      <c r="K125" s="2" t="s">
        <v>37</v>
      </c>
    </row>
    <row r="126" spans="3:11">
      <c r="C126" s="27" t="s">
        <v>53</v>
      </c>
      <c r="D126" s="2" t="s">
        <v>98</v>
      </c>
      <c r="E126" s="2" t="s">
        <v>37</v>
      </c>
      <c r="F126" s="2" t="s">
        <v>37</v>
      </c>
      <c r="G126" s="2" t="s">
        <v>37</v>
      </c>
      <c r="H126" s="2" t="s">
        <v>37</v>
      </c>
      <c r="I126" s="2" t="s">
        <v>37</v>
      </c>
      <c r="J126" s="2" t="s">
        <v>37</v>
      </c>
      <c r="K126" s="2" t="s">
        <v>37</v>
      </c>
    </row>
    <row r="127" spans="3:11">
      <c r="C127" s="27" t="s">
        <v>55</v>
      </c>
      <c r="D127" s="2" t="s">
        <v>99</v>
      </c>
      <c r="E127" s="2" t="s">
        <v>37</v>
      </c>
      <c r="F127" s="2" t="s">
        <v>37</v>
      </c>
      <c r="G127" s="2" t="s">
        <v>37</v>
      </c>
      <c r="H127" s="2" t="s">
        <v>37</v>
      </c>
      <c r="I127" s="2" t="s">
        <v>37</v>
      </c>
      <c r="J127" s="2" t="s">
        <v>37</v>
      </c>
      <c r="K127" s="2" t="s">
        <v>37</v>
      </c>
    </row>
    <row r="128" spans="3:11">
      <c r="C128" s="27" t="s">
        <v>58</v>
      </c>
      <c r="D128" s="2" t="s">
        <v>100</v>
      </c>
      <c r="E128" s="2" t="s">
        <v>37</v>
      </c>
      <c r="F128" s="2" t="s">
        <v>37</v>
      </c>
      <c r="G128" s="2" t="s">
        <v>37</v>
      </c>
      <c r="H128" s="2" t="s">
        <v>37</v>
      </c>
      <c r="I128" s="2" t="s">
        <v>37</v>
      </c>
      <c r="J128" s="2" t="s">
        <v>37</v>
      </c>
      <c r="K128" s="2" t="s">
        <v>37</v>
      </c>
    </row>
    <row r="129" spans="3:11">
      <c r="C129" s="27" t="s">
        <v>61</v>
      </c>
      <c r="D129" s="2" t="s">
        <v>101</v>
      </c>
      <c r="E129" s="2" t="s">
        <v>37</v>
      </c>
      <c r="F129" s="2" t="s">
        <v>37</v>
      </c>
      <c r="G129" s="2" t="s">
        <v>37</v>
      </c>
      <c r="H129" s="2" t="s">
        <v>37</v>
      </c>
      <c r="I129" s="2" t="s">
        <v>37</v>
      </c>
      <c r="J129" s="2" t="s">
        <v>37</v>
      </c>
      <c r="K129" s="2" t="s">
        <v>37</v>
      </c>
    </row>
    <row r="130" spans="3:11">
      <c r="C130" s="27" t="s">
        <v>64</v>
      </c>
      <c r="D130" s="2" t="s">
        <v>102</v>
      </c>
      <c r="E130" s="2" t="s">
        <v>37</v>
      </c>
      <c r="F130" s="2" t="s">
        <v>37</v>
      </c>
      <c r="G130" s="2" t="s">
        <v>37</v>
      </c>
      <c r="H130" s="2" t="s">
        <v>37</v>
      </c>
      <c r="I130" s="2" t="s">
        <v>37</v>
      </c>
      <c r="J130" s="2" t="s">
        <v>37</v>
      </c>
      <c r="K130" s="2" t="s">
        <v>37</v>
      </c>
    </row>
    <row r="131" spans="3:11">
      <c r="C131" s="27" t="s">
        <v>67</v>
      </c>
      <c r="D131" s="2" t="s">
        <v>103</v>
      </c>
      <c r="E131" s="2" t="s">
        <v>37</v>
      </c>
      <c r="F131" s="2" t="s">
        <v>37</v>
      </c>
      <c r="G131" s="2" t="s">
        <v>37</v>
      </c>
      <c r="H131" s="2" t="s">
        <v>37</v>
      </c>
      <c r="I131" s="2" t="s">
        <v>37</v>
      </c>
      <c r="J131" s="2" t="s">
        <v>37</v>
      </c>
      <c r="K131" s="2" t="s">
        <v>37</v>
      </c>
    </row>
    <row r="132" spans="3:11">
      <c r="C132" s="27" t="s">
        <v>71</v>
      </c>
      <c r="D132" s="2" t="s">
        <v>104</v>
      </c>
      <c r="E132" s="2" t="s">
        <v>37</v>
      </c>
      <c r="F132" s="2" t="s">
        <v>37</v>
      </c>
      <c r="G132" s="2" t="s">
        <v>37</v>
      </c>
      <c r="H132" s="2" t="s">
        <v>37</v>
      </c>
      <c r="I132" s="2" t="s">
        <v>37</v>
      </c>
      <c r="J132" s="2" t="s">
        <v>37</v>
      </c>
      <c r="K132" s="2" t="s">
        <v>37</v>
      </c>
    </row>
    <row r="133" spans="3:11">
      <c r="C133" s="27" t="s">
        <v>75</v>
      </c>
      <c r="D133" s="2" t="s">
        <v>105</v>
      </c>
      <c r="E133" s="2" t="s">
        <v>37</v>
      </c>
      <c r="F133" s="2" t="s">
        <v>37</v>
      </c>
      <c r="G133" s="2" t="s">
        <v>37</v>
      </c>
      <c r="H133" s="2" t="s">
        <v>37</v>
      </c>
      <c r="I133" s="2" t="s">
        <v>37</v>
      </c>
      <c r="J133" s="2" t="s">
        <v>37</v>
      </c>
      <c r="K133" s="2" t="s">
        <v>37</v>
      </c>
    </row>
    <row r="134" spans="3:11">
      <c r="C134" s="27" t="s">
        <v>79</v>
      </c>
      <c r="D134" s="2" t="s">
        <v>106</v>
      </c>
      <c r="E134" s="2" t="s">
        <v>37</v>
      </c>
      <c r="F134" s="2" t="s">
        <v>37</v>
      </c>
      <c r="G134" s="2" t="s">
        <v>37</v>
      </c>
      <c r="H134" s="2" t="s">
        <v>37</v>
      </c>
      <c r="I134" s="2" t="s">
        <v>37</v>
      </c>
      <c r="J134" s="2" t="s">
        <v>37</v>
      </c>
      <c r="K134" s="2" t="s">
        <v>37</v>
      </c>
    </row>
    <row r="135" spans="3:11">
      <c r="C135" s="27" t="s">
        <v>84</v>
      </c>
      <c r="D135" s="2" t="s">
        <v>107</v>
      </c>
      <c r="E135" s="2" t="s">
        <v>37</v>
      </c>
      <c r="F135" s="2" t="s">
        <v>37</v>
      </c>
      <c r="G135" s="2" t="s">
        <v>37</v>
      </c>
      <c r="H135" s="2" t="s">
        <v>37</v>
      </c>
      <c r="I135" s="2" t="s">
        <v>37</v>
      </c>
      <c r="J135" s="2" t="s">
        <v>37</v>
      </c>
      <c r="K135" s="2" t="s">
        <v>37</v>
      </c>
    </row>
    <row r="136" spans="3:11">
      <c r="C136" s="27" t="s">
        <v>89</v>
      </c>
      <c r="D136" s="2" t="s">
        <v>108</v>
      </c>
      <c r="E136" s="2" t="s">
        <v>37</v>
      </c>
      <c r="F136" s="2" t="s">
        <v>37</v>
      </c>
      <c r="G136" s="2" t="s">
        <v>37</v>
      </c>
      <c r="H136" s="2" t="s">
        <v>37</v>
      </c>
      <c r="I136" s="2" t="s">
        <v>37</v>
      </c>
      <c r="J136" s="2" t="s">
        <v>37</v>
      </c>
      <c r="K136" s="2" t="s">
        <v>37</v>
      </c>
    </row>
    <row r="137" spans="3:11">
      <c r="C137" s="28" t="s">
        <v>56</v>
      </c>
      <c r="D137" s="2" t="s">
        <v>109</v>
      </c>
      <c r="E137" s="2" t="s">
        <v>110</v>
      </c>
      <c r="F137" s="2" t="s">
        <v>37</v>
      </c>
      <c r="G137" s="2" t="s">
        <v>37</v>
      </c>
      <c r="H137" s="2" t="s">
        <v>37</v>
      </c>
      <c r="I137" s="2" t="s">
        <v>37</v>
      </c>
      <c r="J137" s="2" t="s">
        <v>37</v>
      </c>
      <c r="K137" s="2" t="s">
        <v>37</v>
      </c>
    </row>
    <row r="138" spans="3:11">
      <c r="C138" s="28" t="s">
        <v>59</v>
      </c>
      <c r="D138" s="2" t="s">
        <v>111</v>
      </c>
      <c r="E138" s="2" t="s">
        <v>112</v>
      </c>
      <c r="F138" s="2" t="s">
        <v>37</v>
      </c>
      <c r="G138" s="2" t="s">
        <v>37</v>
      </c>
      <c r="H138" s="2" t="s">
        <v>37</v>
      </c>
      <c r="I138" s="2" t="s">
        <v>37</v>
      </c>
      <c r="J138" s="2" t="s">
        <v>37</v>
      </c>
      <c r="K138" s="2" t="s">
        <v>37</v>
      </c>
    </row>
    <row r="139" spans="3:11">
      <c r="C139" s="28" t="s">
        <v>62</v>
      </c>
      <c r="D139" s="2" t="s">
        <v>113</v>
      </c>
      <c r="E139" s="2" t="s">
        <v>114</v>
      </c>
      <c r="F139" s="2" t="s">
        <v>37</v>
      </c>
      <c r="G139" s="2" t="s">
        <v>37</v>
      </c>
      <c r="H139" s="2" t="s">
        <v>37</v>
      </c>
      <c r="I139" s="2" t="s">
        <v>37</v>
      </c>
      <c r="J139" s="2" t="s">
        <v>37</v>
      </c>
      <c r="K139" s="2" t="s">
        <v>37</v>
      </c>
    </row>
    <row r="140" spans="3:11">
      <c r="C140" s="28" t="s">
        <v>65</v>
      </c>
      <c r="D140" s="2" t="s">
        <v>115</v>
      </c>
      <c r="E140" s="2" t="s">
        <v>116</v>
      </c>
      <c r="F140" s="2" t="s">
        <v>37</v>
      </c>
      <c r="G140" s="2" t="s">
        <v>37</v>
      </c>
      <c r="H140" s="2" t="s">
        <v>37</v>
      </c>
      <c r="I140" s="2" t="s">
        <v>37</v>
      </c>
      <c r="J140" s="2" t="s">
        <v>37</v>
      </c>
      <c r="K140" s="2" t="s">
        <v>37</v>
      </c>
    </row>
    <row r="141" spans="3:11">
      <c r="C141" s="28" t="s">
        <v>68</v>
      </c>
      <c r="D141" s="2" t="s">
        <v>117</v>
      </c>
      <c r="E141" s="2" t="s">
        <v>118</v>
      </c>
      <c r="F141" s="2" t="s">
        <v>37</v>
      </c>
      <c r="G141" s="2" t="s">
        <v>37</v>
      </c>
      <c r="H141" s="2" t="s">
        <v>37</v>
      </c>
      <c r="I141" s="2" t="s">
        <v>37</v>
      </c>
      <c r="J141" s="2" t="s">
        <v>37</v>
      </c>
      <c r="K141" s="2" t="s">
        <v>37</v>
      </c>
    </row>
    <row r="142" spans="3:11">
      <c r="C142" s="28" t="s">
        <v>72</v>
      </c>
      <c r="D142" s="2" t="s">
        <v>119</v>
      </c>
      <c r="E142" s="2" t="s">
        <v>120</v>
      </c>
      <c r="F142" s="2" t="s">
        <v>37</v>
      </c>
      <c r="G142" s="2" t="s">
        <v>37</v>
      </c>
      <c r="H142" s="2" t="s">
        <v>37</v>
      </c>
      <c r="I142" s="2" t="s">
        <v>37</v>
      </c>
      <c r="J142" s="2" t="s">
        <v>37</v>
      </c>
      <c r="K142" s="2" t="s">
        <v>37</v>
      </c>
    </row>
    <row r="143" spans="3:11">
      <c r="C143" s="28" t="s">
        <v>76</v>
      </c>
      <c r="D143" s="2" t="s">
        <v>121</v>
      </c>
      <c r="E143" s="2" t="s">
        <v>122</v>
      </c>
      <c r="F143" s="2" t="s">
        <v>37</v>
      </c>
      <c r="G143" s="2" t="s">
        <v>37</v>
      </c>
      <c r="H143" s="2" t="s">
        <v>37</v>
      </c>
      <c r="I143" s="2" t="s">
        <v>37</v>
      </c>
      <c r="J143" s="2" t="s">
        <v>37</v>
      </c>
      <c r="K143" s="2" t="s">
        <v>37</v>
      </c>
    </row>
    <row r="144" spans="3:11">
      <c r="C144" s="28" t="s">
        <v>80</v>
      </c>
      <c r="D144" s="2" t="s">
        <v>123</v>
      </c>
      <c r="E144" s="2" t="s">
        <v>124</v>
      </c>
      <c r="F144" s="2" t="s">
        <v>37</v>
      </c>
      <c r="G144" s="2" t="s">
        <v>37</v>
      </c>
      <c r="H144" s="2" t="s">
        <v>37</v>
      </c>
      <c r="I144" s="2" t="s">
        <v>37</v>
      </c>
      <c r="J144" s="2" t="s">
        <v>37</v>
      </c>
      <c r="K144" s="2" t="s">
        <v>37</v>
      </c>
    </row>
    <row r="145" spans="3:11">
      <c r="C145" s="28" t="s">
        <v>85</v>
      </c>
      <c r="D145" s="2" t="s">
        <v>125</v>
      </c>
      <c r="E145" s="2" t="s">
        <v>126</v>
      </c>
      <c r="F145" s="2" t="s">
        <v>37</v>
      </c>
      <c r="G145" s="2" t="s">
        <v>37</v>
      </c>
      <c r="H145" s="2" t="s">
        <v>37</v>
      </c>
      <c r="I145" s="2" t="s">
        <v>37</v>
      </c>
      <c r="J145" s="2" t="s">
        <v>37</v>
      </c>
      <c r="K145" s="2" t="s">
        <v>37</v>
      </c>
    </row>
    <row r="146" spans="3:11">
      <c r="C146" s="28" t="s">
        <v>90</v>
      </c>
      <c r="D146" s="2" t="s">
        <v>127</v>
      </c>
      <c r="E146" s="2" t="s">
        <v>128</v>
      </c>
      <c r="F146" s="2" t="s">
        <v>37</v>
      </c>
      <c r="G146" s="2" t="s">
        <v>37</v>
      </c>
      <c r="H146" s="2" t="s">
        <v>37</v>
      </c>
      <c r="I146" s="2" t="s">
        <v>37</v>
      </c>
      <c r="J146" s="2" t="s">
        <v>37</v>
      </c>
      <c r="K146" s="2" t="s">
        <v>37</v>
      </c>
    </row>
    <row r="147" spans="3:11">
      <c r="C147" s="29" t="s">
        <v>69</v>
      </c>
      <c r="D147" s="2" t="s">
        <v>129</v>
      </c>
      <c r="E147" s="2" t="s">
        <v>130</v>
      </c>
      <c r="F147" s="2" t="s">
        <v>131</v>
      </c>
      <c r="G147" s="2" t="s">
        <v>37</v>
      </c>
      <c r="H147" s="2" t="s">
        <v>37</v>
      </c>
      <c r="I147" s="2" t="s">
        <v>37</v>
      </c>
      <c r="J147" s="2" t="s">
        <v>37</v>
      </c>
      <c r="K147" s="2" t="s">
        <v>37</v>
      </c>
    </row>
    <row r="148" spans="3:11">
      <c r="C148" s="29" t="s">
        <v>73</v>
      </c>
      <c r="D148" s="2" t="s">
        <v>132</v>
      </c>
      <c r="E148" s="2" t="s">
        <v>133</v>
      </c>
      <c r="F148" s="2" t="s">
        <v>134</v>
      </c>
      <c r="G148" s="2" t="s">
        <v>37</v>
      </c>
      <c r="H148" s="2" t="s">
        <v>37</v>
      </c>
      <c r="I148" s="2" t="s">
        <v>37</v>
      </c>
      <c r="J148" s="2" t="s">
        <v>37</v>
      </c>
      <c r="K148" s="2" t="s">
        <v>37</v>
      </c>
    </row>
    <row r="149" spans="3:11">
      <c r="C149" s="29" t="s">
        <v>77</v>
      </c>
      <c r="D149" s="2" t="s">
        <v>135</v>
      </c>
      <c r="E149" s="2" t="s">
        <v>136</v>
      </c>
      <c r="F149" s="2" t="s">
        <v>137</v>
      </c>
      <c r="G149" s="2" t="s">
        <v>37</v>
      </c>
      <c r="H149" s="2" t="s">
        <v>37</v>
      </c>
      <c r="I149" s="2" t="s">
        <v>37</v>
      </c>
      <c r="J149" s="2" t="s">
        <v>37</v>
      </c>
      <c r="K149" s="2" t="s">
        <v>37</v>
      </c>
    </row>
    <row r="150" spans="3:11">
      <c r="C150" s="29" t="s">
        <v>81</v>
      </c>
      <c r="D150" s="2" t="s">
        <v>138</v>
      </c>
      <c r="E150" s="2" t="s">
        <v>139</v>
      </c>
      <c r="F150" s="2" t="s">
        <v>140</v>
      </c>
      <c r="G150" s="2" t="s">
        <v>37</v>
      </c>
      <c r="H150" s="2" t="s">
        <v>37</v>
      </c>
      <c r="I150" s="2" t="s">
        <v>37</v>
      </c>
      <c r="J150" s="2" t="s">
        <v>37</v>
      </c>
      <c r="K150" s="2" t="s">
        <v>37</v>
      </c>
    </row>
    <row r="151" spans="3:11">
      <c r="C151" s="29" t="s">
        <v>86</v>
      </c>
      <c r="D151" s="2" t="s">
        <v>141</v>
      </c>
      <c r="E151" s="2" t="s">
        <v>142</v>
      </c>
      <c r="F151" s="2" t="s">
        <v>143</v>
      </c>
      <c r="G151" s="2" t="s">
        <v>37</v>
      </c>
      <c r="H151" s="2" t="s">
        <v>37</v>
      </c>
      <c r="I151" s="2" t="s">
        <v>37</v>
      </c>
      <c r="J151" s="2" t="s">
        <v>37</v>
      </c>
      <c r="K151" s="2" t="s">
        <v>37</v>
      </c>
    </row>
    <row r="152" spans="3:11">
      <c r="C152" s="29" t="s">
        <v>91</v>
      </c>
      <c r="D152" s="2" t="s">
        <v>144</v>
      </c>
      <c r="E152" s="2" t="s">
        <v>145</v>
      </c>
      <c r="F152" s="2" t="s">
        <v>146</v>
      </c>
      <c r="G152" s="2" t="s">
        <v>37</v>
      </c>
      <c r="H152" s="2" t="s">
        <v>37</v>
      </c>
      <c r="I152" s="2" t="s">
        <v>37</v>
      </c>
      <c r="J152" s="2" t="s">
        <v>37</v>
      </c>
      <c r="K152" s="2" t="s">
        <v>37</v>
      </c>
    </row>
    <row r="153" spans="3:11">
      <c r="C153" s="33" t="s">
        <v>82</v>
      </c>
      <c r="D153" s="2" t="s">
        <v>147</v>
      </c>
      <c r="E153" s="2" t="s">
        <v>148</v>
      </c>
      <c r="F153" s="2" t="s">
        <v>149</v>
      </c>
      <c r="G153" s="2" t="s">
        <v>150</v>
      </c>
      <c r="H153" s="2" t="s">
        <v>37</v>
      </c>
      <c r="I153" s="2" t="s">
        <v>37</v>
      </c>
      <c r="J153" s="2" t="s">
        <v>37</v>
      </c>
      <c r="K153" s="2" t="s">
        <v>37</v>
      </c>
    </row>
    <row r="154" spans="3:11">
      <c r="C154" s="33" t="s">
        <v>87</v>
      </c>
      <c r="D154" s="2" t="s">
        <v>151</v>
      </c>
      <c r="E154" s="2" t="s">
        <v>152</v>
      </c>
      <c r="F154" s="2" t="s">
        <v>153</v>
      </c>
      <c r="G154" s="2" t="s">
        <v>154</v>
      </c>
      <c r="H154" s="2" t="s">
        <v>37</v>
      </c>
      <c r="I154" s="2" t="s">
        <v>37</v>
      </c>
      <c r="J154" s="2" t="s">
        <v>37</v>
      </c>
      <c r="K154" s="2" t="s">
        <v>37</v>
      </c>
    </row>
    <row r="155" spans="3:11">
      <c r="C155" s="33" t="s">
        <v>92</v>
      </c>
      <c r="D155" s="2" t="s">
        <v>155</v>
      </c>
      <c r="E155" s="2" t="s">
        <v>156</v>
      </c>
      <c r="F155" s="2" t="s">
        <v>157</v>
      </c>
      <c r="G155" s="2" t="s">
        <v>158</v>
      </c>
      <c r="H155" s="2" t="s">
        <v>37</v>
      </c>
      <c r="I155" s="2" t="s">
        <v>37</v>
      </c>
      <c r="J155" s="2" t="s">
        <v>37</v>
      </c>
      <c r="K155" s="2" t="s">
        <v>37</v>
      </c>
    </row>
    <row r="156" spans="3:11">
      <c r="C156" s="31" t="s">
        <v>93</v>
      </c>
      <c r="D156" s="2" t="s">
        <v>159</v>
      </c>
      <c r="E156" s="2" t="s">
        <v>160</v>
      </c>
      <c r="F156" s="2" t="s">
        <v>161</v>
      </c>
      <c r="G156" s="2" t="s">
        <v>162</v>
      </c>
      <c r="H156" s="2" t="s">
        <v>163</v>
      </c>
      <c r="I156" s="2" t="s">
        <v>37</v>
      </c>
      <c r="J156" s="2" t="s">
        <v>37</v>
      </c>
      <c r="K156" s="2" t="s">
        <v>37</v>
      </c>
    </row>
    <row r="160" spans="3:11">
      <c r="D160" s="26" t="s">
        <v>2</v>
      </c>
      <c r="E160" s="27" t="s">
        <v>1</v>
      </c>
      <c r="F160" s="28" t="s">
        <v>3</v>
      </c>
      <c r="G160" s="29" t="s">
        <v>4</v>
      </c>
      <c r="H160" s="33" t="s">
        <v>5</v>
      </c>
      <c r="I160" s="31" t="s">
        <v>6</v>
      </c>
      <c r="J160" s="32" t="s">
        <v>7</v>
      </c>
      <c r="K160" s="18" t="s">
        <v>8</v>
      </c>
    </row>
    <row r="161" spans="3:11">
      <c r="C161" s="9" t="s">
        <v>94</v>
      </c>
      <c r="D161" s="2" t="s">
        <v>37</v>
      </c>
      <c r="E161" s="2" t="s">
        <v>37</v>
      </c>
      <c r="F161" s="2" t="s">
        <v>37</v>
      </c>
      <c r="G161" s="2" t="s">
        <v>37</v>
      </c>
      <c r="H161" s="2" t="s">
        <v>37</v>
      </c>
      <c r="I161" s="2" t="s">
        <v>37</v>
      </c>
      <c r="J161" s="2" t="s">
        <v>37</v>
      </c>
      <c r="K161" s="2" t="s">
        <v>37</v>
      </c>
    </row>
    <row r="162" spans="3:11">
      <c r="C162" s="9" t="s">
        <v>95</v>
      </c>
      <c r="D162" s="2" t="s">
        <v>37</v>
      </c>
      <c r="E162" s="2" t="s">
        <v>37</v>
      </c>
      <c r="F162" s="2" t="s">
        <v>37</v>
      </c>
      <c r="G162" s="2" t="s">
        <v>37</v>
      </c>
      <c r="H162" s="2" t="s">
        <v>37</v>
      </c>
      <c r="I162" s="2" t="s">
        <v>37</v>
      </c>
      <c r="J162" s="2" t="s">
        <v>37</v>
      </c>
      <c r="K162" s="2" t="s">
        <v>37</v>
      </c>
    </row>
    <row r="163" spans="3:11">
      <c r="C163" s="9" t="s">
        <v>96</v>
      </c>
      <c r="D163" s="2" t="s">
        <v>37</v>
      </c>
      <c r="E163" s="2" t="s">
        <v>37</v>
      </c>
      <c r="F163" s="2" t="s">
        <v>37</v>
      </c>
      <c r="G163" s="2" t="s">
        <v>37</v>
      </c>
      <c r="H163" s="2" t="s">
        <v>37</v>
      </c>
      <c r="I163" s="2" t="s">
        <v>37</v>
      </c>
      <c r="J163" s="2" t="s">
        <v>37</v>
      </c>
      <c r="K163" s="2" t="s">
        <v>37</v>
      </c>
    </row>
    <row r="164" spans="3:11">
      <c r="C164" s="9" t="s">
        <v>97</v>
      </c>
      <c r="D164" s="2" t="s">
        <v>37</v>
      </c>
      <c r="E164" s="2" t="s">
        <v>37</v>
      </c>
      <c r="F164" s="2" t="s">
        <v>37</v>
      </c>
      <c r="G164" s="2" t="s">
        <v>37</v>
      </c>
      <c r="H164" s="2" t="s">
        <v>37</v>
      </c>
      <c r="I164" s="2" t="s">
        <v>37</v>
      </c>
      <c r="J164" s="2" t="s">
        <v>37</v>
      </c>
      <c r="K164" s="2" t="s">
        <v>37</v>
      </c>
    </row>
    <row r="165" spans="3:11">
      <c r="C165" s="9" t="s">
        <v>98</v>
      </c>
      <c r="D165" s="2" t="s">
        <v>37</v>
      </c>
      <c r="E165" s="2" t="s">
        <v>37</v>
      </c>
      <c r="F165" s="2" t="s">
        <v>37</v>
      </c>
      <c r="G165" s="2" t="s">
        <v>37</v>
      </c>
      <c r="H165" s="2" t="s">
        <v>37</v>
      </c>
      <c r="I165" s="2" t="s">
        <v>37</v>
      </c>
      <c r="J165" s="2" t="s">
        <v>37</v>
      </c>
      <c r="K165" s="2" t="s">
        <v>37</v>
      </c>
    </row>
    <row r="166" spans="3:11">
      <c r="C166" s="9" t="s">
        <v>99</v>
      </c>
      <c r="D166" s="2" t="s">
        <v>37</v>
      </c>
      <c r="E166" s="2" t="s">
        <v>37</v>
      </c>
      <c r="F166" s="2" t="s">
        <v>37</v>
      </c>
      <c r="G166" s="2" t="s">
        <v>37</v>
      </c>
      <c r="H166" s="2" t="s">
        <v>37</v>
      </c>
      <c r="I166" s="2" t="s">
        <v>37</v>
      </c>
      <c r="J166" s="2" t="s">
        <v>37</v>
      </c>
      <c r="K166" s="2" t="s">
        <v>37</v>
      </c>
    </row>
    <row r="167" spans="3:11">
      <c r="C167" s="9" t="s">
        <v>100</v>
      </c>
      <c r="D167" s="2" t="s">
        <v>37</v>
      </c>
      <c r="E167" s="2" t="s">
        <v>37</v>
      </c>
      <c r="F167" s="2" t="s">
        <v>37</v>
      </c>
      <c r="G167" s="2" t="s">
        <v>37</v>
      </c>
      <c r="H167" s="2" t="s">
        <v>37</v>
      </c>
      <c r="I167" s="2" t="s">
        <v>37</v>
      </c>
      <c r="J167" s="2" t="s">
        <v>37</v>
      </c>
      <c r="K167" s="2" t="s">
        <v>37</v>
      </c>
    </row>
    <row r="168" spans="3:11">
      <c r="C168" s="9" t="s">
        <v>101</v>
      </c>
      <c r="D168" s="2" t="s">
        <v>37</v>
      </c>
      <c r="E168" s="2" t="s">
        <v>37</v>
      </c>
      <c r="F168" s="2" t="s">
        <v>37</v>
      </c>
      <c r="G168" s="2" t="s">
        <v>37</v>
      </c>
      <c r="H168" s="2" t="s">
        <v>37</v>
      </c>
      <c r="I168" s="2" t="s">
        <v>37</v>
      </c>
      <c r="J168" s="2" t="s">
        <v>37</v>
      </c>
      <c r="K168" s="2" t="s">
        <v>37</v>
      </c>
    </row>
    <row r="169" spans="3:11">
      <c r="C169" s="9" t="s">
        <v>102</v>
      </c>
      <c r="D169" s="2" t="s">
        <v>37</v>
      </c>
      <c r="E169" s="2" t="s">
        <v>37</v>
      </c>
      <c r="F169" s="2" t="s">
        <v>37</v>
      </c>
      <c r="G169" s="2" t="s">
        <v>37</v>
      </c>
      <c r="H169" s="2" t="s">
        <v>37</v>
      </c>
      <c r="I169" s="2" t="s">
        <v>37</v>
      </c>
      <c r="J169" s="2" t="s">
        <v>37</v>
      </c>
      <c r="K169" s="2" t="s">
        <v>37</v>
      </c>
    </row>
    <row r="170" spans="3:11">
      <c r="C170" s="9" t="s">
        <v>103</v>
      </c>
      <c r="D170" s="2" t="s">
        <v>37</v>
      </c>
      <c r="E170" s="2" t="s">
        <v>37</v>
      </c>
      <c r="F170" s="2" t="s">
        <v>37</v>
      </c>
      <c r="G170" s="2" t="s">
        <v>37</v>
      </c>
      <c r="H170" s="2" t="s">
        <v>37</v>
      </c>
      <c r="I170" s="2" t="s">
        <v>37</v>
      </c>
      <c r="J170" s="2" t="s">
        <v>37</v>
      </c>
      <c r="K170" s="2" t="s">
        <v>37</v>
      </c>
    </row>
    <row r="171" spans="3:11">
      <c r="C171" s="9" t="s">
        <v>104</v>
      </c>
      <c r="D171" s="2" t="s">
        <v>37</v>
      </c>
      <c r="E171" s="2" t="s">
        <v>37</v>
      </c>
      <c r="F171" s="2" t="s">
        <v>37</v>
      </c>
      <c r="G171" s="2" t="s">
        <v>37</v>
      </c>
      <c r="H171" s="2" t="s">
        <v>37</v>
      </c>
      <c r="I171" s="2" t="s">
        <v>37</v>
      </c>
      <c r="J171" s="2" t="s">
        <v>37</v>
      </c>
      <c r="K171" s="2" t="s">
        <v>37</v>
      </c>
    </row>
    <row r="172" spans="3:11">
      <c r="C172" s="9" t="s">
        <v>105</v>
      </c>
      <c r="D172" s="2" t="s">
        <v>37</v>
      </c>
      <c r="E172" s="2" t="s">
        <v>37</v>
      </c>
      <c r="F172" s="2" t="s">
        <v>37</v>
      </c>
      <c r="G172" s="2" t="s">
        <v>37</v>
      </c>
      <c r="H172" s="2" t="s">
        <v>37</v>
      </c>
      <c r="I172" s="2" t="s">
        <v>37</v>
      </c>
      <c r="J172" s="2" t="s">
        <v>37</v>
      </c>
      <c r="K172" s="2" t="s">
        <v>37</v>
      </c>
    </row>
    <row r="173" spans="3:11">
      <c r="C173" s="9" t="s">
        <v>106</v>
      </c>
      <c r="D173" s="2" t="s">
        <v>37</v>
      </c>
      <c r="E173" s="2" t="s">
        <v>37</v>
      </c>
      <c r="F173" s="2" t="s">
        <v>37</v>
      </c>
      <c r="G173" s="2" t="s">
        <v>37</v>
      </c>
      <c r="H173" s="2" t="s">
        <v>37</v>
      </c>
      <c r="I173" s="2" t="s">
        <v>37</v>
      </c>
      <c r="J173" s="2" t="s">
        <v>37</v>
      </c>
      <c r="K173" s="2" t="s">
        <v>37</v>
      </c>
    </row>
    <row r="174" spans="3:11">
      <c r="C174" s="9" t="s">
        <v>107</v>
      </c>
      <c r="D174" s="2" t="s">
        <v>37</v>
      </c>
      <c r="E174" s="2" t="s">
        <v>37</v>
      </c>
      <c r="F174" s="2" t="s">
        <v>37</v>
      </c>
      <c r="G174" s="2" t="s">
        <v>37</v>
      </c>
      <c r="H174" s="2" t="s">
        <v>37</v>
      </c>
      <c r="I174" s="2" t="s">
        <v>37</v>
      </c>
      <c r="J174" s="2" t="s">
        <v>37</v>
      </c>
      <c r="K174" s="2" t="s">
        <v>37</v>
      </c>
    </row>
    <row r="175" spans="3:11">
      <c r="C175" s="9" t="s">
        <v>108</v>
      </c>
      <c r="D175" s="2" t="s">
        <v>37</v>
      </c>
      <c r="E175" s="2" t="s">
        <v>37</v>
      </c>
      <c r="F175" s="2" t="s">
        <v>37</v>
      </c>
      <c r="G175" s="2" t="s">
        <v>37</v>
      </c>
      <c r="H175" s="2" t="s">
        <v>37</v>
      </c>
      <c r="I175" s="2" t="s">
        <v>37</v>
      </c>
      <c r="J175" s="2" t="s">
        <v>37</v>
      </c>
      <c r="K175" s="2" t="s">
        <v>37</v>
      </c>
    </row>
    <row r="176" spans="3:11">
      <c r="C176" s="9" t="s">
        <v>109</v>
      </c>
      <c r="D176" s="2" t="s">
        <v>37</v>
      </c>
      <c r="E176" s="2" t="s">
        <v>37</v>
      </c>
      <c r="F176" s="2" t="s">
        <v>37</v>
      </c>
      <c r="G176" s="2" t="s">
        <v>37</v>
      </c>
      <c r="H176" s="2" t="s">
        <v>37</v>
      </c>
      <c r="I176" s="2" t="s">
        <v>37</v>
      </c>
      <c r="J176" s="2" t="s">
        <v>37</v>
      </c>
      <c r="K176" s="2" t="s">
        <v>37</v>
      </c>
    </row>
    <row r="177" spans="3:11">
      <c r="C177" s="9" t="s">
        <v>111</v>
      </c>
      <c r="D177" s="2" t="s">
        <v>37</v>
      </c>
      <c r="E177" s="2" t="s">
        <v>37</v>
      </c>
      <c r="F177" s="2" t="s">
        <v>37</v>
      </c>
      <c r="G177" s="2" t="s">
        <v>37</v>
      </c>
      <c r="H177" s="2" t="s">
        <v>37</v>
      </c>
      <c r="I177" s="2" t="s">
        <v>37</v>
      </c>
      <c r="J177" s="2" t="s">
        <v>37</v>
      </c>
      <c r="K177" s="2" t="s">
        <v>37</v>
      </c>
    </row>
    <row r="178" spans="3:11">
      <c r="C178" s="9" t="s">
        <v>113</v>
      </c>
      <c r="D178" s="2" t="s">
        <v>37</v>
      </c>
      <c r="E178" s="2" t="s">
        <v>37</v>
      </c>
      <c r="F178" s="2" t="s">
        <v>37</v>
      </c>
      <c r="G178" s="2" t="s">
        <v>37</v>
      </c>
      <c r="H178" s="2" t="s">
        <v>37</v>
      </c>
      <c r="I178" s="2" t="s">
        <v>37</v>
      </c>
      <c r="J178" s="2" t="s">
        <v>37</v>
      </c>
      <c r="K178" s="2" t="s">
        <v>37</v>
      </c>
    </row>
    <row r="179" spans="3:11">
      <c r="C179" s="9" t="s">
        <v>115</v>
      </c>
      <c r="D179" s="2" t="s">
        <v>37</v>
      </c>
      <c r="E179" s="2" t="s">
        <v>37</v>
      </c>
      <c r="F179" s="2" t="s">
        <v>37</v>
      </c>
      <c r="G179" s="2" t="s">
        <v>37</v>
      </c>
      <c r="H179" s="2" t="s">
        <v>37</v>
      </c>
      <c r="I179" s="2" t="s">
        <v>37</v>
      </c>
      <c r="J179" s="2" t="s">
        <v>37</v>
      </c>
      <c r="K179" s="2" t="s">
        <v>37</v>
      </c>
    </row>
    <row r="180" spans="3:11">
      <c r="C180" s="9" t="s">
        <v>117</v>
      </c>
      <c r="D180" s="2" t="s">
        <v>37</v>
      </c>
      <c r="E180" s="2" t="s">
        <v>37</v>
      </c>
      <c r="F180" s="2" t="s">
        <v>37</v>
      </c>
      <c r="G180" s="2" t="s">
        <v>37</v>
      </c>
      <c r="H180" s="2" t="s">
        <v>37</v>
      </c>
      <c r="I180" s="2" t="s">
        <v>37</v>
      </c>
      <c r="J180" s="2" t="s">
        <v>37</v>
      </c>
      <c r="K180" s="2" t="s">
        <v>37</v>
      </c>
    </row>
    <row r="181" spans="3:11">
      <c r="C181" s="9" t="s">
        <v>119</v>
      </c>
      <c r="D181" s="2" t="s">
        <v>37</v>
      </c>
      <c r="E181" s="2" t="s">
        <v>37</v>
      </c>
      <c r="F181" s="2" t="s">
        <v>37</v>
      </c>
      <c r="G181" s="2" t="s">
        <v>37</v>
      </c>
      <c r="H181" s="2" t="s">
        <v>37</v>
      </c>
      <c r="I181" s="2" t="s">
        <v>37</v>
      </c>
      <c r="J181" s="2" t="s">
        <v>37</v>
      </c>
      <c r="K181" s="2" t="s">
        <v>37</v>
      </c>
    </row>
    <row r="182" spans="3:11">
      <c r="C182" s="9" t="s">
        <v>121</v>
      </c>
      <c r="D182" s="2" t="s">
        <v>37</v>
      </c>
      <c r="E182" s="2" t="s">
        <v>37</v>
      </c>
      <c r="F182" s="2" t="s">
        <v>37</v>
      </c>
      <c r="G182" s="2" t="s">
        <v>37</v>
      </c>
      <c r="H182" s="2" t="s">
        <v>37</v>
      </c>
      <c r="I182" s="2" t="s">
        <v>37</v>
      </c>
      <c r="J182" s="2" t="s">
        <v>37</v>
      </c>
      <c r="K182" s="2" t="s">
        <v>37</v>
      </c>
    </row>
    <row r="183" spans="3:11">
      <c r="C183" s="9" t="s">
        <v>123</v>
      </c>
      <c r="D183" s="2" t="s">
        <v>37</v>
      </c>
      <c r="E183" s="2" t="s">
        <v>37</v>
      </c>
      <c r="F183" s="2" t="s">
        <v>37</v>
      </c>
      <c r="G183" s="2" t="s">
        <v>37</v>
      </c>
      <c r="H183" s="2" t="s">
        <v>37</v>
      </c>
      <c r="I183" s="2" t="s">
        <v>37</v>
      </c>
      <c r="J183" s="2" t="s">
        <v>37</v>
      </c>
      <c r="K183" s="2" t="s">
        <v>37</v>
      </c>
    </row>
    <row r="184" spans="3:11">
      <c r="C184" s="9" t="s">
        <v>125</v>
      </c>
      <c r="D184" s="2" t="s">
        <v>37</v>
      </c>
      <c r="E184" s="2" t="s">
        <v>37</v>
      </c>
      <c r="F184" s="2" t="s">
        <v>37</v>
      </c>
      <c r="G184" s="2" t="s">
        <v>37</v>
      </c>
      <c r="H184" s="2" t="s">
        <v>37</v>
      </c>
      <c r="I184" s="2" t="s">
        <v>37</v>
      </c>
      <c r="J184" s="2" t="s">
        <v>37</v>
      </c>
      <c r="K184" s="2" t="s">
        <v>37</v>
      </c>
    </row>
    <row r="185" spans="3:11">
      <c r="C185" s="9" t="s">
        <v>127</v>
      </c>
      <c r="D185" s="2" t="s">
        <v>37</v>
      </c>
      <c r="E185" s="2" t="s">
        <v>37</v>
      </c>
      <c r="F185" s="2" t="s">
        <v>37</v>
      </c>
      <c r="G185" s="2" t="s">
        <v>37</v>
      </c>
      <c r="H185" s="2" t="s">
        <v>37</v>
      </c>
      <c r="I185" s="2" t="s">
        <v>37</v>
      </c>
      <c r="J185" s="2" t="s">
        <v>37</v>
      </c>
      <c r="K185" s="2" t="s">
        <v>37</v>
      </c>
    </row>
    <row r="186" spans="3:11">
      <c r="C186" s="9" t="s">
        <v>129</v>
      </c>
      <c r="D186" s="2" t="s">
        <v>37</v>
      </c>
      <c r="E186" s="2" t="s">
        <v>37</v>
      </c>
      <c r="F186" s="2" t="s">
        <v>37</v>
      </c>
      <c r="G186" s="2" t="s">
        <v>37</v>
      </c>
      <c r="H186" s="2" t="s">
        <v>37</v>
      </c>
      <c r="I186" s="2" t="s">
        <v>37</v>
      </c>
      <c r="J186" s="2" t="s">
        <v>37</v>
      </c>
      <c r="K186" s="2" t="s">
        <v>37</v>
      </c>
    </row>
    <row r="187" spans="3:11">
      <c r="C187" s="9" t="s">
        <v>132</v>
      </c>
      <c r="D187" s="2" t="s">
        <v>37</v>
      </c>
      <c r="E187" s="2" t="s">
        <v>37</v>
      </c>
      <c r="F187" s="2" t="s">
        <v>37</v>
      </c>
      <c r="G187" s="2" t="s">
        <v>37</v>
      </c>
      <c r="H187" s="2" t="s">
        <v>37</v>
      </c>
      <c r="I187" s="2" t="s">
        <v>37</v>
      </c>
      <c r="J187" s="2" t="s">
        <v>37</v>
      </c>
      <c r="K187" s="2" t="s">
        <v>37</v>
      </c>
    </row>
    <row r="188" spans="3:11">
      <c r="C188" s="9" t="s">
        <v>135</v>
      </c>
      <c r="D188" s="2" t="s">
        <v>37</v>
      </c>
      <c r="E188" s="2" t="s">
        <v>37</v>
      </c>
      <c r="F188" s="2" t="s">
        <v>37</v>
      </c>
      <c r="G188" s="2" t="s">
        <v>37</v>
      </c>
      <c r="H188" s="2" t="s">
        <v>37</v>
      </c>
      <c r="I188" s="2" t="s">
        <v>37</v>
      </c>
      <c r="J188" s="2" t="s">
        <v>37</v>
      </c>
      <c r="K188" s="2" t="s">
        <v>37</v>
      </c>
    </row>
    <row r="189" spans="3:11">
      <c r="C189" s="9" t="s">
        <v>138</v>
      </c>
      <c r="D189" s="2" t="s">
        <v>37</v>
      </c>
      <c r="E189" s="2" t="s">
        <v>37</v>
      </c>
      <c r="F189" s="2" t="s">
        <v>37</v>
      </c>
      <c r="G189" s="2" t="s">
        <v>37</v>
      </c>
      <c r="H189" s="2" t="s">
        <v>37</v>
      </c>
      <c r="I189" s="2" t="s">
        <v>37</v>
      </c>
      <c r="J189" s="2" t="s">
        <v>37</v>
      </c>
      <c r="K189" s="2" t="s">
        <v>37</v>
      </c>
    </row>
    <row r="190" spans="3:11">
      <c r="C190" s="9" t="s">
        <v>141</v>
      </c>
      <c r="D190" s="2" t="s">
        <v>37</v>
      </c>
      <c r="E190" s="2" t="s">
        <v>37</v>
      </c>
      <c r="F190" s="2" t="s">
        <v>37</v>
      </c>
      <c r="G190" s="2" t="s">
        <v>37</v>
      </c>
      <c r="H190" s="2" t="s">
        <v>37</v>
      </c>
      <c r="I190" s="2" t="s">
        <v>37</v>
      </c>
      <c r="J190" s="2" t="s">
        <v>37</v>
      </c>
      <c r="K190" s="2" t="s">
        <v>37</v>
      </c>
    </row>
    <row r="191" spans="3:11">
      <c r="C191" s="9" t="s">
        <v>144</v>
      </c>
      <c r="D191" s="2" t="s">
        <v>37</v>
      </c>
      <c r="E191" s="2" t="s">
        <v>37</v>
      </c>
      <c r="F191" s="2" t="s">
        <v>37</v>
      </c>
      <c r="G191" s="2" t="s">
        <v>37</v>
      </c>
      <c r="H191" s="2" t="s">
        <v>37</v>
      </c>
      <c r="I191" s="2" t="s">
        <v>37</v>
      </c>
      <c r="J191" s="2" t="s">
        <v>37</v>
      </c>
      <c r="K191" s="2" t="s">
        <v>37</v>
      </c>
    </row>
    <row r="192" spans="3:11">
      <c r="C192" s="9" t="s">
        <v>147</v>
      </c>
      <c r="D192" s="2" t="s">
        <v>37</v>
      </c>
      <c r="E192" s="2" t="s">
        <v>37</v>
      </c>
      <c r="F192" s="2" t="s">
        <v>37</v>
      </c>
      <c r="G192" s="2" t="s">
        <v>37</v>
      </c>
      <c r="H192" s="2" t="s">
        <v>37</v>
      </c>
      <c r="I192" s="2" t="s">
        <v>37</v>
      </c>
      <c r="J192" s="2" t="s">
        <v>37</v>
      </c>
      <c r="K192" s="2" t="s">
        <v>37</v>
      </c>
    </row>
    <row r="193" spans="3:11">
      <c r="C193" s="9" t="s">
        <v>151</v>
      </c>
      <c r="D193" s="2" t="s">
        <v>37</v>
      </c>
      <c r="E193" s="2" t="s">
        <v>37</v>
      </c>
      <c r="F193" s="2" t="s">
        <v>37</v>
      </c>
      <c r="G193" s="2" t="s">
        <v>37</v>
      </c>
      <c r="H193" s="2" t="s">
        <v>37</v>
      </c>
      <c r="I193" s="2" t="s">
        <v>37</v>
      </c>
      <c r="J193" s="2" t="s">
        <v>37</v>
      </c>
      <c r="K193" s="2" t="s">
        <v>37</v>
      </c>
    </row>
    <row r="194" spans="3:11">
      <c r="C194" s="9" t="s">
        <v>155</v>
      </c>
      <c r="D194" s="2" t="s">
        <v>37</v>
      </c>
      <c r="E194" s="2" t="s">
        <v>37</v>
      </c>
      <c r="F194" s="2" t="s">
        <v>37</v>
      </c>
      <c r="G194" s="2" t="s">
        <v>37</v>
      </c>
      <c r="H194" s="2" t="s">
        <v>37</v>
      </c>
      <c r="I194" s="2" t="s">
        <v>37</v>
      </c>
      <c r="J194" s="2" t="s">
        <v>37</v>
      </c>
      <c r="K194" s="2" t="s">
        <v>37</v>
      </c>
    </row>
    <row r="195" spans="3:11">
      <c r="C195" s="9" t="s">
        <v>159</v>
      </c>
      <c r="D195" s="2" t="s">
        <v>37</v>
      </c>
      <c r="E195" s="2" t="s">
        <v>37</v>
      </c>
      <c r="F195" s="2" t="s">
        <v>37</v>
      </c>
      <c r="G195" s="2" t="s">
        <v>37</v>
      </c>
      <c r="H195" s="2" t="s">
        <v>37</v>
      </c>
      <c r="I195" s="2" t="s">
        <v>37</v>
      </c>
      <c r="J195" s="2" t="s">
        <v>37</v>
      </c>
      <c r="K195" s="2" t="s">
        <v>37</v>
      </c>
    </row>
    <row r="196" spans="3:11">
      <c r="C196" s="5" t="s">
        <v>110</v>
      </c>
      <c r="D196" s="2" t="s">
        <v>164</v>
      </c>
      <c r="E196" s="2" t="s">
        <v>37</v>
      </c>
      <c r="F196" s="2" t="s">
        <v>37</v>
      </c>
      <c r="G196" s="2" t="s">
        <v>37</v>
      </c>
      <c r="H196" s="2" t="s">
        <v>37</v>
      </c>
      <c r="I196" s="2" t="s">
        <v>37</v>
      </c>
      <c r="J196" s="2" t="s">
        <v>37</v>
      </c>
      <c r="K196" s="2" t="s">
        <v>37</v>
      </c>
    </row>
    <row r="197" spans="3:11">
      <c r="C197" s="5" t="s">
        <v>112</v>
      </c>
      <c r="D197" s="2" t="s">
        <v>165</v>
      </c>
      <c r="E197" s="2" t="s">
        <v>37</v>
      </c>
      <c r="F197" s="2" t="s">
        <v>37</v>
      </c>
      <c r="G197" s="2" t="s">
        <v>37</v>
      </c>
      <c r="H197" s="2" t="s">
        <v>37</v>
      </c>
      <c r="I197" s="2" t="s">
        <v>37</v>
      </c>
      <c r="J197" s="2" t="s">
        <v>37</v>
      </c>
      <c r="K197" s="2" t="s">
        <v>37</v>
      </c>
    </row>
    <row r="198" spans="3:11">
      <c r="C198" s="5" t="s">
        <v>114</v>
      </c>
      <c r="D198" s="2" t="s">
        <v>166</v>
      </c>
      <c r="E198" s="2" t="s">
        <v>37</v>
      </c>
      <c r="F198" s="2" t="s">
        <v>37</v>
      </c>
      <c r="G198" s="2" t="s">
        <v>37</v>
      </c>
      <c r="H198" s="2" t="s">
        <v>37</v>
      </c>
      <c r="I198" s="2" t="s">
        <v>37</v>
      </c>
      <c r="J198" s="2" t="s">
        <v>37</v>
      </c>
      <c r="K198" s="2" t="s">
        <v>37</v>
      </c>
    </row>
    <row r="199" spans="3:11">
      <c r="C199" s="5" t="s">
        <v>116</v>
      </c>
      <c r="D199" s="2" t="s">
        <v>167</v>
      </c>
      <c r="E199" s="2" t="s">
        <v>37</v>
      </c>
      <c r="F199" s="2" t="s">
        <v>37</v>
      </c>
      <c r="G199" s="2" t="s">
        <v>37</v>
      </c>
      <c r="H199" s="2" t="s">
        <v>37</v>
      </c>
      <c r="I199" s="2" t="s">
        <v>37</v>
      </c>
      <c r="J199" s="2" t="s">
        <v>37</v>
      </c>
      <c r="K199" s="2" t="s">
        <v>37</v>
      </c>
    </row>
    <row r="200" spans="3:11">
      <c r="C200" s="5" t="s">
        <v>118</v>
      </c>
      <c r="D200" s="2" t="s">
        <v>168</v>
      </c>
      <c r="E200" s="2" t="s">
        <v>37</v>
      </c>
      <c r="F200" s="2" t="s">
        <v>37</v>
      </c>
      <c r="G200" s="2" t="s">
        <v>37</v>
      </c>
      <c r="H200" s="2" t="s">
        <v>37</v>
      </c>
      <c r="I200" s="2" t="s">
        <v>37</v>
      </c>
      <c r="J200" s="2" t="s">
        <v>37</v>
      </c>
      <c r="K200" s="2" t="s">
        <v>37</v>
      </c>
    </row>
    <row r="201" spans="3:11">
      <c r="C201" s="5" t="s">
        <v>120</v>
      </c>
      <c r="D201" s="2" t="s">
        <v>169</v>
      </c>
      <c r="E201" s="2" t="s">
        <v>37</v>
      </c>
      <c r="F201" s="2" t="s">
        <v>37</v>
      </c>
      <c r="G201" s="2" t="s">
        <v>37</v>
      </c>
      <c r="H201" s="2" t="s">
        <v>37</v>
      </c>
      <c r="I201" s="2" t="s">
        <v>37</v>
      </c>
      <c r="J201" s="2" t="s">
        <v>37</v>
      </c>
      <c r="K201" s="2" t="s">
        <v>37</v>
      </c>
    </row>
    <row r="202" spans="3:11">
      <c r="C202" s="5" t="s">
        <v>122</v>
      </c>
      <c r="D202" s="2" t="s">
        <v>170</v>
      </c>
      <c r="E202" s="2" t="s">
        <v>37</v>
      </c>
      <c r="F202" s="2" t="s">
        <v>37</v>
      </c>
      <c r="G202" s="2" t="s">
        <v>37</v>
      </c>
      <c r="H202" s="2" t="s">
        <v>37</v>
      </c>
      <c r="I202" s="2" t="s">
        <v>37</v>
      </c>
      <c r="J202" s="2" t="s">
        <v>37</v>
      </c>
      <c r="K202" s="2" t="s">
        <v>37</v>
      </c>
    </row>
    <row r="203" spans="3:11">
      <c r="C203" s="5" t="s">
        <v>124</v>
      </c>
      <c r="D203" s="2" t="s">
        <v>171</v>
      </c>
      <c r="E203" s="2" t="s">
        <v>37</v>
      </c>
      <c r="F203" s="2" t="s">
        <v>37</v>
      </c>
      <c r="G203" s="2" t="s">
        <v>37</v>
      </c>
      <c r="H203" s="2" t="s">
        <v>37</v>
      </c>
      <c r="I203" s="2" t="s">
        <v>37</v>
      </c>
      <c r="J203" s="2" t="s">
        <v>37</v>
      </c>
      <c r="K203" s="2" t="s">
        <v>37</v>
      </c>
    </row>
    <row r="204" spans="3:11">
      <c r="C204" s="5" t="s">
        <v>126</v>
      </c>
      <c r="D204" s="2" t="s">
        <v>172</v>
      </c>
      <c r="E204" s="2" t="s">
        <v>37</v>
      </c>
      <c r="F204" s="2" t="s">
        <v>37</v>
      </c>
      <c r="G204" s="2" t="s">
        <v>37</v>
      </c>
      <c r="H204" s="2" t="s">
        <v>37</v>
      </c>
      <c r="I204" s="2" t="s">
        <v>37</v>
      </c>
      <c r="J204" s="2" t="s">
        <v>37</v>
      </c>
      <c r="K204" s="2" t="s">
        <v>37</v>
      </c>
    </row>
    <row r="205" spans="3:11">
      <c r="C205" s="5" t="s">
        <v>128</v>
      </c>
      <c r="D205" s="2" t="s">
        <v>173</v>
      </c>
      <c r="E205" s="2" t="s">
        <v>37</v>
      </c>
      <c r="F205" s="2" t="s">
        <v>37</v>
      </c>
      <c r="G205" s="2" t="s">
        <v>37</v>
      </c>
      <c r="H205" s="2" t="s">
        <v>37</v>
      </c>
      <c r="I205" s="2" t="s">
        <v>37</v>
      </c>
      <c r="J205" s="2" t="s">
        <v>37</v>
      </c>
      <c r="K205" s="2" t="s">
        <v>37</v>
      </c>
    </row>
    <row r="206" spans="3:11">
      <c r="C206" s="5" t="s">
        <v>130</v>
      </c>
      <c r="D206" s="2" t="s">
        <v>174</v>
      </c>
      <c r="E206" s="2" t="s">
        <v>37</v>
      </c>
      <c r="F206" s="2" t="s">
        <v>37</v>
      </c>
      <c r="G206" s="2" t="s">
        <v>37</v>
      </c>
      <c r="H206" s="2" t="s">
        <v>37</v>
      </c>
      <c r="I206" s="2" t="s">
        <v>37</v>
      </c>
      <c r="J206" s="2" t="s">
        <v>37</v>
      </c>
      <c r="K206" s="2" t="s">
        <v>37</v>
      </c>
    </row>
    <row r="207" spans="3:11">
      <c r="C207" s="5" t="s">
        <v>133</v>
      </c>
      <c r="D207" s="2" t="s">
        <v>175</v>
      </c>
      <c r="E207" s="2" t="s">
        <v>37</v>
      </c>
      <c r="F207" s="2" t="s">
        <v>37</v>
      </c>
      <c r="G207" s="2" t="s">
        <v>37</v>
      </c>
      <c r="H207" s="2" t="s">
        <v>37</v>
      </c>
      <c r="I207" s="2" t="s">
        <v>37</v>
      </c>
      <c r="J207" s="2" t="s">
        <v>37</v>
      </c>
      <c r="K207" s="2" t="s">
        <v>37</v>
      </c>
    </row>
    <row r="208" spans="3:11">
      <c r="C208" s="5" t="s">
        <v>136</v>
      </c>
      <c r="D208" s="2" t="s">
        <v>176</v>
      </c>
      <c r="E208" s="2" t="s">
        <v>37</v>
      </c>
      <c r="F208" s="2" t="s">
        <v>37</v>
      </c>
      <c r="G208" s="2" t="s">
        <v>37</v>
      </c>
      <c r="H208" s="2" t="s">
        <v>37</v>
      </c>
      <c r="I208" s="2" t="s">
        <v>37</v>
      </c>
      <c r="J208" s="2" t="s">
        <v>37</v>
      </c>
      <c r="K208" s="2" t="s">
        <v>37</v>
      </c>
    </row>
    <row r="209" spans="3:11">
      <c r="C209" s="5" t="s">
        <v>139</v>
      </c>
      <c r="D209" s="2" t="s">
        <v>177</v>
      </c>
      <c r="E209" s="2" t="s">
        <v>37</v>
      </c>
      <c r="F209" s="2" t="s">
        <v>37</v>
      </c>
      <c r="G209" s="2" t="s">
        <v>37</v>
      </c>
      <c r="H209" s="2" t="s">
        <v>37</v>
      </c>
      <c r="I209" s="2" t="s">
        <v>37</v>
      </c>
      <c r="J209" s="2" t="s">
        <v>37</v>
      </c>
      <c r="K209" s="2" t="s">
        <v>37</v>
      </c>
    </row>
    <row r="210" spans="3:11">
      <c r="C210" s="5" t="s">
        <v>142</v>
      </c>
      <c r="D210" s="2" t="s">
        <v>178</v>
      </c>
      <c r="E210" s="2" t="s">
        <v>37</v>
      </c>
      <c r="F210" s="2" t="s">
        <v>37</v>
      </c>
      <c r="G210" s="2" t="s">
        <v>37</v>
      </c>
      <c r="H210" s="2" t="s">
        <v>37</v>
      </c>
      <c r="I210" s="2" t="s">
        <v>37</v>
      </c>
      <c r="J210" s="2" t="s">
        <v>37</v>
      </c>
      <c r="K210" s="2" t="s">
        <v>37</v>
      </c>
    </row>
    <row r="211" spans="3:11">
      <c r="C211" s="5" t="s">
        <v>145</v>
      </c>
      <c r="D211" s="2" t="s">
        <v>179</v>
      </c>
      <c r="E211" s="2" t="s">
        <v>37</v>
      </c>
      <c r="F211" s="2" t="s">
        <v>37</v>
      </c>
      <c r="G211" s="2" t="s">
        <v>37</v>
      </c>
      <c r="H211" s="2" t="s">
        <v>37</v>
      </c>
      <c r="I211" s="2" t="s">
        <v>37</v>
      </c>
      <c r="J211" s="2" t="s">
        <v>37</v>
      </c>
      <c r="K211" s="2" t="s">
        <v>37</v>
      </c>
    </row>
    <row r="212" spans="3:11">
      <c r="C212" s="5" t="s">
        <v>148</v>
      </c>
      <c r="D212" s="2" t="s">
        <v>180</v>
      </c>
      <c r="E212" s="2" t="s">
        <v>37</v>
      </c>
      <c r="F212" s="2" t="s">
        <v>37</v>
      </c>
      <c r="G212" s="2" t="s">
        <v>37</v>
      </c>
      <c r="H212" s="2" t="s">
        <v>37</v>
      </c>
      <c r="I212" s="2" t="s">
        <v>37</v>
      </c>
      <c r="J212" s="2" t="s">
        <v>37</v>
      </c>
      <c r="K212" s="2" t="s">
        <v>37</v>
      </c>
    </row>
    <row r="213" spans="3:11">
      <c r="C213" s="5" t="s">
        <v>152</v>
      </c>
      <c r="D213" s="2" t="s">
        <v>181</v>
      </c>
      <c r="E213" s="2" t="s">
        <v>37</v>
      </c>
      <c r="F213" s="2" t="s">
        <v>37</v>
      </c>
      <c r="G213" s="2" t="s">
        <v>37</v>
      </c>
      <c r="H213" s="2" t="s">
        <v>37</v>
      </c>
      <c r="I213" s="2" t="s">
        <v>37</v>
      </c>
      <c r="J213" s="2" t="s">
        <v>37</v>
      </c>
      <c r="K213" s="2" t="s">
        <v>37</v>
      </c>
    </row>
    <row r="214" spans="3:11">
      <c r="C214" s="5" t="s">
        <v>156</v>
      </c>
      <c r="D214" s="2" t="s">
        <v>182</v>
      </c>
      <c r="E214" s="2" t="s">
        <v>37</v>
      </c>
      <c r="F214" s="2" t="s">
        <v>37</v>
      </c>
      <c r="G214" s="2" t="s">
        <v>37</v>
      </c>
      <c r="H214" s="2" t="s">
        <v>37</v>
      </c>
      <c r="I214" s="2" t="s">
        <v>37</v>
      </c>
      <c r="J214" s="2" t="s">
        <v>37</v>
      </c>
      <c r="K214" s="2" t="s">
        <v>37</v>
      </c>
    </row>
    <row r="215" spans="3:11">
      <c r="C215" s="5" t="s">
        <v>160</v>
      </c>
      <c r="D215" s="2" t="s">
        <v>183</v>
      </c>
      <c r="E215" s="2" t="s">
        <v>37</v>
      </c>
      <c r="F215" s="2" t="s">
        <v>37</v>
      </c>
      <c r="G215" s="2" t="s">
        <v>37</v>
      </c>
      <c r="H215" s="2" t="s">
        <v>37</v>
      </c>
      <c r="I215" s="2" t="s">
        <v>37</v>
      </c>
      <c r="J215" s="2" t="s">
        <v>37</v>
      </c>
      <c r="K215" s="2" t="s">
        <v>37</v>
      </c>
    </row>
    <row r="216" spans="3:11" ht="20.399999999999999">
      <c r="C216" s="6" t="s">
        <v>131</v>
      </c>
      <c r="D216" s="2" t="s">
        <v>184</v>
      </c>
      <c r="E216" s="2" t="s">
        <v>185</v>
      </c>
      <c r="F216" s="2" t="s">
        <v>37</v>
      </c>
      <c r="G216" s="2" t="s">
        <v>37</v>
      </c>
      <c r="H216" s="2" t="s">
        <v>37</v>
      </c>
      <c r="I216" s="2" t="s">
        <v>37</v>
      </c>
      <c r="J216" s="2" t="s">
        <v>37</v>
      </c>
      <c r="K216" s="2" t="s">
        <v>37</v>
      </c>
    </row>
    <row r="217" spans="3:11" ht="20.399999999999999">
      <c r="C217" s="6" t="s">
        <v>134</v>
      </c>
      <c r="D217" s="2" t="s">
        <v>186</v>
      </c>
      <c r="E217" s="2" t="s">
        <v>187</v>
      </c>
      <c r="F217" s="2" t="s">
        <v>37</v>
      </c>
      <c r="G217" s="2" t="s">
        <v>37</v>
      </c>
      <c r="H217" s="2" t="s">
        <v>37</v>
      </c>
      <c r="I217" s="2" t="s">
        <v>37</v>
      </c>
      <c r="J217" s="2" t="s">
        <v>37</v>
      </c>
      <c r="K217" s="2" t="s">
        <v>37</v>
      </c>
    </row>
    <row r="218" spans="3:11" ht="20.399999999999999">
      <c r="C218" s="6" t="s">
        <v>137</v>
      </c>
      <c r="D218" s="2" t="s">
        <v>188</v>
      </c>
      <c r="E218" s="2" t="s">
        <v>189</v>
      </c>
      <c r="F218" s="2" t="s">
        <v>37</v>
      </c>
      <c r="G218" s="2" t="s">
        <v>37</v>
      </c>
      <c r="H218" s="2" t="s">
        <v>37</v>
      </c>
      <c r="I218" s="2" t="s">
        <v>37</v>
      </c>
      <c r="J218" s="2" t="s">
        <v>37</v>
      </c>
      <c r="K218" s="2" t="s">
        <v>37</v>
      </c>
    </row>
    <row r="219" spans="3:11" ht="20.399999999999999">
      <c r="C219" s="6" t="s">
        <v>140</v>
      </c>
      <c r="D219" s="2" t="s">
        <v>190</v>
      </c>
      <c r="E219" s="2" t="s">
        <v>191</v>
      </c>
      <c r="F219" s="2" t="s">
        <v>37</v>
      </c>
      <c r="G219" s="2" t="s">
        <v>37</v>
      </c>
      <c r="H219" s="2" t="s">
        <v>37</v>
      </c>
      <c r="I219" s="2" t="s">
        <v>37</v>
      </c>
      <c r="J219" s="2" t="s">
        <v>37</v>
      </c>
      <c r="K219" s="2" t="s">
        <v>37</v>
      </c>
    </row>
    <row r="220" spans="3:11" ht="20.399999999999999">
      <c r="C220" s="6" t="s">
        <v>143</v>
      </c>
      <c r="D220" s="2" t="s">
        <v>192</v>
      </c>
      <c r="E220" s="2" t="s">
        <v>193</v>
      </c>
      <c r="F220" s="2" t="s">
        <v>37</v>
      </c>
      <c r="G220" s="2" t="s">
        <v>37</v>
      </c>
      <c r="H220" s="2" t="s">
        <v>37</v>
      </c>
      <c r="I220" s="2" t="s">
        <v>37</v>
      </c>
      <c r="J220" s="2" t="s">
        <v>37</v>
      </c>
      <c r="K220" s="2" t="s">
        <v>37</v>
      </c>
    </row>
    <row r="221" spans="3:11" ht="20.399999999999999">
      <c r="C221" s="6" t="s">
        <v>146</v>
      </c>
      <c r="D221" s="2" t="s">
        <v>194</v>
      </c>
      <c r="E221" s="2" t="s">
        <v>195</v>
      </c>
      <c r="F221" s="2" t="s">
        <v>37</v>
      </c>
      <c r="G221" s="2" t="s">
        <v>37</v>
      </c>
      <c r="H221" s="2" t="s">
        <v>37</v>
      </c>
      <c r="I221" s="2" t="s">
        <v>37</v>
      </c>
      <c r="J221" s="2" t="s">
        <v>37</v>
      </c>
      <c r="K221" s="2" t="s">
        <v>37</v>
      </c>
    </row>
    <row r="222" spans="3:11" ht="20.399999999999999">
      <c r="C222" s="6" t="s">
        <v>149</v>
      </c>
      <c r="D222" s="2" t="s">
        <v>196</v>
      </c>
      <c r="E222" s="2" t="s">
        <v>197</v>
      </c>
      <c r="F222" s="2" t="s">
        <v>37</v>
      </c>
      <c r="G222" s="2" t="s">
        <v>37</v>
      </c>
      <c r="H222" s="2" t="s">
        <v>37</v>
      </c>
      <c r="I222" s="2" t="s">
        <v>37</v>
      </c>
      <c r="J222" s="2" t="s">
        <v>37</v>
      </c>
      <c r="K222" s="2" t="s">
        <v>37</v>
      </c>
    </row>
    <row r="223" spans="3:11" ht="20.399999999999999">
      <c r="C223" s="6" t="s">
        <v>153</v>
      </c>
      <c r="D223" s="2" t="s">
        <v>198</v>
      </c>
      <c r="E223" s="2" t="s">
        <v>199</v>
      </c>
      <c r="F223" s="2" t="s">
        <v>37</v>
      </c>
      <c r="G223" s="2" t="s">
        <v>37</v>
      </c>
      <c r="H223" s="2" t="s">
        <v>37</v>
      </c>
      <c r="I223" s="2" t="s">
        <v>37</v>
      </c>
      <c r="J223" s="2" t="s">
        <v>37</v>
      </c>
      <c r="K223" s="2" t="s">
        <v>37</v>
      </c>
    </row>
    <row r="224" spans="3:11" ht="20.399999999999999">
      <c r="C224" s="6" t="s">
        <v>157</v>
      </c>
      <c r="D224" s="2" t="s">
        <v>200</v>
      </c>
      <c r="E224" s="2" t="s">
        <v>201</v>
      </c>
      <c r="F224" s="2" t="s">
        <v>37</v>
      </c>
      <c r="G224" s="2" t="s">
        <v>37</v>
      </c>
      <c r="H224" s="2" t="s">
        <v>37</v>
      </c>
      <c r="I224" s="2" t="s">
        <v>37</v>
      </c>
      <c r="J224" s="2" t="s">
        <v>37</v>
      </c>
      <c r="K224" s="2" t="s">
        <v>37</v>
      </c>
    </row>
    <row r="225" spans="3:11" ht="20.399999999999999">
      <c r="C225" s="6" t="s">
        <v>161</v>
      </c>
      <c r="D225" s="2" t="s">
        <v>202</v>
      </c>
      <c r="E225" s="2" t="s">
        <v>203</v>
      </c>
      <c r="F225" s="2" t="s">
        <v>37</v>
      </c>
      <c r="G225" s="2" t="s">
        <v>37</v>
      </c>
      <c r="H225" s="2" t="s">
        <v>37</v>
      </c>
      <c r="I225" s="2" t="s">
        <v>37</v>
      </c>
      <c r="J225" s="2" t="s">
        <v>37</v>
      </c>
      <c r="K225" s="2" t="s">
        <v>37</v>
      </c>
    </row>
    <row r="226" spans="3:11" ht="20.399999999999999">
      <c r="C226" s="7" t="s">
        <v>150</v>
      </c>
      <c r="D226" s="2" t="s">
        <v>204</v>
      </c>
      <c r="E226" s="2" t="s">
        <v>205</v>
      </c>
      <c r="F226" s="2" t="s">
        <v>206</v>
      </c>
      <c r="G226" s="2" t="s">
        <v>37</v>
      </c>
      <c r="H226" s="2" t="s">
        <v>37</v>
      </c>
      <c r="I226" s="2" t="s">
        <v>37</v>
      </c>
      <c r="J226" s="2" t="s">
        <v>37</v>
      </c>
      <c r="K226" s="2" t="s">
        <v>37</v>
      </c>
    </row>
    <row r="227" spans="3:11" ht="20.399999999999999">
      <c r="C227" s="7" t="s">
        <v>154</v>
      </c>
      <c r="D227" s="2" t="s">
        <v>207</v>
      </c>
      <c r="E227" s="2" t="s">
        <v>208</v>
      </c>
      <c r="F227" s="2" t="s">
        <v>209</v>
      </c>
      <c r="G227" s="2" t="s">
        <v>37</v>
      </c>
      <c r="H227" s="2" t="s">
        <v>37</v>
      </c>
      <c r="I227" s="2" t="s">
        <v>37</v>
      </c>
      <c r="J227" s="2" t="s">
        <v>37</v>
      </c>
      <c r="K227" s="2" t="s">
        <v>37</v>
      </c>
    </row>
    <row r="228" spans="3:11" ht="20.399999999999999">
      <c r="C228" s="7" t="s">
        <v>158</v>
      </c>
      <c r="D228" s="2" t="s">
        <v>210</v>
      </c>
      <c r="E228" s="2" t="s">
        <v>211</v>
      </c>
      <c r="F228" s="2" t="s">
        <v>212</v>
      </c>
      <c r="G228" s="2" t="s">
        <v>37</v>
      </c>
      <c r="H228" s="2" t="s">
        <v>37</v>
      </c>
      <c r="I228" s="2" t="s">
        <v>37</v>
      </c>
      <c r="J228" s="2" t="s">
        <v>37</v>
      </c>
      <c r="K228" s="2" t="s">
        <v>37</v>
      </c>
    </row>
    <row r="229" spans="3:11" ht="20.399999999999999">
      <c r="C229" s="7" t="s">
        <v>162</v>
      </c>
      <c r="D229" s="2" t="s">
        <v>213</v>
      </c>
      <c r="E229" s="2" t="s">
        <v>214</v>
      </c>
      <c r="F229" s="2" t="s">
        <v>215</v>
      </c>
      <c r="G229" s="2" t="s">
        <v>37</v>
      </c>
      <c r="H229" s="2" t="s">
        <v>37</v>
      </c>
      <c r="I229" s="2" t="s">
        <v>37</v>
      </c>
      <c r="J229" s="2" t="s">
        <v>37</v>
      </c>
      <c r="K229" s="2" t="s">
        <v>37</v>
      </c>
    </row>
    <row r="230" spans="3:11" ht="20.399999999999999">
      <c r="C230" s="8" t="s">
        <v>163</v>
      </c>
      <c r="D230" s="2" t="s">
        <v>216</v>
      </c>
      <c r="E230" s="2" t="s">
        <v>217</v>
      </c>
      <c r="F230" s="2" t="s">
        <v>218</v>
      </c>
      <c r="G230" s="2" t="s">
        <v>219</v>
      </c>
      <c r="H230" s="2" t="s">
        <v>37</v>
      </c>
      <c r="I230" s="2" t="s">
        <v>37</v>
      </c>
      <c r="J230" s="2" t="s">
        <v>37</v>
      </c>
      <c r="K230" s="2" t="s">
        <v>37</v>
      </c>
    </row>
    <row r="234" spans="3:11">
      <c r="D234" s="26" t="s">
        <v>2</v>
      </c>
      <c r="E234" s="27" t="s">
        <v>1</v>
      </c>
      <c r="F234" s="28" t="s">
        <v>3</v>
      </c>
      <c r="G234" s="29" t="s">
        <v>4</v>
      </c>
      <c r="H234" s="33" t="s">
        <v>5</v>
      </c>
      <c r="I234" s="31" t="s">
        <v>6</v>
      </c>
      <c r="J234" s="32" t="s">
        <v>7</v>
      </c>
      <c r="K234" s="18" t="s">
        <v>8</v>
      </c>
    </row>
    <row r="235" spans="3:11">
      <c r="C235" s="9" t="s">
        <v>164</v>
      </c>
      <c r="D235" s="2" t="s">
        <v>37</v>
      </c>
      <c r="E235" s="2" t="s">
        <v>37</v>
      </c>
      <c r="F235" s="2" t="s">
        <v>37</v>
      </c>
      <c r="G235" s="2" t="s">
        <v>37</v>
      </c>
      <c r="H235" s="2" t="s">
        <v>37</v>
      </c>
      <c r="I235" s="2" t="s">
        <v>37</v>
      </c>
      <c r="J235" s="2" t="s">
        <v>37</v>
      </c>
      <c r="K235" s="2" t="s">
        <v>37</v>
      </c>
    </row>
    <row r="236" spans="3:11">
      <c r="C236" s="9" t="s">
        <v>165</v>
      </c>
      <c r="D236" s="2" t="s">
        <v>37</v>
      </c>
      <c r="E236" s="2" t="s">
        <v>37</v>
      </c>
      <c r="F236" s="2" t="s">
        <v>37</v>
      </c>
      <c r="G236" s="2" t="s">
        <v>37</v>
      </c>
      <c r="H236" s="2" t="s">
        <v>37</v>
      </c>
      <c r="I236" s="2" t="s">
        <v>37</v>
      </c>
      <c r="J236" s="2" t="s">
        <v>37</v>
      </c>
      <c r="K236" s="2" t="s">
        <v>37</v>
      </c>
    </row>
    <row r="237" spans="3:11">
      <c r="C237" s="9" t="s">
        <v>166</v>
      </c>
      <c r="D237" s="2" t="s">
        <v>37</v>
      </c>
      <c r="E237" s="2" t="s">
        <v>37</v>
      </c>
      <c r="F237" s="2" t="s">
        <v>37</v>
      </c>
      <c r="G237" s="2" t="s">
        <v>37</v>
      </c>
      <c r="H237" s="2" t="s">
        <v>37</v>
      </c>
      <c r="I237" s="2" t="s">
        <v>37</v>
      </c>
      <c r="J237" s="2" t="s">
        <v>37</v>
      </c>
      <c r="K237" s="2" t="s">
        <v>37</v>
      </c>
    </row>
    <row r="238" spans="3:11">
      <c r="C238" s="9" t="s">
        <v>167</v>
      </c>
      <c r="D238" s="2" t="s">
        <v>37</v>
      </c>
      <c r="E238" s="2" t="s">
        <v>37</v>
      </c>
      <c r="F238" s="2" t="s">
        <v>37</v>
      </c>
      <c r="G238" s="2" t="s">
        <v>37</v>
      </c>
      <c r="H238" s="2" t="s">
        <v>37</v>
      </c>
      <c r="I238" s="2" t="s">
        <v>37</v>
      </c>
      <c r="J238" s="2" t="s">
        <v>37</v>
      </c>
      <c r="K238" s="2" t="s">
        <v>37</v>
      </c>
    </row>
    <row r="239" spans="3:11">
      <c r="C239" s="9" t="s">
        <v>168</v>
      </c>
      <c r="D239" s="2" t="s">
        <v>37</v>
      </c>
      <c r="E239" s="2" t="s">
        <v>37</v>
      </c>
      <c r="F239" s="2" t="s">
        <v>37</v>
      </c>
      <c r="G239" s="2" t="s">
        <v>37</v>
      </c>
      <c r="H239" s="2" t="s">
        <v>37</v>
      </c>
      <c r="I239" s="2" t="s">
        <v>37</v>
      </c>
      <c r="J239" s="2" t="s">
        <v>37</v>
      </c>
      <c r="K239" s="2" t="s">
        <v>37</v>
      </c>
    </row>
    <row r="240" spans="3:11">
      <c r="C240" s="9" t="s">
        <v>169</v>
      </c>
      <c r="D240" s="2" t="s">
        <v>37</v>
      </c>
      <c r="E240" s="2" t="s">
        <v>37</v>
      </c>
      <c r="F240" s="2" t="s">
        <v>37</v>
      </c>
      <c r="G240" s="2" t="s">
        <v>37</v>
      </c>
      <c r="H240" s="2" t="s">
        <v>37</v>
      </c>
      <c r="I240" s="2" t="s">
        <v>37</v>
      </c>
      <c r="J240" s="2" t="s">
        <v>37</v>
      </c>
      <c r="K240" s="2" t="s">
        <v>37</v>
      </c>
    </row>
    <row r="241" spans="3:11">
      <c r="C241" s="9" t="s">
        <v>170</v>
      </c>
      <c r="D241" s="2" t="s">
        <v>37</v>
      </c>
      <c r="E241" s="2" t="s">
        <v>37</v>
      </c>
      <c r="F241" s="2" t="s">
        <v>37</v>
      </c>
      <c r="G241" s="2" t="s">
        <v>37</v>
      </c>
      <c r="H241" s="2" t="s">
        <v>37</v>
      </c>
      <c r="I241" s="2" t="s">
        <v>37</v>
      </c>
      <c r="J241" s="2" t="s">
        <v>37</v>
      </c>
      <c r="K241" s="2" t="s">
        <v>37</v>
      </c>
    </row>
    <row r="242" spans="3:11">
      <c r="C242" s="9" t="s">
        <v>171</v>
      </c>
      <c r="D242" s="2" t="s">
        <v>37</v>
      </c>
      <c r="E242" s="2" t="s">
        <v>37</v>
      </c>
      <c r="F242" s="2" t="s">
        <v>37</v>
      </c>
      <c r="G242" s="2" t="s">
        <v>37</v>
      </c>
      <c r="H242" s="2" t="s">
        <v>37</v>
      </c>
      <c r="I242" s="2" t="s">
        <v>37</v>
      </c>
      <c r="J242" s="2" t="s">
        <v>37</v>
      </c>
      <c r="K242" s="2" t="s">
        <v>37</v>
      </c>
    </row>
    <row r="243" spans="3:11">
      <c r="C243" s="9" t="s">
        <v>172</v>
      </c>
      <c r="D243" s="2" t="s">
        <v>37</v>
      </c>
      <c r="E243" s="2" t="s">
        <v>37</v>
      </c>
      <c r="F243" s="2" t="s">
        <v>37</v>
      </c>
      <c r="G243" s="2" t="s">
        <v>37</v>
      </c>
      <c r="H243" s="2" t="s">
        <v>37</v>
      </c>
      <c r="I243" s="2" t="s">
        <v>37</v>
      </c>
      <c r="J243" s="2" t="s">
        <v>37</v>
      </c>
      <c r="K243" s="2" t="s">
        <v>37</v>
      </c>
    </row>
    <row r="244" spans="3:11">
      <c r="C244" s="9" t="s">
        <v>173</v>
      </c>
      <c r="D244" s="2" t="s">
        <v>37</v>
      </c>
      <c r="E244" s="2" t="s">
        <v>37</v>
      </c>
      <c r="F244" s="2" t="s">
        <v>37</v>
      </c>
      <c r="G244" s="2" t="s">
        <v>37</v>
      </c>
      <c r="H244" s="2" t="s">
        <v>37</v>
      </c>
      <c r="I244" s="2" t="s">
        <v>37</v>
      </c>
      <c r="J244" s="2" t="s">
        <v>37</v>
      </c>
      <c r="K244" s="2" t="s">
        <v>37</v>
      </c>
    </row>
    <row r="245" spans="3:11">
      <c r="C245" s="9" t="s">
        <v>174</v>
      </c>
      <c r="D245" s="2" t="s">
        <v>37</v>
      </c>
      <c r="E245" s="2" t="s">
        <v>37</v>
      </c>
      <c r="F245" s="2" t="s">
        <v>37</v>
      </c>
      <c r="G245" s="2" t="s">
        <v>37</v>
      </c>
      <c r="H245" s="2" t="s">
        <v>37</v>
      </c>
      <c r="I245" s="2" t="s">
        <v>37</v>
      </c>
      <c r="J245" s="2" t="s">
        <v>37</v>
      </c>
      <c r="K245" s="2" t="s">
        <v>37</v>
      </c>
    </row>
    <row r="246" spans="3:11">
      <c r="C246" s="9" t="s">
        <v>175</v>
      </c>
      <c r="D246" s="2" t="s">
        <v>37</v>
      </c>
      <c r="E246" s="2" t="s">
        <v>37</v>
      </c>
      <c r="F246" s="2" t="s">
        <v>37</v>
      </c>
      <c r="G246" s="2" t="s">
        <v>37</v>
      </c>
      <c r="H246" s="2" t="s">
        <v>37</v>
      </c>
      <c r="I246" s="2" t="s">
        <v>37</v>
      </c>
      <c r="J246" s="2" t="s">
        <v>37</v>
      </c>
      <c r="K246" s="2" t="s">
        <v>37</v>
      </c>
    </row>
    <row r="247" spans="3:11">
      <c r="C247" s="9" t="s">
        <v>176</v>
      </c>
      <c r="D247" s="2" t="s">
        <v>37</v>
      </c>
      <c r="E247" s="2" t="s">
        <v>37</v>
      </c>
      <c r="F247" s="2" t="s">
        <v>37</v>
      </c>
      <c r="G247" s="2" t="s">
        <v>37</v>
      </c>
      <c r="H247" s="2" t="s">
        <v>37</v>
      </c>
      <c r="I247" s="2" t="s">
        <v>37</v>
      </c>
      <c r="J247" s="2" t="s">
        <v>37</v>
      </c>
      <c r="K247" s="2" t="s">
        <v>37</v>
      </c>
    </row>
    <row r="248" spans="3:11">
      <c r="C248" s="9" t="s">
        <v>177</v>
      </c>
      <c r="D248" s="2" t="s">
        <v>37</v>
      </c>
      <c r="E248" s="2" t="s">
        <v>37</v>
      </c>
      <c r="F248" s="2" t="s">
        <v>37</v>
      </c>
      <c r="G248" s="2" t="s">
        <v>37</v>
      </c>
      <c r="H248" s="2" t="s">
        <v>37</v>
      </c>
      <c r="I248" s="2" t="s">
        <v>37</v>
      </c>
      <c r="J248" s="2" t="s">
        <v>37</v>
      </c>
      <c r="K248" s="2" t="s">
        <v>37</v>
      </c>
    </row>
    <row r="249" spans="3:11">
      <c r="C249" s="9" t="s">
        <v>178</v>
      </c>
      <c r="D249" s="2" t="s">
        <v>37</v>
      </c>
      <c r="E249" s="2" t="s">
        <v>37</v>
      </c>
      <c r="F249" s="2" t="s">
        <v>37</v>
      </c>
      <c r="G249" s="2" t="s">
        <v>37</v>
      </c>
      <c r="H249" s="2" t="s">
        <v>37</v>
      </c>
      <c r="I249" s="2" t="s">
        <v>37</v>
      </c>
      <c r="J249" s="2" t="s">
        <v>37</v>
      </c>
      <c r="K249" s="2" t="s">
        <v>37</v>
      </c>
    </row>
    <row r="250" spans="3:11">
      <c r="C250" s="9" t="s">
        <v>179</v>
      </c>
      <c r="D250" s="2" t="s">
        <v>37</v>
      </c>
      <c r="E250" s="2" t="s">
        <v>37</v>
      </c>
      <c r="F250" s="2" t="s">
        <v>37</v>
      </c>
      <c r="G250" s="2" t="s">
        <v>37</v>
      </c>
      <c r="H250" s="2" t="s">
        <v>37</v>
      </c>
      <c r="I250" s="2" t="s">
        <v>37</v>
      </c>
      <c r="J250" s="2" t="s">
        <v>37</v>
      </c>
      <c r="K250" s="2" t="s">
        <v>37</v>
      </c>
    </row>
    <row r="251" spans="3:11">
      <c r="C251" s="9" t="s">
        <v>180</v>
      </c>
      <c r="D251" s="2" t="s">
        <v>37</v>
      </c>
      <c r="E251" s="2" t="s">
        <v>37</v>
      </c>
      <c r="F251" s="2" t="s">
        <v>37</v>
      </c>
      <c r="G251" s="2" t="s">
        <v>37</v>
      </c>
      <c r="H251" s="2" t="s">
        <v>37</v>
      </c>
      <c r="I251" s="2" t="s">
        <v>37</v>
      </c>
      <c r="J251" s="2" t="s">
        <v>37</v>
      </c>
      <c r="K251" s="2" t="s">
        <v>37</v>
      </c>
    </row>
    <row r="252" spans="3:11">
      <c r="C252" s="9" t="s">
        <v>181</v>
      </c>
      <c r="D252" s="2" t="s">
        <v>37</v>
      </c>
      <c r="E252" s="2" t="s">
        <v>37</v>
      </c>
      <c r="F252" s="2" t="s">
        <v>37</v>
      </c>
      <c r="G252" s="2" t="s">
        <v>37</v>
      </c>
      <c r="H252" s="2" t="s">
        <v>37</v>
      </c>
      <c r="I252" s="2" t="s">
        <v>37</v>
      </c>
      <c r="J252" s="2" t="s">
        <v>37</v>
      </c>
      <c r="K252" s="2" t="s">
        <v>37</v>
      </c>
    </row>
    <row r="253" spans="3:11">
      <c r="C253" s="9" t="s">
        <v>182</v>
      </c>
      <c r="D253" s="2" t="s">
        <v>37</v>
      </c>
      <c r="E253" s="2" t="s">
        <v>37</v>
      </c>
      <c r="F253" s="2" t="s">
        <v>37</v>
      </c>
      <c r="G253" s="2" t="s">
        <v>37</v>
      </c>
      <c r="H253" s="2" t="s">
        <v>37</v>
      </c>
      <c r="I253" s="2" t="s">
        <v>37</v>
      </c>
      <c r="J253" s="2" t="s">
        <v>37</v>
      </c>
      <c r="K253" s="2" t="s">
        <v>37</v>
      </c>
    </row>
    <row r="254" spans="3:11">
      <c r="C254" s="9" t="s">
        <v>183</v>
      </c>
      <c r="D254" s="2" t="s">
        <v>37</v>
      </c>
      <c r="E254" s="2" t="s">
        <v>37</v>
      </c>
      <c r="F254" s="2" t="s">
        <v>37</v>
      </c>
      <c r="G254" s="2" t="s">
        <v>37</v>
      </c>
      <c r="H254" s="2" t="s">
        <v>37</v>
      </c>
      <c r="I254" s="2" t="s">
        <v>37</v>
      </c>
      <c r="J254" s="2" t="s">
        <v>37</v>
      </c>
      <c r="K254" s="2" t="s">
        <v>37</v>
      </c>
    </row>
    <row r="255" spans="3:11">
      <c r="C255" s="9" t="s">
        <v>184</v>
      </c>
      <c r="D255" s="2" t="s">
        <v>37</v>
      </c>
      <c r="E255" s="2" t="s">
        <v>37</v>
      </c>
      <c r="F255" s="2" t="s">
        <v>37</v>
      </c>
      <c r="G255" s="2" t="s">
        <v>37</v>
      </c>
      <c r="H255" s="2" t="s">
        <v>37</v>
      </c>
      <c r="I255" s="2" t="s">
        <v>37</v>
      </c>
      <c r="J255" s="2" t="s">
        <v>37</v>
      </c>
      <c r="K255" s="2" t="s">
        <v>37</v>
      </c>
    </row>
    <row r="256" spans="3:11">
      <c r="C256" s="9" t="s">
        <v>186</v>
      </c>
      <c r="D256" s="2" t="s">
        <v>37</v>
      </c>
      <c r="E256" s="2" t="s">
        <v>37</v>
      </c>
      <c r="F256" s="2" t="s">
        <v>37</v>
      </c>
      <c r="G256" s="2" t="s">
        <v>37</v>
      </c>
      <c r="H256" s="2" t="s">
        <v>37</v>
      </c>
      <c r="I256" s="2" t="s">
        <v>37</v>
      </c>
      <c r="J256" s="2" t="s">
        <v>37</v>
      </c>
      <c r="K256" s="2" t="s">
        <v>37</v>
      </c>
    </row>
    <row r="257" spans="3:11">
      <c r="C257" s="9" t="s">
        <v>188</v>
      </c>
      <c r="D257" s="2" t="s">
        <v>37</v>
      </c>
      <c r="E257" s="2" t="s">
        <v>37</v>
      </c>
      <c r="F257" s="2" t="s">
        <v>37</v>
      </c>
      <c r="G257" s="2" t="s">
        <v>37</v>
      </c>
      <c r="H257" s="2" t="s">
        <v>37</v>
      </c>
      <c r="I257" s="2" t="s">
        <v>37</v>
      </c>
      <c r="J257" s="2" t="s">
        <v>37</v>
      </c>
      <c r="K257" s="2" t="s">
        <v>37</v>
      </c>
    </row>
    <row r="258" spans="3:11">
      <c r="C258" s="9" t="s">
        <v>190</v>
      </c>
      <c r="D258" s="2" t="s">
        <v>37</v>
      </c>
      <c r="E258" s="2" t="s">
        <v>37</v>
      </c>
      <c r="F258" s="2" t="s">
        <v>37</v>
      </c>
      <c r="G258" s="2" t="s">
        <v>37</v>
      </c>
      <c r="H258" s="2" t="s">
        <v>37</v>
      </c>
      <c r="I258" s="2" t="s">
        <v>37</v>
      </c>
      <c r="J258" s="2" t="s">
        <v>37</v>
      </c>
      <c r="K258" s="2" t="s">
        <v>37</v>
      </c>
    </row>
    <row r="259" spans="3:11">
      <c r="C259" s="9" t="s">
        <v>192</v>
      </c>
      <c r="D259" s="2" t="s">
        <v>37</v>
      </c>
      <c r="E259" s="2" t="s">
        <v>37</v>
      </c>
      <c r="F259" s="2" t="s">
        <v>37</v>
      </c>
      <c r="G259" s="2" t="s">
        <v>37</v>
      </c>
      <c r="H259" s="2" t="s">
        <v>37</v>
      </c>
      <c r="I259" s="2" t="s">
        <v>37</v>
      </c>
      <c r="J259" s="2" t="s">
        <v>37</v>
      </c>
      <c r="K259" s="2" t="s">
        <v>37</v>
      </c>
    </row>
    <row r="260" spans="3:11">
      <c r="C260" s="9" t="s">
        <v>194</v>
      </c>
      <c r="D260" s="2" t="s">
        <v>37</v>
      </c>
      <c r="E260" s="2" t="s">
        <v>37</v>
      </c>
      <c r="F260" s="2" t="s">
        <v>37</v>
      </c>
      <c r="G260" s="2" t="s">
        <v>37</v>
      </c>
      <c r="H260" s="2" t="s">
        <v>37</v>
      </c>
      <c r="I260" s="2" t="s">
        <v>37</v>
      </c>
      <c r="J260" s="2" t="s">
        <v>37</v>
      </c>
      <c r="K260" s="2" t="s">
        <v>37</v>
      </c>
    </row>
    <row r="261" spans="3:11">
      <c r="C261" s="9" t="s">
        <v>196</v>
      </c>
      <c r="D261" s="2" t="s">
        <v>37</v>
      </c>
      <c r="E261" s="2" t="s">
        <v>37</v>
      </c>
      <c r="F261" s="2" t="s">
        <v>37</v>
      </c>
      <c r="G261" s="2" t="s">
        <v>37</v>
      </c>
      <c r="H261" s="2" t="s">
        <v>37</v>
      </c>
      <c r="I261" s="2" t="s">
        <v>37</v>
      </c>
      <c r="J261" s="2" t="s">
        <v>37</v>
      </c>
      <c r="K261" s="2" t="s">
        <v>37</v>
      </c>
    </row>
    <row r="262" spans="3:11">
      <c r="C262" s="9" t="s">
        <v>198</v>
      </c>
      <c r="D262" s="2" t="s">
        <v>37</v>
      </c>
      <c r="E262" s="2" t="s">
        <v>37</v>
      </c>
      <c r="F262" s="2" t="s">
        <v>37</v>
      </c>
      <c r="G262" s="2" t="s">
        <v>37</v>
      </c>
      <c r="H262" s="2" t="s">
        <v>37</v>
      </c>
      <c r="I262" s="2" t="s">
        <v>37</v>
      </c>
      <c r="J262" s="2" t="s">
        <v>37</v>
      </c>
      <c r="K262" s="2" t="s">
        <v>37</v>
      </c>
    </row>
    <row r="263" spans="3:11">
      <c r="C263" s="9" t="s">
        <v>200</v>
      </c>
      <c r="D263" s="2" t="s">
        <v>37</v>
      </c>
      <c r="E263" s="2" t="s">
        <v>37</v>
      </c>
      <c r="F263" s="2" t="s">
        <v>37</v>
      </c>
      <c r="G263" s="2" t="s">
        <v>37</v>
      </c>
      <c r="H263" s="2" t="s">
        <v>37</v>
      </c>
      <c r="I263" s="2" t="s">
        <v>37</v>
      </c>
      <c r="J263" s="2" t="s">
        <v>37</v>
      </c>
      <c r="K263" s="2" t="s">
        <v>37</v>
      </c>
    </row>
    <row r="264" spans="3:11">
      <c r="C264" s="9" t="s">
        <v>202</v>
      </c>
      <c r="D264" s="2" t="s">
        <v>37</v>
      </c>
      <c r="E264" s="2" t="s">
        <v>37</v>
      </c>
      <c r="F264" s="2" t="s">
        <v>37</v>
      </c>
      <c r="G264" s="2" t="s">
        <v>37</v>
      </c>
      <c r="H264" s="2" t="s">
        <v>37</v>
      </c>
      <c r="I264" s="2" t="s">
        <v>37</v>
      </c>
      <c r="J264" s="2" t="s">
        <v>37</v>
      </c>
      <c r="K264" s="2" t="s">
        <v>37</v>
      </c>
    </row>
    <row r="265" spans="3:11">
      <c r="C265" s="9" t="s">
        <v>204</v>
      </c>
      <c r="D265" s="2" t="s">
        <v>37</v>
      </c>
      <c r="E265" s="2" t="s">
        <v>37</v>
      </c>
      <c r="F265" s="2" t="s">
        <v>37</v>
      </c>
      <c r="G265" s="2" t="s">
        <v>37</v>
      </c>
      <c r="H265" s="2" t="s">
        <v>37</v>
      </c>
      <c r="I265" s="2" t="s">
        <v>37</v>
      </c>
      <c r="J265" s="2" t="s">
        <v>37</v>
      </c>
      <c r="K265" s="2" t="s">
        <v>37</v>
      </c>
    </row>
    <row r="266" spans="3:11">
      <c r="C266" s="9" t="s">
        <v>207</v>
      </c>
      <c r="D266" s="2" t="s">
        <v>37</v>
      </c>
      <c r="E266" s="2" t="s">
        <v>37</v>
      </c>
      <c r="F266" s="2" t="s">
        <v>37</v>
      </c>
      <c r="G266" s="2" t="s">
        <v>37</v>
      </c>
      <c r="H266" s="2" t="s">
        <v>37</v>
      </c>
      <c r="I266" s="2" t="s">
        <v>37</v>
      </c>
      <c r="J266" s="2" t="s">
        <v>37</v>
      </c>
      <c r="K266" s="2" t="s">
        <v>37</v>
      </c>
    </row>
    <row r="267" spans="3:11">
      <c r="C267" s="9" t="s">
        <v>210</v>
      </c>
      <c r="D267" s="2" t="s">
        <v>37</v>
      </c>
      <c r="E267" s="2" t="s">
        <v>37</v>
      </c>
      <c r="F267" s="2" t="s">
        <v>37</v>
      </c>
      <c r="G267" s="2" t="s">
        <v>37</v>
      </c>
      <c r="H267" s="2" t="s">
        <v>37</v>
      </c>
      <c r="I267" s="2" t="s">
        <v>37</v>
      </c>
      <c r="J267" s="2" t="s">
        <v>37</v>
      </c>
      <c r="K267" s="2" t="s">
        <v>37</v>
      </c>
    </row>
    <row r="268" spans="3:11">
      <c r="C268" s="9" t="s">
        <v>213</v>
      </c>
      <c r="D268" s="2" t="s">
        <v>37</v>
      </c>
      <c r="E268" s="2" t="s">
        <v>37</v>
      </c>
      <c r="F268" s="2" t="s">
        <v>37</v>
      </c>
      <c r="G268" s="2" t="s">
        <v>37</v>
      </c>
      <c r="H268" s="2" t="s">
        <v>37</v>
      </c>
      <c r="I268" s="2" t="s">
        <v>37</v>
      </c>
      <c r="J268" s="2" t="s">
        <v>37</v>
      </c>
      <c r="K268" s="2" t="s">
        <v>37</v>
      </c>
    </row>
    <row r="269" spans="3:11">
      <c r="C269" s="9" t="s">
        <v>216</v>
      </c>
      <c r="D269" s="2" t="s">
        <v>37</v>
      </c>
      <c r="E269" s="2" t="s">
        <v>37</v>
      </c>
      <c r="F269" s="2" t="s">
        <v>37</v>
      </c>
      <c r="G269" s="2" t="s">
        <v>37</v>
      </c>
      <c r="H269" s="2" t="s">
        <v>37</v>
      </c>
      <c r="I269" s="2" t="s">
        <v>37</v>
      </c>
      <c r="J269" s="2" t="s">
        <v>37</v>
      </c>
      <c r="K269" s="2" t="s">
        <v>37</v>
      </c>
    </row>
    <row r="270" spans="3:11" ht="20.399999999999999">
      <c r="C270" s="5" t="s">
        <v>185</v>
      </c>
      <c r="D270" s="2" t="s">
        <v>220</v>
      </c>
      <c r="E270" s="2" t="s">
        <v>37</v>
      </c>
      <c r="F270" s="2" t="s">
        <v>37</v>
      </c>
      <c r="G270" s="2" t="s">
        <v>37</v>
      </c>
      <c r="H270" s="2" t="s">
        <v>37</v>
      </c>
      <c r="I270" s="2" t="s">
        <v>37</v>
      </c>
      <c r="J270" s="2" t="s">
        <v>37</v>
      </c>
      <c r="K270" s="2" t="s">
        <v>37</v>
      </c>
    </row>
    <row r="271" spans="3:11" ht="20.399999999999999">
      <c r="C271" s="5" t="s">
        <v>187</v>
      </c>
      <c r="D271" s="2" t="s">
        <v>221</v>
      </c>
      <c r="E271" s="2" t="s">
        <v>37</v>
      </c>
      <c r="F271" s="2" t="s">
        <v>37</v>
      </c>
      <c r="G271" s="2" t="s">
        <v>37</v>
      </c>
      <c r="H271" s="2" t="s">
        <v>37</v>
      </c>
      <c r="I271" s="2" t="s">
        <v>37</v>
      </c>
      <c r="J271" s="2" t="s">
        <v>37</v>
      </c>
      <c r="K271" s="2" t="s">
        <v>37</v>
      </c>
    </row>
    <row r="272" spans="3:11" ht="20.399999999999999">
      <c r="C272" s="5" t="s">
        <v>189</v>
      </c>
      <c r="D272" s="2" t="s">
        <v>222</v>
      </c>
      <c r="E272" s="2" t="s">
        <v>37</v>
      </c>
      <c r="F272" s="2" t="s">
        <v>37</v>
      </c>
      <c r="G272" s="2" t="s">
        <v>37</v>
      </c>
      <c r="H272" s="2" t="s">
        <v>37</v>
      </c>
      <c r="I272" s="2" t="s">
        <v>37</v>
      </c>
      <c r="J272" s="2" t="s">
        <v>37</v>
      </c>
      <c r="K272" s="2" t="s">
        <v>37</v>
      </c>
    </row>
    <row r="273" spans="3:11" ht="20.399999999999999">
      <c r="C273" s="5" t="s">
        <v>191</v>
      </c>
      <c r="D273" s="2" t="s">
        <v>223</v>
      </c>
      <c r="E273" s="2" t="s">
        <v>37</v>
      </c>
      <c r="F273" s="2" t="s">
        <v>37</v>
      </c>
      <c r="G273" s="2" t="s">
        <v>37</v>
      </c>
      <c r="H273" s="2" t="s">
        <v>37</v>
      </c>
      <c r="I273" s="2" t="s">
        <v>37</v>
      </c>
      <c r="J273" s="2" t="s">
        <v>37</v>
      </c>
      <c r="K273" s="2" t="s">
        <v>37</v>
      </c>
    </row>
    <row r="274" spans="3:11" ht="20.399999999999999">
      <c r="C274" s="5" t="s">
        <v>193</v>
      </c>
      <c r="D274" s="2" t="s">
        <v>224</v>
      </c>
      <c r="E274" s="2" t="s">
        <v>37</v>
      </c>
      <c r="F274" s="2" t="s">
        <v>37</v>
      </c>
      <c r="G274" s="2" t="s">
        <v>37</v>
      </c>
      <c r="H274" s="2" t="s">
        <v>37</v>
      </c>
      <c r="I274" s="2" t="s">
        <v>37</v>
      </c>
      <c r="J274" s="2" t="s">
        <v>37</v>
      </c>
      <c r="K274" s="2" t="s">
        <v>37</v>
      </c>
    </row>
    <row r="275" spans="3:11" ht="20.399999999999999">
      <c r="C275" s="5" t="s">
        <v>195</v>
      </c>
      <c r="D275" s="2" t="s">
        <v>225</v>
      </c>
      <c r="E275" s="2" t="s">
        <v>37</v>
      </c>
      <c r="F275" s="2" t="s">
        <v>37</v>
      </c>
      <c r="G275" s="2" t="s">
        <v>37</v>
      </c>
      <c r="H275" s="2" t="s">
        <v>37</v>
      </c>
      <c r="I275" s="2" t="s">
        <v>37</v>
      </c>
      <c r="J275" s="2" t="s">
        <v>37</v>
      </c>
      <c r="K275" s="2" t="s">
        <v>37</v>
      </c>
    </row>
    <row r="276" spans="3:11" ht="20.399999999999999">
      <c r="C276" s="5" t="s">
        <v>197</v>
      </c>
      <c r="D276" s="2" t="s">
        <v>226</v>
      </c>
      <c r="E276" s="2" t="s">
        <v>37</v>
      </c>
      <c r="F276" s="2" t="s">
        <v>37</v>
      </c>
      <c r="G276" s="2" t="s">
        <v>37</v>
      </c>
      <c r="H276" s="2" t="s">
        <v>37</v>
      </c>
      <c r="I276" s="2" t="s">
        <v>37</v>
      </c>
      <c r="J276" s="2" t="s">
        <v>37</v>
      </c>
      <c r="K276" s="2" t="s">
        <v>37</v>
      </c>
    </row>
    <row r="277" spans="3:11" ht="20.399999999999999">
      <c r="C277" s="5" t="s">
        <v>199</v>
      </c>
      <c r="D277" s="2" t="s">
        <v>227</v>
      </c>
      <c r="E277" s="2" t="s">
        <v>37</v>
      </c>
      <c r="F277" s="2" t="s">
        <v>37</v>
      </c>
      <c r="G277" s="2" t="s">
        <v>37</v>
      </c>
      <c r="H277" s="2" t="s">
        <v>37</v>
      </c>
      <c r="I277" s="2" t="s">
        <v>37</v>
      </c>
      <c r="J277" s="2" t="s">
        <v>37</v>
      </c>
      <c r="K277" s="2" t="s">
        <v>37</v>
      </c>
    </row>
    <row r="278" spans="3:11" ht="20.399999999999999">
      <c r="C278" s="5" t="s">
        <v>201</v>
      </c>
      <c r="D278" s="2" t="s">
        <v>228</v>
      </c>
      <c r="E278" s="2" t="s">
        <v>37</v>
      </c>
      <c r="F278" s="2" t="s">
        <v>37</v>
      </c>
      <c r="G278" s="2" t="s">
        <v>37</v>
      </c>
      <c r="H278" s="2" t="s">
        <v>37</v>
      </c>
      <c r="I278" s="2" t="s">
        <v>37</v>
      </c>
      <c r="J278" s="2" t="s">
        <v>37</v>
      </c>
      <c r="K278" s="2" t="s">
        <v>37</v>
      </c>
    </row>
    <row r="279" spans="3:11" ht="20.399999999999999">
      <c r="C279" s="5" t="s">
        <v>203</v>
      </c>
      <c r="D279" s="2" t="s">
        <v>229</v>
      </c>
      <c r="E279" s="2" t="s">
        <v>37</v>
      </c>
      <c r="F279" s="2" t="s">
        <v>37</v>
      </c>
      <c r="G279" s="2" t="s">
        <v>37</v>
      </c>
      <c r="H279" s="2" t="s">
        <v>37</v>
      </c>
      <c r="I279" s="2" t="s">
        <v>37</v>
      </c>
      <c r="J279" s="2" t="s">
        <v>37</v>
      </c>
      <c r="K279" s="2" t="s">
        <v>37</v>
      </c>
    </row>
    <row r="280" spans="3:11" ht="20.399999999999999">
      <c r="C280" s="5" t="s">
        <v>205</v>
      </c>
      <c r="D280" s="2" t="s">
        <v>230</v>
      </c>
      <c r="E280" s="2" t="s">
        <v>37</v>
      </c>
      <c r="F280" s="2" t="s">
        <v>37</v>
      </c>
      <c r="G280" s="2" t="s">
        <v>37</v>
      </c>
      <c r="H280" s="2" t="s">
        <v>37</v>
      </c>
      <c r="I280" s="2" t="s">
        <v>37</v>
      </c>
      <c r="J280" s="2" t="s">
        <v>37</v>
      </c>
      <c r="K280" s="2" t="s">
        <v>37</v>
      </c>
    </row>
    <row r="281" spans="3:11" ht="20.399999999999999">
      <c r="C281" s="5" t="s">
        <v>208</v>
      </c>
      <c r="D281" s="2" t="s">
        <v>231</v>
      </c>
      <c r="E281" s="2" t="s">
        <v>37</v>
      </c>
      <c r="F281" s="2" t="s">
        <v>37</v>
      </c>
      <c r="G281" s="2" t="s">
        <v>37</v>
      </c>
      <c r="H281" s="2" t="s">
        <v>37</v>
      </c>
      <c r="I281" s="2" t="s">
        <v>37</v>
      </c>
      <c r="J281" s="2" t="s">
        <v>37</v>
      </c>
      <c r="K281" s="2" t="s">
        <v>37</v>
      </c>
    </row>
    <row r="282" spans="3:11" ht="20.399999999999999">
      <c r="C282" s="5" t="s">
        <v>211</v>
      </c>
      <c r="D282" s="2" t="s">
        <v>232</v>
      </c>
      <c r="E282" s="2" t="s">
        <v>37</v>
      </c>
      <c r="F282" s="2" t="s">
        <v>37</v>
      </c>
      <c r="G282" s="2" t="s">
        <v>37</v>
      </c>
      <c r="H282" s="2" t="s">
        <v>37</v>
      </c>
      <c r="I282" s="2" t="s">
        <v>37</v>
      </c>
      <c r="J282" s="2" t="s">
        <v>37</v>
      </c>
      <c r="K282" s="2" t="s">
        <v>37</v>
      </c>
    </row>
    <row r="283" spans="3:11" ht="20.399999999999999">
      <c r="C283" s="5" t="s">
        <v>214</v>
      </c>
      <c r="D283" s="2" t="s">
        <v>233</v>
      </c>
      <c r="E283" s="2" t="s">
        <v>37</v>
      </c>
      <c r="F283" s="2" t="s">
        <v>37</v>
      </c>
      <c r="G283" s="2" t="s">
        <v>37</v>
      </c>
      <c r="H283" s="2" t="s">
        <v>37</v>
      </c>
      <c r="I283" s="2" t="s">
        <v>37</v>
      </c>
      <c r="J283" s="2" t="s">
        <v>37</v>
      </c>
      <c r="K283" s="2" t="s">
        <v>37</v>
      </c>
    </row>
    <row r="284" spans="3:11" ht="20.399999999999999">
      <c r="C284" s="5" t="s">
        <v>217</v>
      </c>
      <c r="D284" s="2" t="s">
        <v>234</v>
      </c>
      <c r="E284" s="2" t="s">
        <v>37</v>
      </c>
      <c r="F284" s="2" t="s">
        <v>37</v>
      </c>
      <c r="G284" s="2" t="s">
        <v>37</v>
      </c>
      <c r="H284" s="2" t="s">
        <v>37</v>
      </c>
      <c r="I284" s="2" t="s">
        <v>37</v>
      </c>
      <c r="J284" s="2" t="s">
        <v>37</v>
      </c>
      <c r="K284" s="2" t="s">
        <v>37</v>
      </c>
    </row>
    <row r="285" spans="3:11" ht="20.399999999999999">
      <c r="C285" s="6" t="s">
        <v>206</v>
      </c>
      <c r="D285" s="2" t="s">
        <v>235</v>
      </c>
      <c r="E285" s="2" t="s">
        <v>236</v>
      </c>
      <c r="F285" s="2" t="s">
        <v>37</v>
      </c>
      <c r="G285" s="2" t="s">
        <v>37</v>
      </c>
      <c r="H285" s="2" t="s">
        <v>37</v>
      </c>
      <c r="I285" s="2" t="s">
        <v>37</v>
      </c>
      <c r="J285" s="2" t="s">
        <v>37</v>
      </c>
      <c r="K285" s="2" t="s">
        <v>37</v>
      </c>
    </row>
    <row r="286" spans="3:11" ht="20.399999999999999">
      <c r="C286" s="6" t="s">
        <v>209</v>
      </c>
      <c r="D286" s="2" t="s">
        <v>237</v>
      </c>
      <c r="E286" s="2" t="s">
        <v>238</v>
      </c>
      <c r="F286" s="2" t="s">
        <v>37</v>
      </c>
      <c r="G286" s="2" t="s">
        <v>37</v>
      </c>
      <c r="H286" s="2" t="s">
        <v>37</v>
      </c>
      <c r="I286" s="2" t="s">
        <v>37</v>
      </c>
      <c r="J286" s="2" t="s">
        <v>37</v>
      </c>
      <c r="K286" s="2" t="s">
        <v>37</v>
      </c>
    </row>
    <row r="287" spans="3:11" ht="20.399999999999999">
      <c r="C287" s="6" t="s">
        <v>212</v>
      </c>
      <c r="D287" s="2" t="s">
        <v>239</v>
      </c>
      <c r="E287" s="2" t="s">
        <v>240</v>
      </c>
      <c r="F287" s="2" t="s">
        <v>37</v>
      </c>
      <c r="G287" s="2" t="s">
        <v>37</v>
      </c>
      <c r="H287" s="2" t="s">
        <v>37</v>
      </c>
      <c r="I287" s="2" t="s">
        <v>37</v>
      </c>
      <c r="J287" s="2" t="s">
        <v>37</v>
      </c>
      <c r="K287" s="2" t="s">
        <v>37</v>
      </c>
    </row>
    <row r="288" spans="3:11" ht="20.399999999999999">
      <c r="C288" s="6" t="s">
        <v>215</v>
      </c>
      <c r="D288" s="2" t="s">
        <v>241</v>
      </c>
      <c r="E288" s="2" t="s">
        <v>242</v>
      </c>
      <c r="F288" s="2" t="s">
        <v>37</v>
      </c>
      <c r="G288" s="2" t="s">
        <v>37</v>
      </c>
      <c r="H288" s="2" t="s">
        <v>37</v>
      </c>
      <c r="I288" s="2" t="s">
        <v>37</v>
      </c>
      <c r="J288" s="2" t="s">
        <v>37</v>
      </c>
      <c r="K288" s="2" t="s">
        <v>37</v>
      </c>
    </row>
    <row r="289" spans="3:11" ht="20.399999999999999">
      <c r="C289" s="6" t="s">
        <v>218</v>
      </c>
      <c r="D289" s="2" t="s">
        <v>243</v>
      </c>
      <c r="E289" s="2" t="s">
        <v>244</v>
      </c>
      <c r="F289" s="2" t="s">
        <v>37</v>
      </c>
      <c r="G289" s="2" t="s">
        <v>37</v>
      </c>
      <c r="H289" s="2" t="s">
        <v>37</v>
      </c>
      <c r="I289" s="2" t="s">
        <v>37</v>
      </c>
      <c r="J289" s="2" t="s">
        <v>37</v>
      </c>
      <c r="K289" s="2" t="s">
        <v>37</v>
      </c>
    </row>
    <row r="290" spans="3:11" ht="20.399999999999999">
      <c r="C290" s="11" t="s">
        <v>219</v>
      </c>
      <c r="D290" s="2" t="s">
        <v>245</v>
      </c>
      <c r="E290" s="2" t="s">
        <v>246</v>
      </c>
      <c r="F290" s="2" t="s">
        <v>247</v>
      </c>
      <c r="G290" s="2" t="s">
        <v>37</v>
      </c>
      <c r="H290" s="2" t="s">
        <v>37</v>
      </c>
      <c r="I290" s="2" t="s">
        <v>37</v>
      </c>
      <c r="J290" s="2" t="s">
        <v>37</v>
      </c>
      <c r="K290" s="2" t="s">
        <v>37</v>
      </c>
    </row>
    <row r="293" spans="3:11">
      <c r="D293" s="26" t="s">
        <v>2</v>
      </c>
      <c r="E293" s="27" t="s">
        <v>1</v>
      </c>
      <c r="F293" s="28" t="s">
        <v>3</v>
      </c>
      <c r="G293" s="29" t="s">
        <v>4</v>
      </c>
      <c r="H293" s="33" t="s">
        <v>5</v>
      </c>
      <c r="I293" s="31" t="s">
        <v>6</v>
      </c>
      <c r="J293" s="32" t="s">
        <v>7</v>
      </c>
      <c r="K293" s="18" t="s">
        <v>8</v>
      </c>
    </row>
    <row r="294" spans="3:11">
      <c r="C294" s="12" t="s">
        <v>220</v>
      </c>
      <c r="D294" s="2" t="s">
        <v>37</v>
      </c>
      <c r="E294" s="2" t="s">
        <v>37</v>
      </c>
      <c r="F294" s="2" t="s">
        <v>37</v>
      </c>
      <c r="G294" s="2" t="s">
        <v>37</v>
      </c>
      <c r="H294" s="2" t="s">
        <v>37</v>
      </c>
      <c r="I294" s="2" t="s">
        <v>37</v>
      </c>
      <c r="J294" s="2" t="s">
        <v>37</v>
      </c>
      <c r="K294" s="2" t="s">
        <v>37</v>
      </c>
    </row>
    <row r="295" spans="3:11" ht="20.399999999999999">
      <c r="C295" s="12" t="s">
        <v>221</v>
      </c>
      <c r="D295" s="2" t="s">
        <v>37</v>
      </c>
      <c r="E295" s="2" t="s">
        <v>37</v>
      </c>
      <c r="F295" s="2" t="s">
        <v>37</v>
      </c>
      <c r="G295" s="2" t="s">
        <v>37</v>
      </c>
      <c r="H295" s="2" t="s">
        <v>37</v>
      </c>
      <c r="I295" s="2" t="s">
        <v>37</v>
      </c>
      <c r="J295" s="2" t="s">
        <v>37</v>
      </c>
      <c r="K295" s="2" t="s">
        <v>37</v>
      </c>
    </row>
    <row r="296" spans="3:11">
      <c r="C296" s="12" t="s">
        <v>222</v>
      </c>
      <c r="D296" s="2" t="s">
        <v>37</v>
      </c>
      <c r="E296" s="2" t="s">
        <v>37</v>
      </c>
      <c r="F296" s="2" t="s">
        <v>37</v>
      </c>
      <c r="G296" s="2" t="s">
        <v>37</v>
      </c>
      <c r="H296" s="2" t="s">
        <v>37</v>
      </c>
      <c r="I296" s="2" t="s">
        <v>37</v>
      </c>
      <c r="J296" s="2" t="s">
        <v>37</v>
      </c>
      <c r="K296" s="2" t="s">
        <v>37</v>
      </c>
    </row>
    <row r="297" spans="3:11">
      <c r="C297" s="12" t="s">
        <v>223</v>
      </c>
      <c r="D297" s="2" t="s">
        <v>37</v>
      </c>
      <c r="E297" s="2" t="s">
        <v>37</v>
      </c>
      <c r="F297" s="2" t="s">
        <v>37</v>
      </c>
      <c r="G297" s="2" t="s">
        <v>37</v>
      </c>
      <c r="H297" s="2" t="s">
        <v>37</v>
      </c>
      <c r="I297" s="2" t="s">
        <v>37</v>
      </c>
      <c r="J297" s="2" t="s">
        <v>37</v>
      </c>
      <c r="K297" s="2" t="s">
        <v>37</v>
      </c>
    </row>
    <row r="298" spans="3:11">
      <c r="C298" s="12" t="s">
        <v>224</v>
      </c>
      <c r="D298" s="2" t="s">
        <v>37</v>
      </c>
      <c r="E298" s="2" t="s">
        <v>37</v>
      </c>
      <c r="F298" s="2" t="s">
        <v>37</v>
      </c>
      <c r="G298" s="2" t="s">
        <v>37</v>
      </c>
      <c r="H298" s="2" t="s">
        <v>37</v>
      </c>
      <c r="I298" s="2" t="s">
        <v>37</v>
      </c>
      <c r="J298" s="2" t="s">
        <v>37</v>
      </c>
      <c r="K298" s="2" t="s">
        <v>37</v>
      </c>
    </row>
    <row r="299" spans="3:11">
      <c r="C299" s="12" t="s">
        <v>225</v>
      </c>
      <c r="D299" s="2" t="s">
        <v>37</v>
      </c>
      <c r="E299" s="2" t="s">
        <v>37</v>
      </c>
      <c r="F299" s="2" t="s">
        <v>37</v>
      </c>
      <c r="G299" s="2" t="s">
        <v>37</v>
      </c>
      <c r="H299" s="2" t="s">
        <v>37</v>
      </c>
      <c r="I299" s="2" t="s">
        <v>37</v>
      </c>
      <c r="J299" s="2" t="s">
        <v>37</v>
      </c>
      <c r="K299" s="2" t="s">
        <v>37</v>
      </c>
    </row>
    <row r="300" spans="3:11">
      <c r="C300" s="12" t="s">
        <v>226</v>
      </c>
      <c r="D300" s="2" t="s">
        <v>37</v>
      </c>
      <c r="E300" s="2" t="s">
        <v>37</v>
      </c>
      <c r="F300" s="2" t="s">
        <v>37</v>
      </c>
      <c r="G300" s="2" t="s">
        <v>37</v>
      </c>
      <c r="H300" s="2" t="s">
        <v>37</v>
      </c>
      <c r="I300" s="2" t="s">
        <v>37</v>
      </c>
      <c r="J300" s="2" t="s">
        <v>37</v>
      </c>
      <c r="K300" s="2" t="s">
        <v>37</v>
      </c>
    </row>
    <row r="301" spans="3:11">
      <c r="C301" s="12" t="s">
        <v>227</v>
      </c>
      <c r="D301" s="2" t="s">
        <v>37</v>
      </c>
      <c r="E301" s="2" t="s">
        <v>37</v>
      </c>
      <c r="F301" s="2" t="s">
        <v>37</v>
      </c>
      <c r="G301" s="2" t="s">
        <v>37</v>
      </c>
      <c r="H301" s="2" t="s">
        <v>37</v>
      </c>
      <c r="I301" s="2" t="s">
        <v>37</v>
      </c>
      <c r="J301" s="2" t="s">
        <v>37</v>
      </c>
      <c r="K301" s="2" t="s">
        <v>37</v>
      </c>
    </row>
    <row r="302" spans="3:11">
      <c r="C302" s="12" t="s">
        <v>228</v>
      </c>
      <c r="D302" s="2" t="s">
        <v>37</v>
      </c>
      <c r="E302" s="2" t="s">
        <v>37</v>
      </c>
      <c r="F302" s="2" t="s">
        <v>37</v>
      </c>
      <c r="G302" s="2" t="s">
        <v>37</v>
      </c>
      <c r="H302" s="2" t="s">
        <v>37</v>
      </c>
      <c r="I302" s="2" t="s">
        <v>37</v>
      </c>
      <c r="J302" s="2" t="s">
        <v>37</v>
      </c>
      <c r="K302" s="2" t="s">
        <v>37</v>
      </c>
    </row>
    <row r="303" spans="3:11">
      <c r="C303" s="12" t="s">
        <v>229</v>
      </c>
      <c r="D303" s="2" t="s">
        <v>37</v>
      </c>
      <c r="E303" s="2" t="s">
        <v>37</v>
      </c>
      <c r="F303" s="2" t="s">
        <v>37</v>
      </c>
      <c r="G303" s="2" t="s">
        <v>37</v>
      </c>
      <c r="H303" s="2" t="s">
        <v>37</v>
      </c>
      <c r="I303" s="2" t="s">
        <v>37</v>
      </c>
      <c r="J303" s="2" t="s">
        <v>37</v>
      </c>
      <c r="K303" s="2" t="s">
        <v>37</v>
      </c>
    </row>
    <row r="304" spans="3:11">
      <c r="C304" s="12" t="s">
        <v>230</v>
      </c>
      <c r="D304" s="2" t="s">
        <v>37</v>
      </c>
      <c r="E304" s="2" t="s">
        <v>37</v>
      </c>
      <c r="F304" s="2" t="s">
        <v>37</v>
      </c>
      <c r="G304" s="2" t="s">
        <v>37</v>
      </c>
      <c r="H304" s="2" t="s">
        <v>37</v>
      </c>
      <c r="I304" s="2" t="s">
        <v>37</v>
      </c>
      <c r="J304" s="2" t="s">
        <v>37</v>
      </c>
      <c r="K304" s="2" t="s">
        <v>37</v>
      </c>
    </row>
    <row r="305" spans="3:11">
      <c r="C305" s="12" t="s">
        <v>231</v>
      </c>
      <c r="D305" s="2" t="s">
        <v>37</v>
      </c>
      <c r="E305" s="2" t="s">
        <v>37</v>
      </c>
      <c r="F305" s="2" t="s">
        <v>37</v>
      </c>
      <c r="G305" s="2" t="s">
        <v>37</v>
      </c>
      <c r="H305" s="2" t="s">
        <v>37</v>
      </c>
      <c r="I305" s="2" t="s">
        <v>37</v>
      </c>
      <c r="J305" s="2" t="s">
        <v>37</v>
      </c>
      <c r="K305" s="2" t="s">
        <v>37</v>
      </c>
    </row>
    <row r="306" spans="3:11">
      <c r="C306" s="12" t="s">
        <v>232</v>
      </c>
      <c r="D306" s="2" t="s">
        <v>37</v>
      </c>
      <c r="E306" s="2" t="s">
        <v>37</v>
      </c>
      <c r="F306" s="2" t="s">
        <v>37</v>
      </c>
      <c r="G306" s="2" t="s">
        <v>37</v>
      </c>
      <c r="H306" s="2" t="s">
        <v>37</v>
      </c>
      <c r="I306" s="2" t="s">
        <v>37</v>
      </c>
      <c r="J306" s="2" t="s">
        <v>37</v>
      </c>
      <c r="K306" s="2" t="s">
        <v>37</v>
      </c>
    </row>
    <row r="307" spans="3:11">
      <c r="C307" s="12" t="s">
        <v>233</v>
      </c>
      <c r="D307" s="2" t="s">
        <v>37</v>
      </c>
      <c r="E307" s="2" t="s">
        <v>37</v>
      </c>
      <c r="F307" s="2" t="s">
        <v>37</v>
      </c>
      <c r="G307" s="2" t="s">
        <v>37</v>
      </c>
      <c r="H307" s="2" t="s">
        <v>37</v>
      </c>
      <c r="I307" s="2" t="s">
        <v>37</v>
      </c>
      <c r="J307" s="2" t="s">
        <v>37</v>
      </c>
      <c r="K307" s="2" t="s">
        <v>37</v>
      </c>
    </row>
    <row r="308" spans="3:11">
      <c r="C308" s="12" t="s">
        <v>234</v>
      </c>
      <c r="D308" s="2" t="s">
        <v>37</v>
      </c>
      <c r="E308" s="2" t="s">
        <v>37</v>
      </c>
      <c r="F308" s="2" t="s">
        <v>37</v>
      </c>
      <c r="G308" s="2" t="s">
        <v>37</v>
      </c>
      <c r="H308" s="2" t="s">
        <v>37</v>
      </c>
      <c r="I308" s="2" t="s">
        <v>37</v>
      </c>
      <c r="J308" s="2" t="s">
        <v>37</v>
      </c>
      <c r="K308" s="2" t="s">
        <v>37</v>
      </c>
    </row>
    <row r="309" spans="3:11">
      <c r="C309" s="12" t="s">
        <v>235</v>
      </c>
      <c r="D309" s="2" t="s">
        <v>37</v>
      </c>
      <c r="E309" s="2" t="s">
        <v>37</v>
      </c>
      <c r="F309" s="2" t="s">
        <v>37</v>
      </c>
      <c r="G309" s="2" t="s">
        <v>37</v>
      </c>
      <c r="H309" s="2" t="s">
        <v>37</v>
      </c>
      <c r="I309" s="2" t="s">
        <v>37</v>
      </c>
      <c r="J309" s="2" t="s">
        <v>37</v>
      </c>
      <c r="K309" s="2" t="s">
        <v>37</v>
      </c>
    </row>
    <row r="310" spans="3:11">
      <c r="C310" s="12" t="s">
        <v>237</v>
      </c>
      <c r="D310" s="2" t="s">
        <v>37</v>
      </c>
      <c r="E310" s="2" t="s">
        <v>37</v>
      </c>
      <c r="F310" s="2" t="s">
        <v>37</v>
      </c>
      <c r="G310" s="2" t="s">
        <v>37</v>
      </c>
      <c r="H310" s="2" t="s">
        <v>37</v>
      </c>
      <c r="I310" s="2" t="s">
        <v>37</v>
      </c>
      <c r="J310" s="2" t="s">
        <v>37</v>
      </c>
      <c r="K310" s="2" t="s">
        <v>37</v>
      </c>
    </row>
    <row r="311" spans="3:11">
      <c r="C311" s="12" t="s">
        <v>239</v>
      </c>
      <c r="D311" s="2" t="s">
        <v>37</v>
      </c>
      <c r="E311" s="2" t="s">
        <v>37</v>
      </c>
      <c r="F311" s="2" t="s">
        <v>37</v>
      </c>
      <c r="G311" s="2" t="s">
        <v>37</v>
      </c>
      <c r="H311" s="2" t="s">
        <v>37</v>
      </c>
      <c r="I311" s="2" t="s">
        <v>37</v>
      </c>
      <c r="J311" s="2" t="s">
        <v>37</v>
      </c>
      <c r="K311" s="2" t="s">
        <v>37</v>
      </c>
    </row>
    <row r="312" spans="3:11">
      <c r="C312" s="12" t="s">
        <v>241</v>
      </c>
      <c r="D312" s="2" t="s">
        <v>37</v>
      </c>
      <c r="E312" s="2" t="s">
        <v>37</v>
      </c>
      <c r="F312" s="2" t="s">
        <v>37</v>
      </c>
      <c r="G312" s="2" t="s">
        <v>37</v>
      </c>
      <c r="H312" s="2" t="s">
        <v>37</v>
      </c>
      <c r="I312" s="2" t="s">
        <v>37</v>
      </c>
      <c r="J312" s="2" t="s">
        <v>37</v>
      </c>
      <c r="K312" s="2" t="s">
        <v>37</v>
      </c>
    </row>
    <row r="313" spans="3:11">
      <c r="C313" s="12" t="s">
        <v>243</v>
      </c>
      <c r="D313" s="2" t="s">
        <v>37</v>
      </c>
      <c r="E313" s="2" t="s">
        <v>37</v>
      </c>
      <c r="F313" s="2" t="s">
        <v>37</v>
      </c>
      <c r="G313" s="2" t="s">
        <v>37</v>
      </c>
      <c r="H313" s="2" t="s">
        <v>37</v>
      </c>
      <c r="I313" s="2" t="s">
        <v>37</v>
      </c>
      <c r="J313" s="2" t="s">
        <v>37</v>
      </c>
      <c r="K313" s="2" t="s">
        <v>37</v>
      </c>
    </row>
    <row r="314" spans="3:11">
      <c r="C314" s="12" t="s">
        <v>245</v>
      </c>
      <c r="D314" s="2" t="s">
        <v>37</v>
      </c>
      <c r="E314" s="2" t="s">
        <v>37</v>
      </c>
      <c r="F314" s="2" t="s">
        <v>37</v>
      </c>
      <c r="G314" s="2" t="s">
        <v>37</v>
      </c>
      <c r="H314" s="2" t="s">
        <v>37</v>
      </c>
      <c r="I314" s="2" t="s">
        <v>37</v>
      </c>
      <c r="J314" s="2" t="s">
        <v>37</v>
      </c>
      <c r="K314" s="2" t="s">
        <v>37</v>
      </c>
    </row>
    <row r="315" spans="3:11" ht="20.399999999999999">
      <c r="C315" s="5" t="s">
        <v>236</v>
      </c>
      <c r="D315" s="2" t="s">
        <v>248</v>
      </c>
      <c r="E315" s="2" t="s">
        <v>37</v>
      </c>
      <c r="F315" s="2" t="s">
        <v>37</v>
      </c>
      <c r="G315" s="2" t="s">
        <v>37</v>
      </c>
      <c r="H315" s="2" t="s">
        <v>37</v>
      </c>
      <c r="I315" s="2" t="s">
        <v>37</v>
      </c>
      <c r="J315" s="2" t="s">
        <v>37</v>
      </c>
      <c r="K315" s="2" t="s">
        <v>37</v>
      </c>
    </row>
    <row r="316" spans="3:11" ht="20.399999999999999">
      <c r="C316" s="5" t="s">
        <v>238</v>
      </c>
      <c r="D316" s="2" t="s">
        <v>249</v>
      </c>
      <c r="E316" s="2" t="s">
        <v>37</v>
      </c>
      <c r="F316" s="2" t="s">
        <v>37</v>
      </c>
      <c r="G316" s="2" t="s">
        <v>37</v>
      </c>
      <c r="H316" s="2" t="s">
        <v>37</v>
      </c>
      <c r="I316" s="2" t="s">
        <v>37</v>
      </c>
      <c r="J316" s="2" t="s">
        <v>37</v>
      </c>
      <c r="K316" s="2" t="s">
        <v>37</v>
      </c>
    </row>
    <row r="317" spans="3:11" ht="20.399999999999999">
      <c r="C317" s="5" t="s">
        <v>240</v>
      </c>
      <c r="D317" s="2" t="s">
        <v>250</v>
      </c>
      <c r="E317" s="2" t="s">
        <v>37</v>
      </c>
      <c r="F317" s="2" t="s">
        <v>37</v>
      </c>
      <c r="G317" s="2" t="s">
        <v>37</v>
      </c>
      <c r="H317" s="2" t="s">
        <v>37</v>
      </c>
      <c r="I317" s="2" t="s">
        <v>37</v>
      </c>
      <c r="J317" s="2" t="s">
        <v>37</v>
      </c>
      <c r="K317" s="2" t="s">
        <v>37</v>
      </c>
    </row>
    <row r="318" spans="3:11" ht="20.399999999999999">
      <c r="C318" s="5" t="s">
        <v>242</v>
      </c>
      <c r="D318" s="2" t="s">
        <v>251</v>
      </c>
      <c r="E318" s="2" t="s">
        <v>37</v>
      </c>
      <c r="F318" s="2" t="s">
        <v>37</v>
      </c>
      <c r="G318" s="2" t="s">
        <v>37</v>
      </c>
      <c r="H318" s="2" t="s">
        <v>37</v>
      </c>
      <c r="I318" s="2" t="s">
        <v>37</v>
      </c>
      <c r="J318" s="2" t="s">
        <v>37</v>
      </c>
      <c r="K318" s="2" t="s">
        <v>37</v>
      </c>
    </row>
    <row r="319" spans="3:11" ht="20.399999999999999">
      <c r="C319" s="5" t="s">
        <v>244</v>
      </c>
      <c r="D319" s="2" t="s">
        <v>252</v>
      </c>
      <c r="E319" s="2" t="s">
        <v>37</v>
      </c>
      <c r="F319" s="2" t="s">
        <v>37</v>
      </c>
      <c r="G319" s="2" t="s">
        <v>37</v>
      </c>
      <c r="H319" s="2" t="s">
        <v>37</v>
      </c>
      <c r="I319" s="2" t="s">
        <v>37</v>
      </c>
      <c r="J319" s="2" t="s">
        <v>37</v>
      </c>
      <c r="K319" s="2" t="s">
        <v>37</v>
      </c>
    </row>
    <row r="320" spans="3:11" ht="20.399999999999999">
      <c r="C320" s="5" t="s">
        <v>246</v>
      </c>
      <c r="D320" s="2" t="s">
        <v>253</v>
      </c>
      <c r="E320" s="2" t="s">
        <v>37</v>
      </c>
      <c r="F320" s="2" t="s">
        <v>37</v>
      </c>
      <c r="G320" s="2" t="s">
        <v>37</v>
      </c>
      <c r="H320" s="2" t="s">
        <v>37</v>
      </c>
      <c r="I320" s="2" t="s">
        <v>37</v>
      </c>
      <c r="J320" s="2" t="s">
        <v>37</v>
      </c>
      <c r="K320" s="2" t="s">
        <v>37</v>
      </c>
    </row>
    <row r="321" spans="3:11" ht="20.399999999999999">
      <c r="C321" s="6" t="s">
        <v>247</v>
      </c>
      <c r="D321" s="2" t="s">
        <v>254</v>
      </c>
      <c r="E321" s="2" t="s">
        <v>255</v>
      </c>
      <c r="F321" s="2" t="s">
        <v>37</v>
      </c>
      <c r="G321" s="2" t="s">
        <v>37</v>
      </c>
      <c r="H321" s="2" t="s">
        <v>37</v>
      </c>
      <c r="I321" s="2" t="s">
        <v>37</v>
      </c>
      <c r="J321" s="2" t="s">
        <v>37</v>
      </c>
      <c r="K321" s="2" t="s">
        <v>37</v>
      </c>
    </row>
    <row r="324" spans="3:11">
      <c r="D324" s="26" t="s">
        <v>2</v>
      </c>
      <c r="E324" s="27" t="s">
        <v>1</v>
      </c>
      <c r="F324" s="28" t="s">
        <v>3</v>
      </c>
      <c r="G324" s="29" t="s">
        <v>4</v>
      </c>
      <c r="H324" s="33" t="s">
        <v>5</v>
      </c>
      <c r="I324" s="31" t="s">
        <v>6</v>
      </c>
      <c r="J324" s="32" t="s">
        <v>7</v>
      </c>
      <c r="K324" s="18" t="s">
        <v>8</v>
      </c>
    </row>
    <row r="325" spans="3:11" ht="20.399999999999999">
      <c r="C325" s="12" t="s">
        <v>248</v>
      </c>
      <c r="D325" s="2" t="s">
        <v>37</v>
      </c>
      <c r="E325" s="2" t="s">
        <v>37</v>
      </c>
      <c r="F325" s="2" t="s">
        <v>37</v>
      </c>
      <c r="G325" s="2" t="s">
        <v>37</v>
      </c>
      <c r="H325" s="2" t="s">
        <v>37</v>
      </c>
      <c r="I325" s="2" t="s">
        <v>37</v>
      </c>
      <c r="J325" s="2" t="s">
        <v>37</v>
      </c>
      <c r="K325" s="2" t="s">
        <v>37</v>
      </c>
    </row>
    <row r="326" spans="3:11" ht="20.399999999999999">
      <c r="C326" s="12" t="s">
        <v>249</v>
      </c>
      <c r="D326" s="2" t="s">
        <v>37</v>
      </c>
      <c r="E326" s="2" t="s">
        <v>37</v>
      </c>
      <c r="F326" s="2" t="s">
        <v>37</v>
      </c>
      <c r="G326" s="2" t="s">
        <v>37</v>
      </c>
      <c r="H326" s="2" t="s">
        <v>37</v>
      </c>
      <c r="I326" s="2" t="s">
        <v>37</v>
      </c>
      <c r="J326" s="2" t="s">
        <v>37</v>
      </c>
      <c r="K326" s="2" t="s">
        <v>37</v>
      </c>
    </row>
    <row r="327" spans="3:11" ht="20.399999999999999">
      <c r="C327" s="12" t="s">
        <v>250</v>
      </c>
      <c r="D327" s="2" t="s">
        <v>37</v>
      </c>
      <c r="E327" s="2" t="s">
        <v>37</v>
      </c>
      <c r="F327" s="2" t="s">
        <v>37</v>
      </c>
      <c r="G327" s="2" t="s">
        <v>37</v>
      </c>
      <c r="H327" s="2" t="s">
        <v>37</v>
      </c>
      <c r="I327" s="2" t="s">
        <v>37</v>
      </c>
      <c r="J327" s="2" t="s">
        <v>37</v>
      </c>
      <c r="K327" s="2" t="s">
        <v>37</v>
      </c>
    </row>
    <row r="328" spans="3:11" ht="20.399999999999999">
      <c r="C328" s="12" t="s">
        <v>251</v>
      </c>
      <c r="D328" s="2" t="s">
        <v>37</v>
      </c>
      <c r="E328" s="2" t="s">
        <v>37</v>
      </c>
      <c r="F328" s="2" t="s">
        <v>37</v>
      </c>
      <c r="G328" s="2" t="s">
        <v>37</v>
      </c>
      <c r="H328" s="2" t="s">
        <v>37</v>
      </c>
      <c r="I328" s="2" t="s">
        <v>37</v>
      </c>
      <c r="J328" s="2" t="s">
        <v>37</v>
      </c>
      <c r="K328" s="2" t="s">
        <v>37</v>
      </c>
    </row>
    <row r="329" spans="3:11" ht="20.399999999999999">
      <c r="C329" s="12" t="s">
        <v>252</v>
      </c>
      <c r="D329" s="2" t="s">
        <v>37</v>
      </c>
      <c r="E329" s="2" t="s">
        <v>37</v>
      </c>
      <c r="F329" s="2" t="s">
        <v>37</v>
      </c>
      <c r="G329" s="2" t="s">
        <v>37</v>
      </c>
      <c r="H329" s="2" t="s">
        <v>37</v>
      </c>
      <c r="I329" s="2" t="s">
        <v>37</v>
      </c>
      <c r="J329" s="2" t="s">
        <v>37</v>
      </c>
      <c r="K329" s="2" t="s">
        <v>37</v>
      </c>
    </row>
    <row r="330" spans="3:11" ht="20.399999999999999">
      <c r="C330" s="12" t="s">
        <v>253</v>
      </c>
      <c r="D330" s="2" t="s">
        <v>37</v>
      </c>
      <c r="E330" s="2" t="s">
        <v>37</v>
      </c>
      <c r="F330" s="2" t="s">
        <v>37</v>
      </c>
      <c r="G330" s="2" t="s">
        <v>37</v>
      </c>
      <c r="H330" s="2" t="s">
        <v>37</v>
      </c>
      <c r="I330" s="2" t="s">
        <v>37</v>
      </c>
      <c r="J330" s="2" t="s">
        <v>37</v>
      </c>
      <c r="K330" s="2" t="s">
        <v>37</v>
      </c>
    </row>
    <row r="331" spans="3:11" ht="20.399999999999999">
      <c r="C331" s="12" t="s">
        <v>254</v>
      </c>
      <c r="D331" s="2" t="s">
        <v>37</v>
      </c>
      <c r="E331" s="2" t="s">
        <v>37</v>
      </c>
      <c r="F331" s="2" t="s">
        <v>37</v>
      </c>
      <c r="G331" s="2" t="s">
        <v>37</v>
      </c>
      <c r="H331" s="2" t="s">
        <v>37</v>
      </c>
      <c r="I331" s="2" t="s">
        <v>37</v>
      </c>
      <c r="J331" s="2" t="s">
        <v>37</v>
      </c>
      <c r="K331" s="2" t="s">
        <v>37</v>
      </c>
    </row>
    <row r="332" spans="3:11" ht="20.399999999999999">
      <c r="C332" s="10" t="s">
        <v>255</v>
      </c>
      <c r="D332" s="2" t="s">
        <v>256</v>
      </c>
      <c r="E332" s="2" t="s">
        <v>37</v>
      </c>
      <c r="F332" s="2" t="s">
        <v>37</v>
      </c>
      <c r="G332" s="2" t="s">
        <v>37</v>
      </c>
      <c r="H332" s="2" t="s">
        <v>37</v>
      </c>
      <c r="I332" s="2" t="s">
        <v>37</v>
      </c>
      <c r="J332" s="2" t="s">
        <v>37</v>
      </c>
      <c r="K332" s="2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21"/>
  <sheetViews>
    <sheetView tabSelected="1" topLeftCell="A7" workbookViewId="0">
      <selection activeCell="L88" sqref="L88"/>
    </sheetView>
  </sheetViews>
  <sheetFormatPr defaultRowHeight="14.4"/>
  <cols>
    <col min="3" max="3" width="11.44140625" customWidth="1"/>
    <col min="4" max="4" width="17.6640625" customWidth="1"/>
    <col min="5" max="5" width="13.6640625" customWidth="1"/>
    <col min="6" max="6" width="10.88671875" customWidth="1"/>
    <col min="7" max="7" width="11.44140625" customWidth="1"/>
    <col min="8" max="8" width="13.44140625" customWidth="1"/>
    <col min="9" max="9" width="13.88671875" customWidth="1"/>
    <col min="10" max="10" width="10.88671875" customWidth="1"/>
    <col min="11" max="11" width="12.109375" customWidth="1"/>
    <col min="13" max="13" width="39.109375" customWidth="1"/>
  </cols>
  <sheetData>
    <row r="3" spans="2:16">
      <c r="B3" s="2" t="s">
        <v>267</v>
      </c>
      <c r="C3" s="2"/>
      <c r="D3" s="2"/>
      <c r="E3" s="2"/>
      <c r="F3" s="2"/>
      <c r="G3" s="2"/>
      <c r="H3" s="2"/>
      <c r="I3" s="2"/>
      <c r="J3" s="2"/>
      <c r="K3" s="2"/>
    </row>
    <row r="4" spans="2:16" ht="15" thickBot="1">
      <c r="B4" s="2"/>
      <c r="C4" s="2"/>
      <c r="D4" s="2"/>
      <c r="E4" s="2"/>
      <c r="F4" s="2"/>
      <c r="G4" s="2"/>
      <c r="H4" s="2"/>
      <c r="I4" s="2"/>
      <c r="J4" s="2"/>
      <c r="K4" s="2"/>
      <c r="N4" s="1" t="s">
        <v>274</v>
      </c>
      <c r="O4" s="1" t="s">
        <v>275</v>
      </c>
    </row>
    <row r="5" spans="2:16">
      <c r="B5" s="14" t="s">
        <v>0</v>
      </c>
      <c r="C5" s="15" t="s">
        <v>2</v>
      </c>
      <c r="D5" s="15" t="s">
        <v>1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6" t="s">
        <v>8</v>
      </c>
      <c r="K5" s="41" t="s">
        <v>269</v>
      </c>
      <c r="M5" t="s">
        <v>271</v>
      </c>
      <c r="N5" s="1">
        <f>COUNTIFS(E6:E20,1,D6:D20,1)</f>
        <v>3</v>
      </c>
      <c r="O5" s="47">
        <f>N5/15</f>
        <v>0.2</v>
      </c>
    </row>
    <row r="6" spans="2:16">
      <c r="B6" s="17">
        <v>1</v>
      </c>
      <c r="C6" s="34">
        <v>1</v>
      </c>
      <c r="D6" s="34">
        <v>1</v>
      </c>
      <c r="E6" s="34">
        <v>1</v>
      </c>
      <c r="F6" s="34">
        <v>0</v>
      </c>
      <c r="G6" s="34">
        <v>0</v>
      </c>
      <c r="H6" s="34">
        <v>0</v>
      </c>
      <c r="I6" s="34">
        <v>0</v>
      </c>
      <c r="J6" s="35">
        <v>1</v>
      </c>
      <c r="K6" s="42">
        <f>SUM(C6:J6)</f>
        <v>4</v>
      </c>
      <c r="M6" t="s">
        <v>278</v>
      </c>
      <c r="N6" s="1">
        <f>COUNTIFS(E6:E20,1,C6:C20,1)</f>
        <v>4</v>
      </c>
      <c r="O6" s="47">
        <f t="shared" ref="O6:O7" si="0">N6/15</f>
        <v>0.26666666666666666</v>
      </c>
    </row>
    <row r="7" spans="2:16">
      <c r="B7" s="17">
        <v>2</v>
      </c>
      <c r="C7" s="34">
        <v>0</v>
      </c>
      <c r="D7" s="34">
        <v>1</v>
      </c>
      <c r="E7" s="34">
        <v>0</v>
      </c>
      <c r="F7" s="34">
        <v>1</v>
      </c>
      <c r="G7" s="34">
        <v>1</v>
      </c>
      <c r="H7" s="34">
        <v>0</v>
      </c>
      <c r="I7" s="34">
        <v>1</v>
      </c>
      <c r="J7" s="35">
        <v>1</v>
      </c>
      <c r="K7" s="42">
        <f t="shared" ref="K7:K20" si="1">SUM(C7:J7)</f>
        <v>5</v>
      </c>
      <c r="M7" t="s">
        <v>279</v>
      </c>
      <c r="N7" s="1">
        <f>COUNTIFS(E6:E20,1,D6:D20,1,C6:C20,1)</f>
        <v>1</v>
      </c>
      <c r="O7" s="47">
        <f t="shared" si="0"/>
        <v>6.6666666666666666E-2</v>
      </c>
    </row>
    <row r="8" spans="2:16">
      <c r="B8" s="17">
        <v>3</v>
      </c>
      <c r="C8" s="34">
        <v>0</v>
      </c>
      <c r="D8" s="34">
        <v>1</v>
      </c>
      <c r="E8" s="34">
        <v>1</v>
      </c>
      <c r="F8" s="34">
        <v>0</v>
      </c>
      <c r="G8" s="34">
        <v>0</v>
      </c>
      <c r="H8" s="34">
        <v>1</v>
      </c>
      <c r="I8" s="34">
        <v>1</v>
      </c>
      <c r="J8" s="35">
        <v>0</v>
      </c>
      <c r="K8" s="42">
        <f t="shared" si="1"/>
        <v>4</v>
      </c>
      <c r="M8" t="s">
        <v>280</v>
      </c>
      <c r="N8" s="48" t="s">
        <v>277</v>
      </c>
      <c r="O8" s="47">
        <f>N7/N5</f>
        <v>0.33333333333333331</v>
      </c>
    </row>
    <row r="9" spans="2:16">
      <c r="B9" s="17">
        <v>4</v>
      </c>
      <c r="C9" s="34">
        <v>1</v>
      </c>
      <c r="D9" s="34">
        <v>1</v>
      </c>
      <c r="E9" s="34">
        <v>0</v>
      </c>
      <c r="F9" s="34">
        <v>1</v>
      </c>
      <c r="G9" s="34">
        <v>0</v>
      </c>
      <c r="H9" s="34">
        <v>1</v>
      </c>
      <c r="I9" s="34">
        <v>0</v>
      </c>
      <c r="J9" s="35">
        <v>1</v>
      </c>
      <c r="K9" s="42">
        <f t="shared" si="1"/>
        <v>5</v>
      </c>
      <c r="N9" s="1"/>
      <c r="O9" s="1"/>
    </row>
    <row r="10" spans="2:16">
      <c r="B10" s="17">
        <v>5</v>
      </c>
      <c r="C10" s="34">
        <v>1</v>
      </c>
      <c r="D10" s="34">
        <v>0</v>
      </c>
      <c r="E10" s="34">
        <v>1</v>
      </c>
      <c r="F10" s="34">
        <v>0</v>
      </c>
      <c r="G10" s="34">
        <v>0</v>
      </c>
      <c r="H10" s="34">
        <v>0</v>
      </c>
      <c r="I10" s="34">
        <v>0</v>
      </c>
      <c r="J10" s="35">
        <v>0</v>
      </c>
      <c r="K10" s="42">
        <f t="shared" si="1"/>
        <v>2</v>
      </c>
      <c r="M10" t="s">
        <v>281</v>
      </c>
      <c r="N10" s="1">
        <f>COUNTIFS(J6:J20,1,E6:E20,1)</f>
        <v>3</v>
      </c>
      <c r="O10" s="47">
        <f>N10/15</f>
        <v>0.2</v>
      </c>
    </row>
    <row r="11" spans="2:16">
      <c r="B11" s="17">
        <v>6</v>
      </c>
      <c r="C11" s="34">
        <v>0</v>
      </c>
      <c r="D11" s="34">
        <v>1</v>
      </c>
      <c r="E11" s="34">
        <v>1</v>
      </c>
      <c r="F11" s="34">
        <v>0</v>
      </c>
      <c r="G11" s="34">
        <v>0</v>
      </c>
      <c r="H11" s="34">
        <v>0</v>
      </c>
      <c r="I11" s="34">
        <v>0</v>
      </c>
      <c r="J11" s="35">
        <v>1</v>
      </c>
      <c r="K11" s="42">
        <f t="shared" si="1"/>
        <v>3</v>
      </c>
      <c r="M11" t="s">
        <v>283</v>
      </c>
      <c r="N11" s="1">
        <f>COUNTIFS(D6:D20,1,J6:J20,1)</f>
        <v>4</v>
      </c>
      <c r="O11" s="47">
        <f t="shared" ref="O11:O12" si="2">N11/15</f>
        <v>0.26666666666666666</v>
      </c>
    </row>
    <row r="12" spans="2:16">
      <c r="B12" s="17">
        <v>7</v>
      </c>
      <c r="C12" s="34">
        <v>1</v>
      </c>
      <c r="D12" s="34">
        <v>0</v>
      </c>
      <c r="E12" s="34">
        <v>1</v>
      </c>
      <c r="F12" s="34">
        <v>0</v>
      </c>
      <c r="G12" s="34">
        <v>0</v>
      </c>
      <c r="H12" s="34">
        <v>0</v>
      </c>
      <c r="I12" s="34">
        <v>0</v>
      </c>
      <c r="J12" s="35">
        <v>0</v>
      </c>
      <c r="K12" s="42">
        <f t="shared" si="1"/>
        <v>2</v>
      </c>
      <c r="M12" t="s">
        <v>282</v>
      </c>
      <c r="N12" s="1">
        <f>COUNTIFS(C6:C20,1,J6:J20,1)</f>
        <v>4</v>
      </c>
      <c r="O12" s="47">
        <f t="shared" si="2"/>
        <v>0.26666666666666666</v>
      </c>
    </row>
    <row r="13" spans="2:16">
      <c r="B13" s="17">
        <v>8</v>
      </c>
      <c r="C13" s="34">
        <v>1</v>
      </c>
      <c r="D13" s="34">
        <v>1</v>
      </c>
      <c r="E13" s="34">
        <v>0</v>
      </c>
      <c r="F13" s="34">
        <v>1</v>
      </c>
      <c r="G13" s="34">
        <v>1</v>
      </c>
      <c r="H13" s="34">
        <v>0</v>
      </c>
      <c r="I13" s="34">
        <v>1</v>
      </c>
      <c r="J13" s="35">
        <v>0</v>
      </c>
      <c r="K13" s="42">
        <f t="shared" si="1"/>
        <v>5</v>
      </c>
      <c r="M13" t="s">
        <v>284</v>
      </c>
      <c r="N13" s="48" t="s">
        <v>277</v>
      </c>
      <c r="O13" s="47">
        <f>N11/J21</f>
        <v>0.5</v>
      </c>
    </row>
    <row r="14" spans="2:16">
      <c r="B14" s="17">
        <v>9</v>
      </c>
      <c r="C14" s="34">
        <v>1</v>
      </c>
      <c r="D14" s="34">
        <v>0</v>
      </c>
      <c r="E14" s="34">
        <v>1</v>
      </c>
      <c r="F14" s="34">
        <v>0</v>
      </c>
      <c r="G14" s="34">
        <v>0</v>
      </c>
      <c r="H14" s="34">
        <v>0</v>
      </c>
      <c r="I14" s="34">
        <v>0</v>
      </c>
      <c r="J14" s="35">
        <v>1</v>
      </c>
      <c r="K14" s="42">
        <f t="shared" si="1"/>
        <v>3</v>
      </c>
      <c r="M14" t="s">
        <v>285</v>
      </c>
      <c r="N14" s="48" t="s">
        <v>277</v>
      </c>
      <c r="O14" s="47">
        <f>N10/J21</f>
        <v>0.375</v>
      </c>
      <c r="P14" t="s">
        <v>287</v>
      </c>
    </row>
    <row r="15" spans="2:16">
      <c r="B15" s="17">
        <v>10</v>
      </c>
      <c r="C15" s="34">
        <v>1</v>
      </c>
      <c r="D15" s="34">
        <v>0</v>
      </c>
      <c r="E15" s="34">
        <v>0</v>
      </c>
      <c r="F15" s="34">
        <v>0</v>
      </c>
      <c r="G15" s="34">
        <v>0</v>
      </c>
      <c r="H15" s="34">
        <v>1</v>
      </c>
      <c r="I15" s="34">
        <v>1</v>
      </c>
      <c r="J15" s="35">
        <v>1</v>
      </c>
      <c r="K15" s="42">
        <f t="shared" si="1"/>
        <v>4</v>
      </c>
    </row>
    <row r="16" spans="2:16">
      <c r="B16" s="17">
        <v>11</v>
      </c>
      <c r="C16" s="34">
        <v>0</v>
      </c>
      <c r="D16" s="34">
        <v>0</v>
      </c>
      <c r="E16" s="34">
        <v>1</v>
      </c>
      <c r="F16" s="34">
        <v>0</v>
      </c>
      <c r="G16" s="34">
        <v>0</v>
      </c>
      <c r="H16" s="34">
        <v>0</v>
      </c>
      <c r="I16" s="34">
        <v>0</v>
      </c>
      <c r="J16" s="35">
        <v>0</v>
      </c>
      <c r="K16" s="42">
        <f t="shared" si="1"/>
        <v>1</v>
      </c>
      <c r="M16" t="s">
        <v>289</v>
      </c>
      <c r="O16" s="50">
        <f>D21/15</f>
        <v>0.4</v>
      </c>
    </row>
    <row r="17" spans="1:15">
      <c r="B17" s="17">
        <v>12</v>
      </c>
      <c r="C17" s="34">
        <v>0</v>
      </c>
      <c r="D17" s="34">
        <v>0</v>
      </c>
      <c r="E17" s="34">
        <v>1</v>
      </c>
      <c r="F17" s="34">
        <v>0</v>
      </c>
      <c r="G17" s="34">
        <v>0</v>
      </c>
      <c r="H17" s="34">
        <v>0</v>
      </c>
      <c r="I17" s="34">
        <v>0</v>
      </c>
      <c r="J17" s="35">
        <v>0</v>
      </c>
      <c r="K17" s="42">
        <f t="shared" si="1"/>
        <v>1</v>
      </c>
      <c r="M17" t="s">
        <v>288</v>
      </c>
      <c r="O17" s="51">
        <f>O13/O16</f>
        <v>1.25</v>
      </c>
    </row>
    <row r="18" spans="1:15">
      <c r="B18" s="17">
        <v>13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5">
        <v>1</v>
      </c>
      <c r="K18" s="42">
        <f t="shared" si="1"/>
        <v>1</v>
      </c>
    </row>
    <row r="19" spans="1:15">
      <c r="B19" s="17">
        <v>14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5">
        <v>1</v>
      </c>
      <c r="K19" s="42">
        <f t="shared" si="1"/>
        <v>1</v>
      </c>
    </row>
    <row r="20" spans="1:15" ht="15" thickBot="1">
      <c r="B20" s="19">
        <v>15</v>
      </c>
      <c r="C20" s="36">
        <v>0</v>
      </c>
      <c r="D20" s="36">
        <v>0</v>
      </c>
      <c r="E20" s="36">
        <v>0</v>
      </c>
      <c r="F20" s="36">
        <v>1</v>
      </c>
      <c r="G20" s="36">
        <v>0</v>
      </c>
      <c r="H20" s="36">
        <v>0</v>
      </c>
      <c r="I20" s="36">
        <v>0</v>
      </c>
      <c r="J20" s="37">
        <v>0</v>
      </c>
      <c r="K20" s="43">
        <f t="shared" si="1"/>
        <v>1</v>
      </c>
    </row>
    <row r="21" spans="1:15" ht="15" thickBot="1">
      <c r="A21" t="s">
        <v>276</v>
      </c>
      <c r="B21" s="38" t="s">
        <v>269</v>
      </c>
      <c r="C21" s="39">
        <f>SUM(C6:C20)</f>
        <v>7</v>
      </c>
      <c r="D21" s="39">
        <f t="shared" ref="D21:J21" si="3">SUM(D6:D20)</f>
        <v>6</v>
      </c>
      <c r="E21" s="39">
        <f t="shared" si="3"/>
        <v>8</v>
      </c>
      <c r="F21" s="39">
        <f t="shared" si="3"/>
        <v>4</v>
      </c>
      <c r="G21" s="39">
        <f t="shared" si="3"/>
        <v>2</v>
      </c>
      <c r="H21" s="39">
        <f t="shared" si="3"/>
        <v>3</v>
      </c>
      <c r="I21" s="39">
        <f t="shared" si="3"/>
        <v>4</v>
      </c>
      <c r="J21" s="40">
        <f t="shared" si="3"/>
        <v>8</v>
      </c>
      <c r="K21" s="22">
        <f>SUM(C6:J20)</f>
        <v>42</v>
      </c>
    </row>
    <row r="25" spans="1:15">
      <c r="B25" s="44" t="s">
        <v>272</v>
      </c>
    </row>
    <row r="26" spans="1:15">
      <c r="B26" s="44" t="s">
        <v>270</v>
      </c>
    </row>
    <row r="27" spans="1:15">
      <c r="B27" s="44" t="s">
        <v>273</v>
      </c>
    </row>
    <row r="28" spans="1:15">
      <c r="B28" s="46" t="s">
        <v>286</v>
      </c>
    </row>
    <row r="29" spans="1:15">
      <c r="B29" s="44" t="s">
        <v>312</v>
      </c>
    </row>
    <row r="30" spans="1:15">
      <c r="B30" s="44" t="s">
        <v>290</v>
      </c>
    </row>
    <row r="45" spans="3:12" ht="28.8">
      <c r="C45" t="s">
        <v>293</v>
      </c>
      <c r="D45">
        <v>7</v>
      </c>
      <c r="I45" s="52" t="s">
        <v>310</v>
      </c>
      <c r="J45" s="52" t="s">
        <v>311</v>
      </c>
      <c r="K45" s="52" t="s">
        <v>313</v>
      </c>
    </row>
    <row r="47" spans="3:12" ht="33" customHeight="1">
      <c r="C47" t="s">
        <v>291</v>
      </c>
      <c r="D47" t="s">
        <v>292</v>
      </c>
      <c r="E47" t="s">
        <v>294</v>
      </c>
      <c r="F47" t="s">
        <v>307</v>
      </c>
      <c r="G47" t="s">
        <v>308</v>
      </c>
      <c r="H47" t="s">
        <v>295</v>
      </c>
      <c r="I47" t="s">
        <v>306</v>
      </c>
      <c r="J47" s="52" t="s">
        <v>309</v>
      </c>
      <c r="K47" t="s">
        <v>296</v>
      </c>
    </row>
    <row r="48" spans="3:12">
      <c r="C48" s="53">
        <v>1</v>
      </c>
      <c r="D48" s="53" t="s">
        <v>297</v>
      </c>
      <c r="E48" s="53" t="s">
        <v>3</v>
      </c>
      <c r="F48" s="53">
        <f>C21</f>
        <v>7</v>
      </c>
      <c r="G48" s="53">
        <f>E21</f>
        <v>8</v>
      </c>
      <c r="H48" s="53">
        <f>COUNTIFS(E$6:E$20,1,C$6:C$20,1)</f>
        <v>4</v>
      </c>
      <c r="I48" s="54">
        <f>H48/F48</f>
        <v>0.5714285714285714</v>
      </c>
      <c r="J48" s="54">
        <f>G48/15</f>
        <v>0.53333333333333333</v>
      </c>
      <c r="K48" s="55">
        <f>I48/J48</f>
        <v>1.0714285714285714</v>
      </c>
      <c r="L48" s="53"/>
    </row>
    <row r="49" spans="1:12">
      <c r="C49" s="53">
        <v>2</v>
      </c>
      <c r="D49" s="53" t="s">
        <v>297</v>
      </c>
      <c r="E49" s="53" t="s">
        <v>8</v>
      </c>
      <c r="F49" s="53">
        <f>C21</f>
        <v>7</v>
      </c>
      <c r="G49" s="53">
        <f>J21</f>
        <v>8</v>
      </c>
      <c r="H49" s="53">
        <f>COUNTIFS(C$6:C$20,1,J$6:J$20,1)</f>
        <v>4</v>
      </c>
      <c r="I49" s="54">
        <f t="shared" ref="I49:I59" si="4">H49/F49</f>
        <v>0.5714285714285714</v>
      </c>
      <c r="J49" s="54">
        <f t="shared" ref="J49:J59" si="5">G49/15</f>
        <v>0.53333333333333333</v>
      </c>
      <c r="K49" s="55">
        <f t="shared" ref="K49:K59" si="6">I49/J49</f>
        <v>1.0714285714285714</v>
      </c>
      <c r="L49" s="53"/>
    </row>
    <row r="50" spans="1:12">
      <c r="C50">
        <v>3</v>
      </c>
      <c r="D50" t="s">
        <v>298</v>
      </c>
      <c r="E50" t="s">
        <v>8</v>
      </c>
      <c r="F50">
        <f>COUNTIFS(C6:C20,1,E6:E20,1)</f>
        <v>4</v>
      </c>
      <c r="G50">
        <f>J21</f>
        <v>8</v>
      </c>
      <c r="H50">
        <f>COUNTIFS(C$6:C$20,1,J$6:J$20,1,E$6:E$20,1)</f>
        <v>2</v>
      </c>
      <c r="I50" s="45">
        <f t="shared" si="4"/>
        <v>0.5</v>
      </c>
      <c r="J50" s="45">
        <f t="shared" si="5"/>
        <v>0.53333333333333333</v>
      </c>
      <c r="K50" s="49">
        <f t="shared" si="6"/>
        <v>0.9375</v>
      </c>
    </row>
    <row r="51" spans="1:12">
      <c r="C51">
        <v>4</v>
      </c>
      <c r="D51" t="s">
        <v>299</v>
      </c>
      <c r="E51" t="s">
        <v>3</v>
      </c>
      <c r="F51">
        <f>COUNTIFS(C6:C20,1,J6:J20,1)</f>
        <v>4</v>
      </c>
      <c r="G51">
        <f>E21</f>
        <v>8</v>
      </c>
      <c r="H51">
        <f>COUNTIFS(C$6:C$20,1,J$6:J$20,1,E$6:E$20,1)</f>
        <v>2</v>
      </c>
      <c r="I51" s="45">
        <f t="shared" si="4"/>
        <v>0.5</v>
      </c>
      <c r="J51" s="45">
        <f t="shared" si="5"/>
        <v>0.53333333333333333</v>
      </c>
      <c r="K51" s="49">
        <f t="shared" si="6"/>
        <v>0.9375</v>
      </c>
    </row>
    <row r="52" spans="1:12">
      <c r="C52" s="53">
        <v>5</v>
      </c>
      <c r="D52" s="53" t="s">
        <v>297</v>
      </c>
      <c r="E52" s="53" t="s">
        <v>300</v>
      </c>
      <c r="F52" s="53">
        <f>C21</f>
        <v>7</v>
      </c>
      <c r="G52" s="53">
        <f>COUNTIFS(E6:E20,1,J6:J20,1)</f>
        <v>3</v>
      </c>
      <c r="H52" s="53">
        <f t="shared" ref="H52:H56" si="7">COUNTIFS(F$6:F$20,1,J$6:J$20,1)</f>
        <v>2</v>
      </c>
      <c r="I52" s="54">
        <f>H52/F52</f>
        <v>0.2857142857142857</v>
      </c>
      <c r="J52" s="54">
        <f t="shared" si="5"/>
        <v>0.2</v>
      </c>
      <c r="K52" s="55">
        <f t="shared" si="6"/>
        <v>1.4285714285714284</v>
      </c>
      <c r="L52" s="53"/>
    </row>
    <row r="53" spans="1:12">
      <c r="C53">
        <v>6</v>
      </c>
      <c r="D53" t="s">
        <v>301</v>
      </c>
      <c r="E53" t="s">
        <v>2</v>
      </c>
      <c r="F53">
        <f>E21</f>
        <v>8</v>
      </c>
      <c r="G53">
        <f>C21</f>
        <v>7</v>
      </c>
      <c r="H53">
        <f>COUNTIFS(E$6:E$20,1,C$6:C$20,1)</f>
        <v>4</v>
      </c>
      <c r="I53" s="45">
        <f t="shared" si="4"/>
        <v>0.5</v>
      </c>
      <c r="J53" s="45">
        <f t="shared" si="5"/>
        <v>0.46666666666666667</v>
      </c>
      <c r="K53" s="49">
        <f t="shared" si="6"/>
        <v>1.0714285714285714</v>
      </c>
    </row>
    <row r="54" spans="1:12">
      <c r="C54">
        <v>7</v>
      </c>
      <c r="D54" t="s">
        <v>301</v>
      </c>
      <c r="E54" t="s">
        <v>8</v>
      </c>
      <c r="F54">
        <f>E21</f>
        <v>8</v>
      </c>
      <c r="G54">
        <f>J21</f>
        <v>8</v>
      </c>
      <c r="H54">
        <f>COUNTIFS(C$6:C$20,1,J$6:J$20,1,E$6:E$20,1)</f>
        <v>2</v>
      </c>
      <c r="I54" s="45">
        <f t="shared" si="4"/>
        <v>0.25</v>
      </c>
      <c r="J54" s="45">
        <f>G54/15</f>
        <v>0.53333333333333333</v>
      </c>
      <c r="K54" s="49">
        <f t="shared" si="6"/>
        <v>0.46875</v>
      </c>
    </row>
    <row r="55" spans="1:12">
      <c r="C55" s="53">
        <v>8</v>
      </c>
      <c r="D55" s="53" t="s">
        <v>302</v>
      </c>
      <c r="E55" s="53" t="s">
        <v>2</v>
      </c>
      <c r="F55" s="53">
        <f>COUNTIFS(E6:E20,1,J6:J20,1)</f>
        <v>3</v>
      </c>
      <c r="G55" s="53">
        <f>C21</f>
        <v>7</v>
      </c>
      <c r="H55" s="53">
        <f>COUNTIFS(C$6:C$20,1,J$6:J$20,1,E$6:E$20,1)</f>
        <v>2</v>
      </c>
      <c r="I55" s="54">
        <f t="shared" si="4"/>
        <v>0.66666666666666663</v>
      </c>
      <c r="J55" s="54">
        <f>G55/15</f>
        <v>0.46666666666666667</v>
      </c>
      <c r="K55" s="55">
        <f t="shared" si="6"/>
        <v>1.4285714285714284</v>
      </c>
      <c r="L55" s="53"/>
    </row>
    <row r="56" spans="1:12">
      <c r="C56">
        <v>9</v>
      </c>
      <c r="D56" t="s">
        <v>301</v>
      </c>
      <c r="E56" t="s">
        <v>303</v>
      </c>
      <c r="F56">
        <f>E21</f>
        <v>8</v>
      </c>
      <c r="G56">
        <f>COUNTIFS(C6:C20,1,J6:J20,1)</f>
        <v>4</v>
      </c>
      <c r="H56">
        <f t="shared" si="7"/>
        <v>2</v>
      </c>
      <c r="I56" s="45">
        <f t="shared" si="4"/>
        <v>0.25</v>
      </c>
      <c r="J56" s="45">
        <f t="shared" si="5"/>
        <v>0.26666666666666666</v>
      </c>
      <c r="K56" s="49">
        <f t="shared" si="6"/>
        <v>0.9375</v>
      </c>
    </row>
    <row r="57" spans="1:12">
      <c r="C57">
        <v>10</v>
      </c>
      <c r="D57" t="s">
        <v>304</v>
      </c>
      <c r="E57" t="s">
        <v>3</v>
      </c>
      <c r="F57">
        <f>J21</f>
        <v>8</v>
      </c>
      <c r="G57">
        <f>E21</f>
        <v>8</v>
      </c>
      <c r="H57">
        <f>COUNTIFS(E$6:E$20,1,J$6:J$20,1)</f>
        <v>3</v>
      </c>
      <c r="I57" s="45">
        <f t="shared" si="4"/>
        <v>0.375</v>
      </c>
      <c r="J57" s="45">
        <f t="shared" si="5"/>
        <v>0.53333333333333333</v>
      </c>
      <c r="K57" s="49">
        <f t="shared" si="6"/>
        <v>0.703125</v>
      </c>
    </row>
    <row r="58" spans="1:12">
      <c r="C58">
        <v>11</v>
      </c>
      <c r="D58" t="s">
        <v>304</v>
      </c>
      <c r="E58" t="s">
        <v>2</v>
      </c>
      <c r="F58">
        <f>J21</f>
        <v>8</v>
      </c>
      <c r="G58">
        <f>C21</f>
        <v>7</v>
      </c>
      <c r="H58">
        <f>COUNTIFS(C$6:C$20,1,J$6:J$20,1)</f>
        <v>4</v>
      </c>
      <c r="I58" s="45">
        <f t="shared" si="4"/>
        <v>0.5</v>
      </c>
      <c r="J58" s="45">
        <f t="shared" si="5"/>
        <v>0.46666666666666667</v>
      </c>
      <c r="K58" s="49">
        <f t="shared" si="6"/>
        <v>1.0714285714285714</v>
      </c>
    </row>
    <row r="59" spans="1:12">
      <c r="C59">
        <v>12</v>
      </c>
      <c r="D59" t="s">
        <v>304</v>
      </c>
      <c r="E59" t="s">
        <v>305</v>
      </c>
      <c r="F59">
        <f>J21</f>
        <v>8</v>
      </c>
      <c r="G59">
        <f>COUNTIFS(C6:C20,1,E6:E20,1)</f>
        <v>4</v>
      </c>
      <c r="H59">
        <f>COUNTIFS(F$6:F$20,1,J$6:J$20,1,C$6:C$20,1)</f>
        <v>1</v>
      </c>
      <c r="I59" s="45">
        <f t="shared" si="4"/>
        <v>0.125</v>
      </c>
      <c r="J59" s="45">
        <f t="shared" si="5"/>
        <v>0.26666666666666666</v>
      </c>
      <c r="K59" s="49">
        <f t="shared" si="6"/>
        <v>0.46875</v>
      </c>
    </row>
    <row r="60" spans="1:12" ht="15" thickBot="1"/>
    <row r="61" spans="1:12">
      <c r="A61" s="57"/>
      <c r="B61" s="58"/>
      <c r="C61" s="58"/>
      <c r="D61" s="58"/>
      <c r="E61" s="58"/>
      <c r="F61" s="58"/>
      <c r="G61" s="58"/>
      <c r="H61" s="59"/>
    </row>
    <row r="62" spans="1:12">
      <c r="A62" s="60"/>
      <c r="B62" s="61" t="s">
        <v>314</v>
      </c>
      <c r="C62" s="62"/>
      <c r="D62" s="62"/>
      <c r="E62" s="62"/>
      <c r="F62" s="62"/>
      <c r="G62" s="62"/>
      <c r="H62" s="63"/>
    </row>
    <row r="63" spans="1:12">
      <c r="A63" s="60"/>
      <c r="B63" s="62" t="s">
        <v>321</v>
      </c>
      <c r="C63" s="62"/>
      <c r="D63" s="62"/>
      <c r="E63" s="62"/>
      <c r="F63" s="62"/>
      <c r="G63" s="62"/>
      <c r="H63" s="63"/>
    </row>
    <row r="64" spans="1:12" ht="15" thickBot="1">
      <c r="A64" s="60"/>
      <c r="B64" s="56" t="s">
        <v>322</v>
      </c>
      <c r="C64" s="62"/>
      <c r="D64" s="62"/>
      <c r="E64" s="62"/>
      <c r="F64" s="62"/>
      <c r="G64" s="62"/>
      <c r="H64" s="63"/>
    </row>
    <row r="65" spans="1:13">
      <c r="A65" s="60"/>
      <c r="B65" s="62" t="s">
        <v>315</v>
      </c>
      <c r="C65" s="62"/>
      <c r="D65" s="62"/>
      <c r="E65" s="62"/>
      <c r="F65" s="62"/>
      <c r="G65" s="62"/>
      <c r="H65" s="63"/>
      <c r="J65" s="57"/>
      <c r="K65" s="58"/>
      <c r="L65" s="58"/>
      <c r="M65" s="59"/>
    </row>
    <row r="66" spans="1:13">
      <c r="A66" s="60"/>
      <c r="B66" s="62" t="s">
        <v>316</v>
      </c>
      <c r="C66" s="62"/>
      <c r="D66" s="62"/>
      <c r="E66" s="62"/>
      <c r="F66" s="62"/>
      <c r="G66" s="62"/>
      <c r="H66" s="63"/>
      <c r="J66" s="60"/>
      <c r="K66" s="61" t="s">
        <v>324</v>
      </c>
      <c r="L66" s="62"/>
      <c r="M66" s="63"/>
    </row>
    <row r="67" spans="1:13">
      <c r="A67" s="60"/>
      <c r="B67" s="62"/>
      <c r="C67" s="62"/>
      <c r="D67" s="62"/>
      <c r="E67" s="62"/>
      <c r="F67" s="62"/>
      <c r="G67" s="62"/>
      <c r="H67" s="63"/>
      <c r="J67" s="60"/>
      <c r="K67" s="62"/>
      <c r="L67" s="62"/>
      <c r="M67" s="63"/>
    </row>
    <row r="68" spans="1:13">
      <c r="A68" s="60"/>
      <c r="B68" s="62"/>
      <c r="C68" s="62"/>
      <c r="D68" s="62"/>
      <c r="E68" s="62"/>
      <c r="F68" s="62"/>
      <c r="G68" s="62"/>
      <c r="H68" s="63"/>
      <c r="J68" s="60"/>
      <c r="K68" s="62"/>
      <c r="L68" s="62"/>
      <c r="M68" s="63"/>
    </row>
    <row r="69" spans="1:13">
      <c r="A69" s="60"/>
      <c r="B69" s="62"/>
      <c r="C69" s="62"/>
      <c r="D69" s="62"/>
      <c r="E69" s="62"/>
      <c r="F69" s="62"/>
      <c r="G69" s="62"/>
      <c r="H69" s="63"/>
      <c r="J69" s="60"/>
      <c r="K69" s="62"/>
      <c r="L69" s="62"/>
      <c r="M69" s="63"/>
    </row>
    <row r="70" spans="1:13">
      <c r="A70" s="60"/>
      <c r="B70" s="62"/>
      <c r="C70" s="62"/>
      <c r="D70" s="62"/>
      <c r="E70" s="62"/>
      <c r="F70" s="62"/>
      <c r="G70" s="62"/>
      <c r="H70" s="63"/>
      <c r="J70" s="60"/>
      <c r="K70" s="62"/>
      <c r="L70" s="62"/>
      <c r="M70" s="63"/>
    </row>
    <row r="71" spans="1:13">
      <c r="A71" s="60"/>
      <c r="B71" s="62"/>
      <c r="C71" s="62"/>
      <c r="D71" s="62"/>
      <c r="E71" s="62"/>
      <c r="F71" s="62"/>
      <c r="G71" s="62"/>
      <c r="H71" s="63"/>
      <c r="J71" s="60"/>
      <c r="K71" s="62"/>
      <c r="L71" s="62"/>
      <c r="M71" s="63"/>
    </row>
    <row r="72" spans="1:13">
      <c r="A72" s="60"/>
      <c r="B72" s="62"/>
      <c r="C72" s="62"/>
      <c r="D72" s="62"/>
      <c r="E72" s="62"/>
      <c r="F72" s="62"/>
      <c r="G72" s="62"/>
      <c r="H72" s="63"/>
      <c r="J72" s="60"/>
      <c r="K72" s="62"/>
      <c r="L72" s="62"/>
      <c r="M72" s="63"/>
    </row>
    <row r="73" spans="1:13">
      <c r="A73" s="60"/>
      <c r="B73" s="62"/>
      <c r="C73" s="62"/>
      <c r="D73" s="62"/>
      <c r="E73" s="62"/>
      <c r="F73" s="62"/>
      <c r="G73" s="62"/>
      <c r="H73" s="63"/>
      <c r="J73" s="60"/>
      <c r="K73" s="62"/>
      <c r="L73" s="62"/>
      <c r="M73" s="63"/>
    </row>
    <row r="74" spans="1:13">
      <c r="A74" s="60"/>
      <c r="B74" s="62"/>
      <c r="C74" s="62"/>
      <c r="D74" s="62"/>
      <c r="E74" s="62"/>
      <c r="F74" s="62"/>
      <c r="G74" s="62"/>
      <c r="H74" s="63"/>
      <c r="J74" s="60"/>
      <c r="K74" s="62"/>
      <c r="L74" s="62"/>
      <c r="M74" s="63"/>
    </row>
    <row r="75" spans="1:13">
      <c r="A75" s="60"/>
      <c r="B75" s="62"/>
      <c r="C75" s="62"/>
      <c r="D75" s="62"/>
      <c r="E75" s="62"/>
      <c r="F75" s="62"/>
      <c r="G75" s="62"/>
      <c r="H75" s="63"/>
      <c r="J75" s="60"/>
      <c r="K75" s="62"/>
      <c r="L75" s="62"/>
      <c r="M75" s="63"/>
    </row>
    <row r="76" spans="1:13">
      <c r="A76" s="60"/>
      <c r="B76" s="62"/>
      <c r="C76" s="62"/>
      <c r="D76" s="62"/>
      <c r="E76" s="62"/>
      <c r="F76" s="62"/>
      <c r="G76" s="62"/>
      <c r="H76" s="63"/>
      <c r="J76" s="60"/>
      <c r="K76" s="62"/>
      <c r="L76" s="62"/>
      <c r="M76" s="63"/>
    </row>
    <row r="77" spans="1:13">
      <c r="A77" s="60"/>
      <c r="B77" s="62"/>
      <c r="C77" s="62"/>
      <c r="D77" s="62"/>
      <c r="E77" s="62"/>
      <c r="F77" s="62"/>
      <c r="G77" s="62"/>
      <c r="H77" s="63"/>
      <c r="J77" s="60"/>
      <c r="K77" s="62"/>
      <c r="L77" s="62"/>
      <c r="M77" s="63"/>
    </row>
    <row r="78" spans="1:13">
      <c r="A78" s="60"/>
      <c r="B78" s="62"/>
      <c r="C78" s="62"/>
      <c r="D78" s="62"/>
      <c r="E78" s="62"/>
      <c r="F78" s="62"/>
      <c r="G78" s="62"/>
      <c r="H78" s="63"/>
      <c r="J78" s="60"/>
      <c r="K78" s="62"/>
      <c r="L78" s="62"/>
      <c r="M78" s="63"/>
    </row>
    <row r="79" spans="1:13">
      <c r="A79" s="60"/>
      <c r="B79" s="62"/>
      <c r="C79" s="62"/>
      <c r="D79" s="62"/>
      <c r="E79" s="62"/>
      <c r="F79" s="62"/>
      <c r="G79" s="62"/>
      <c r="H79" s="63"/>
      <c r="J79" s="60"/>
      <c r="K79" s="62"/>
      <c r="L79" s="62"/>
      <c r="M79" s="63"/>
    </row>
    <row r="80" spans="1:13">
      <c r="A80" s="60"/>
      <c r="B80" s="62"/>
      <c r="C80" s="62"/>
      <c r="D80" s="62"/>
      <c r="E80" s="62"/>
      <c r="F80" s="62"/>
      <c r="G80" s="62"/>
      <c r="H80" s="63"/>
      <c r="J80" s="60"/>
      <c r="K80" s="62"/>
      <c r="L80" s="62"/>
      <c r="M80" s="63"/>
    </row>
    <row r="81" spans="1:13">
      <c r="A81" s="60"/>
      <c r="B81" s="62"/>
      <c r="C81" s="62"/>
      <c r="D81" s="62"/>
      <c r="E81" s="62"/>
      <c r="F81" s="62"/>
      <c r="G81" s="62"/>
      <c r="H81" s="63"/>
      <c r="J81" s="60"/>
      <c r="K81" s="62"/>
      <c r="L81" s="62"/>
      <c r="M81" s="63"/>
    </row>
    <row r="82" spans="1:13">
      <c r="A82" s="60"/>
      <c r="B82" s="62"/>
      <c r="C82" s="62"/>
      <c r="D82" s="62"/>
      <c r="E82" s="62"/>
      <c r="F82" s="62"/>
      <c r="G82" s="62"/>
      <c r="H82" s="63"/>
      <c r="J82" s="60"/>
      <c r="K82" s="62"/>
      <c r="L82" s="62"/>
      <c r="M82" s="63"/>
    </row>
    <row r="83" spans="1:13">
      <c r="A83" s="60"/>
      <c r="B83" s="62"/>
      <c r="C83" s="62"/>
      <c r="D83" s="62"/>
      <c r="E83" s="62"/>
      <c r="F83" s="62"/>
      <c r="G83" s="62"/>
      <c r="H83" s="63"/>
      <c r="J83" s="60"/>
      <c r="K83" s="62"/>
      <c r="L83" s="62"/>
      <c r="M83" s="63"/>
    </row>
    <row r="84" spans="1:13" ht="15" thickBot="1">
      <c r="A84" s="60"/>
      <c r="B84" s="62"/>
      <c r="C84" s="62"/>
      <c r="D84" s="62"/>
      <c r="E84" s="62"/>
      <c r="F84" s="62"/>
      <c r="G84" s="62"/>
      <c r="H84" s="63"/>
      <c r="J84" s="68" t="s">
        <v>325</v>
      </c>
      <c r="K84" s="65"/>
      <c r="L84" s="65"/>
      <c r="M84" s="66"/>
    </row>
    <row r="85" spans="1:13">
      <c r="A85" s="60"/>
      <c r="B85" s="62"/>
      <c r="C85" s="62"/>
      <c r="D85" s="62"/>
      <c r="E85" s="62"/>
      <c r="F85" s="62"/>
      <c r="G85" s="62"/>
      <c r="H85" s="63"/>
    </row>
    <row r="86" spans="1:13">
      <c r="A86" s="60"/>
      <c r="B86" s="62"/>
      <c r="C86" s="62"/>
      <c r="D86" s="62"/>
      <c r="E86" s="62"/>
      <c r="F86" s="62"/>
      <c r="G86" s="62"/>
      <c r="H86" s="63"/>
    </row>
    <row r="87" spans="1:13">
      <c r="A87" s="60"/>
      <c r="B87" s="67" t="s">
        <v>317</v>
      </c>
      <c r="C87" s="62"/>
      <c r="D87" s="62"/>
      <c r="E87" s="62"/>
      <c r="F87" s="62"/>
      <c r="G87" s="62"/>
      <c r="H87" s="63"/>
    </row>
    <row r="88" spans="1:13">
      <c r="A88" s="60"/>
      <c r="B88" s="62"/>
      <c r="C88" s="62"/>
      <c r="D88" s="62"/>
      <c r="E88" s="62"/>
      <c r="F88" s="62"/>
      <c r="G88" s="62"/>
      <c r="H88" s="63"/>
    </row>
    <row r="89" spans="1:13">
      <c r="A89" s="60"/>
      <c r="B89" s="61" t="s">
        <v>319</v>
      </c>
      <c r="C89" s="62"/>
      <c r="D89" s="62"/>
      <c r="E89" s="62"/>
      <c r="F89" s="62"/>
      <c r="G89" s="62"/>
      <c r="H89" s="63"/>
    </row>
    <row r="90" spans="1:13">
      <c r="A90" s="60"/>
      <c r="B90" s="62" t="s">
        <v>318</v>
      </c>
      <c r="C90" s="62"/>
      <c r="D90" s="62"/>
      <c r="E90" s="62"/>
      <c r="F90" s="62"/>
      <c r="G90" s="62"/>
      <c r="H90" s="63"/>
    </row>
    <row r="91" spans="1:13" ht="15" thickBot="1">
      <c r="A91" s="64"/>
      <c r="B91" s="65"/>
      <c r="C91" s="65"/>
      <c r="D91" s="65"/>
      <c r="E91" s="65"/>
      <c r="F91" s="65"/>
      <c r="G91" s="65"/>
      <c r="H91" s="66"/>
    </row>
    <row r="94" spans="1:13" ht="15" thickBot="1"/>
    <row r="95" spans="1:13">
      <c r="A95" s="57"/>
      <c r="B95" s="69" t="s">
        <v>320</v>
      </c>
      <c r="C95" s="58"/>
      <c r="D95" s="58"/>
      <c r="E95" s="58"/>
      <c r="F95" s="58"/>
      <c r="G95" s="58"/>
      <c r="H95" s="59"/>
    </row>
    <row r="96" spans="1:13">
      <c r="A96" s="60"/>
      <c r="B96" s="62" t="s">
        <v>323</v>
      </c>
      <c r="C96" s="62"/>
      <c r="D96" s="62"/>
      <c r="E96" s="62"/>
      <c r="F96" s="62"/>
      <c r="G96" s="62"/>
      <c r="H96" s="63"/>
    </row>
    <row r="97" spans="1:8">
      <c r="A97" s="60"/>
      <c r="B97" s="62" t="s">
        <v>326</v>
      </c>
      <c r="C97" s="62"/>
      <c r="D97" s="62"/>
      <c r="E97" s="62"/>
      <c r="F97" s="62"/>
      <c r="G97" s="62"/>
      <c r="H97" s="63"/>
    </row>
    <row r="98" spans="1:8">
      <c r="A98" s="60"/>
      <c r="B98" s="62" t="s">
        <v>327</v>
      </c>
      <c r="C98" s="62"/>
      <c r="D98" s="62"/>
      <c r="E98" s="62"/>
      <c r="F98" s="62"/>
      <c r="G98" s="62"/>
      <c r="H98" s="63"/>
    </row>
    <row r="99" spans="1:8">
      <c r="A99" s="60"/>
      <c r="B99" s="62" t="s">
        <v>328</v>
      </c>
      <c r="C99" s="62"/>
      <c r="D99" s="62"/>
      <c r="E99" s="62"/>
      <c r="F99" s="62"/>
      <c r="G99" s="62"/>
      <c r="H99" s="63"/>
    </row>
    <row r="100" spans="1:8">
      <c r="A100" s="60"/>
      <c r="B100" s="62"/>
      <c r="C100" s="62"/>
      <c r="D100" s="62"/>
      <c r="E100" s="62"/>
      <c r="F100" s="62"/>
      <c r="G100" s="62"/>
      <c r="H100" s="63"/>
    </row>
    <row r="101" spans="1:8">
      <c r="A101" s="60"/>
      <c r="B101" s="62"/>
      <c r="C101" s="62"/>
      <c r="D101" s="62"/>
      <c r="E101" s="62"/>
      <c r="F101" s="62"/>
      <c r="G101" s="62"/>
      <c r="H101" s="63"/>
    </row>
    <row r="102" spans="1:8">
      <c r="A102" s="60"/>
      <c r="B102" s="62"/>
      <c r="C102" s="62"/>
      <c r="D102" s="62"/>
      <c r="E102" s="62"/>
      <c r="F102" s="62"/>
      <c r="G102" s="62"/>
      <c r="H102" s="63"/>
    </row>
    <row r="103" spans="1:8">
      <c r="A103" s="60"/>
      <c r="B103" s="62"/>
      <c r="C103" s="62"/>
      <c r="D103" s="62"/>
      <c r="E103" s="62"/>
      <c r="F103" s="62"/>
      <c r="G103" s="62"/>
      <c r="H103" s="63"/>
    </row>
    <row r="104" spans="1:8">
      <c r="A104" s="60"/>
      <c r="B104" s="62"/>
      <c r="C104" s="62"/>
      <c r="D104" s="62"/>
      <c r="E104" s="62"/>
      <c r="F104" s="62"/>
      <c r="G104" s="62"/>
      <c r="H104" s="63"/>
    </row>
    <row r="105" spans="1:8">
      <c r="A105" s="60"/>
      <c r="B105" s="62"/>
      <c r="C105" s="62"/>
      <c r="D105" s="62"/>
      <c r="E105" s="62"/>
      <c r="F105" s="62"/>
      <c r="G105" s="62"/>
      <c r="H105" s="63"/>
    </row>
    <row r="106" spans="1:8">
      <c r="A106" s="60"/>
      <c r="B106" s="62"/>
      <c r="C106" s="62"/>
      <c r="D106" s="62"/>
      <c r="E106" s="62"/>
      <c r="F106" s="62"/>
      <c r="G106" s="62"/>
      <c r="H106" s="63"/>
    </row>
    <row r="107" spans="1:8">
      <c r="A107" s="60"/>
      <c r="B107" s="62"/>
      <c r="C107" s="62"/>
      <c r="D107" s="62"/>
      <c r="E107" s="62"/>
      <c r="F107" s="62"/>
      <c r="G107" s="62"/>
      <c r="H107" s="63"/>
    </row>
    <row r="108" spans="1:8">
      <c r="A108" s="60"/>
      <c r="B108" s="62"/>
      <c r="C108" s="62"/>
      <c r="D108" s="62"/>
      <c r="E108" s="62"/>
      <c r="F108" s="62"/>
      <c r="G108" s="62"/>
      <c r="H108" s="63"/>
    </row>
    <row r="109" spans="1:8">
      <c r="A109" s="60"/>
      <c r="B109" s="62"/>
      <c r="C109" s="62"/>
      <c r="D109" s="62"/>
      <c r="E109" s="62"/>
      <c r="F109" s="62"/>
      <c r="G109" s="62"/>
      <c r="H109" s="63"/>
    </row>
    <row r="110" spans="1:8">
      <c r="A110" s="60"/>
      <c r="B110" s="62"/>
      <c r="C110" s="62"/>
      <c r="D110" s="62"/>
      <c r="E110" s="62"/>
      <c r="F110" s="62"/>
      <c r="G110" s="62"/>
      <c r="H110" s="63"/>
    </row>
    <row r="111" spans="1:8">
      <c r="A111" s="60"/>
      <c r="B111" s="62"/>
      <c r="C111" s="62"/>
      <c r="D111" s="62"/>
      <c r="E111" s="62"/>
      <c r="F111" s="62"/>
      <c r="G111" s="62"/>
      <c r="H111" s="63"/>
    </row>
    <row r="112" spans="1:8">
      <c r="A112" s="60"/>
      <c r="B112" s="62"/>
      <c r="C112" s="62"/>
      <c r="D112" s="62"/>
      <c r="E112" s="62"/>
      <c r="F112" s="62"/>
      <c r="G112" s="62"/>
      <c r="H112" s="63"/>
    </row>
    <row r="113" spans="1:8">
      <c r="A113" s="60"/>
      <c r="B113" s="62"/>
      <c r="C113" s="62"/>
      <c r="D113" s="62"/>
      <c r="E113" s="62"/>
      <c r="F113" s="62"/>
      <c r="G113" s="62"/>
      <c r="H113" s="63"/>
    </row>
    <row r="114" spans="1:8">
      <c r="A114" s="60"/>
      <c r="B114" s="62"/>
      <c r="C114" s="62"/>
      <c r="D114" s="62"/>
      <c r="E114" s="62"/>
      <c r="F114" s="62"/>
      <c r="G114" s="62"/>
      <c r="H114" s="63"/>
    </row>
    <row r="115" spans="1:8">
      <c r="A115" s="60"/>
      <c r="B115" s="62"/>
      <c r="C115" s="62"/>
      <c r="D115" s="62"/>
      <c r="E115" s="62"/>
      <c r="F115" s="62"/>
      <c r="G115" s="62"/>
      <c r="H115" s="63"/>
    </row>
    <row r="116" spans="1:8">
      <c r="A116" s="60"/>
      <c r="B116" s="62"/>
      <c r="C116" s="62"/>
      <c r="D116" s="62"/>
      <c r="E116" s="62"/>
      <c r="F116" s="62"/>
      <c r="G116" s="62"/>
      <c r="H116" s="63"/>
    </row>
    <row r="117" spans="1:8">
      <c r="A117" s="60"/>
      <c r="B117" s="62"/>
      <c r="C117" s="62"/>
      <c r="D117" s="62"/>
      <c r="E117" s="62"/>
      <c r="F117" s="62"/>
      <c r="G117" s="62"/>
      <c r="H117" s="63"/>
    </row>
    <row r="118" spans="1:8">
      <c r="A118" s="60"/>
      <c r="B118" s="62"/>
      <c r="C118" s="62"/>
      <c r="D118" s="62"/>
      <c r="E118" s="62"/>
      <c r="F118" s="62"/>
      <c r="G118" s="62"/>
      <c r="H118" s="63"/>
    </row>
    <row r="119" spans="1:8">
      <c r="A119" s="60"/>
      <c r="B119" s="62"/>
      <c r="C119" s="62"/>
      <c r="D119" s="62"/>
      <c r="E119" s="62"/>
      <c r="F119" s="62"/>
      <c r="G119" s="62"/>
      <c r="H119" s="63"/>
    </row>
    <row r="120" spans="1:8">
      <c r="A120" s="60"/>
      <c r="B120" s="67" t="s">
        <v>325</v>
      </c>
      <c r="C120" s="62"/>
      <c r="D120" s="62"/>
      <c r="E120" s="62"/>
      <c r="F120" s="62"/>
      <c r="G120" s="62"/>
      <c r="H120" s="63"/>
    </row>
    <row r="121" spans="1:8" ht="15" thickBot="1">
      <c r="A121" s="64"/>
      <c r="B121" s="65"/>
      <c r="C121" s="65"/>
      <c r="D121" s="65"/>
      <c r="E121" s="65"/>
      <c r="F121" s="65"/>
      <c r="G121" s="65"/>
      <c r="H121" s="6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possible combinations</vt:lpstr>
      <vt:lpstr>solutions</vt:lpstr>
      <vt:lpstr>'possible combinations'!Wybieranie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Kasia</dc:creator>
  <cp:lastModifiedBy>Kasia</cp:lastModifiedBy>
  <dcterms:created xsi:type="dcterms:W3CDTF">2017-11-07T20:59:51Z</dcterms:created>
  <dcterms:modified xsi:type="dcterms:W3CDTF">2017-12-11T22:26:17Z</dcterms:modified>
</cp:coreProperties>
</file>